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koo\Desktop\"/>
    </mc:Choice>
  </mc:AlternateContent>
  <xr:revisionPtr revIDLastSave="0" documentId="8_{F2BC4E7B-C26B-4C30-8192-EEB77643EC7A}" xr6:coauthVersionLast="47" xr6:coauthVersionMax="47" xr10:uidLastSave="{00000000-0000-0000-0000-000000000000}"/>
  <bookViews>
    <workbookView xWindow="28680" yWindow="-120" windowWidth="29040" windowHeight="15720" xr2:uid="{8F7160FD-F242-4500-B36A-903CFD1FC618}"/>
  </bookViews>
  <sheets>
    <sheet name="원재료" sheetId="1" r:id="rId1"/>
  </sheets>
  <definedNames>
    <definedName name="_xlnm._FilterDatabase" localSheetId="0" hidden="1">원재료!$D$1:$D$10031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92" i="1" l="1"/>
  <c r="H3191" i="1"/>
  <c r="A3191" i="1"/>
  <c r="H3190" i="1"/>
  <c r="A3190" i="1"/>
  <c r="H3189" i="1"/>
  <c r="A3189" i="1"/>
  <c r="H3188" i="1"/>
  <c r="A3188" i="1"/>
  <c r="H3187" i="1"/>
  <c r="A3187" i="1"/>
  <c r="H3186" i="1"/>
  <c r="A3186" i="1"/>
  <c r="H3185" i="1"/>
  <c r="A3185" i="1"/>
  <c r="H3184" i="1"/>
  <c r="A3184" i="1"/>
  <c r="H3183" i="1"/>
  <c r="G3183" i="1"/>
  <c r="A3183" i="1"/>
  <c r="H3182" i="1"/>
  <c r="G3182" i="1"/>
  <c r="A3182" i="1"/>
  <c r="H3181" i="1"/>
  <c r="G3181" i="1"/>
  <c r="A3181" i="1"/>
  <c r="H3180" i="1"/>
  <c r="G3180" i="1"/>
  <c r="A3180" i="1"/>
  <c r="H3179" i="1"/>
  <c r="G3179" i="1"/>
  <c r="A3179" i="1"/>
  <c r="H3178" i="1"/>
  <c r="G3178" i="1"/>
  <c r="A3178" i="1"/>
  <c r="H3177" i="1"/>
  <c r="G3177" i="1"/>
  <c r="A3177" i="1"/>
  <c r="H3176" i="1"/>
  <c r="G3176" i="1"/>
  <c r="A3176" i="1"/>
  <c r="H3175" i="1"/>
  <c r="G3175" i="1"/>
  <c r="A3175" i="1"/>
  <c r="H3174" i="1"/>
  <c r="G3174" i="1"/>
  <c r="A3174" i="1"/>
  <c r="H3173" i="1"/>
  <c r="G3173" i="1"/>
  <c r="A3173" i="1"/>
  <c r="H3172" i="1"/>
  <c r="G3172" i="1"/>
  <c r="A3172" i="1"/>
  <c r="H3171" i="1"/>
  <c r="G3171" i="1"/>
  <c r="A3171" i="1"/>
  <c r="H3170" i="1"/>
  <c r="G3170" i="1"/>
  <c r="A3170" i="1"/>
  <c r="H3169" i="1"/>
  <c r="G3169" i="1"/>
  <c r="A3169" i="1"/>
  <c r="H3168" i="1"/>
  <c r="G3168" i="1"/>
  <c r="A3168" i="1"/>
  <c r="H3167" i="1"/>
  <c r="G3167" i="1"/>
  <c r="A3167" i="1"/>
  <c r="H3166" i="1"/>
  <c r="G3166" i="1"/>
  <c r="A3166" i="1"/>
  <c r="H3165" i="1"/>
  <c r="G3165" i="1"/>
  <c r="A3165" i="1"/>
  <c r="H3164" i="1"/>
  <c r="G3164" i="1"/>
  <c r="A3164" i="1"/>
  <c r="H3163" i="1"/>
  <c r="G3163" i="1"/>
  <c r="A3163" i="1"/>
  <c r="H3162" i="1"/>
  <c r="G3162" i="1"/>
  <c r="A3162" i="1"/>
  <c r="H3161" i="1"/>
  <c r="G3161" i="1"/>
  <c r="A3161" i="1"/>
  <c r="H3160" i="1"/>
  <c r="G3160" i="1"/>
  <c r="A3160" i="1"/>
  <c r="H3159" i="1"/>
  <c r="G3159" i="1"/>
  <c r="A3159" i="1"/>
  <c r="H3158" i="1"/>
  <c r="G3158" i="1"/>
  <c r="A3158" i="1"/>
  <c r="H3157" i="1"/>
  <c r="G3157" i="1"/>
  <c r="A3157" i="1"/>
  <c r="H3156" i="1"/>
  <c r="G3156" i="1"/>
  <c r="A3156" i="1"/>
  <c r="H3155" i="1"/>
  <c r="G3155" i="1"/>
  <c r="A3155" i="1"/>
  <c r="H3154" i="1"/>
  <c r="G3154" i="1"/>
  <c r="A3154" i="1"/>
  <c r="H3153" i="1"/>
  <c r="G3153" i="1"/>
  <c r="A3153" i="1"/>
  <c r="H3152" i="1"/>
  <c r="G3152" i="1"/>
  <c r="A3152" i="1"/>
  <c r="H3151" i="1"/>
  <c r="G3151" i="1"/>
  <c r="A3151" i="1"/>
  <c r="H3150" i="1"/>
  <c r="G3150" i="1"/>
  <c r="A3150" i="1"/>
  <c r="H3149" i="1"/>
  <c r="G3149" i="1"/>
  <c r="A3149" i="1"/>
  <c r="H3148" i="1"/>
  <c r="G3148" i="1"/>
  <c r="A3148" i="1"/>
  <c r="H3147" i="1"/>
  <c r="G3147" i="1"/>
  <c r="A3147" i="1"/>
  <c r="H3146" i="1"/>
  <c r="G3146" i="1"/>
  <c r="A3146" i="1"/>
  <c r="H3145" i="1"/>
  <c r="G3145" i="1"/>
  <c r="A3145" i="1"/>
  <c r="H3144" i="1"/>
  <c r="G3144" i="1"/>
  <c r="A3144" i="1"/>
  <c r="H3143" i="1"/>
  <c r="G3143" i="1"/>
  <c r="A3143" i="1"/>
  <c r="H3142" i="1"/>
  <c r="G3142" i="1"/>
  <c r="A3142" i="1"/>
  <c r="H3141" i="1"/>
  <c r="G3141" i="1"/>
  <c r="A3141" i="1"/>
  <c r="H3140" i="1"/>
  <c r="G3140" i="1"/>
  <c r="A3140" i="1"/>
  <c r="H3139" i="1"/>
  <c r="G3139" i="1"/>
  <c r="A3139" i="1"/>
  <c r="H3138" i="1"/>
  <c r="G3138" i="1"/>
  <c r="A3138" i="1"/>
  <c r="H3137" i="1"/>
  <c r="G3137" i="1"/>
  <c r="A3137" i="1"/>
  <c r="H3136" i="1"/>
  <c r="G3136" i="1"/>
  <c r="A3136" i="1"/>
  <c r="H3135" i="1"/>
  <c r="G3135" i="1"/>
  <c r="A3135" i="1"/>
  <c r="H3134" i="1"/>
  <c r="G3134" i="1"/>
  <c r="A3134" i="1"/>
  <c r="H3133" i="1"/>
  <c r="G3133" i="1"/>
  <c r="A3133" i="1"/>
  <c r="H3132" i="1"/>
  <c r="G3132" i="1"/>
  <c r="A3132" i="1"/>
  <c r="H3131" i="1"/>
  <c r="G3131" i="1"/>
  <c r="A3131" i="1"/>
  <c r="H3130" i="1"/>
  <c r="G3130" i="1"/>
  <c r="A3130" i="1"/>
  <c r="H3129" i="1"/>
  <c r="G3129" i="1"/>
  <c r="A3129" i="1"/>
  <c r="H3128" i="1"/>
  <c r="G3128" i="1"/>
  <c r="A3128" i="1"/>
  <c r="H3127" i="1"/>
  <c r="G3127" i="1"/>
  <c r="A3127" i="1"/>
  <c r="H3126" i="1"/>
  <c r="G3126" i="1"/>
  <c r="A3126" i="1"/>
  <c r="H3125" i="1"/>
  <c r="G3125" i="1"/>
  <c r="A3125" i="1"/>
  <c r="H3124" i="1"/>
  <c r="G3124" i="1"/>
  <c r="A3124" i="1"/>
  <c r="H3123" i="1"/>
  <c r="G3123" i="1"/>
  <c r="A3123" i="1"/>
  <c r="H3122" i="1"/>
  <c r="G3122" i="1"/>
  <c r="A3122" i="1"/>
  <c r="H3121" i="1"/>
  <c r="G3121" i="1"/>
  <c r="A3121" i="1"/>
  <c r="H3120" i="1"/>
  <c r="G3120" i="1"/>
  <c r="A3120" i="1"/>
  <c r="H3119" i="1"/>
  <c r="G3119" i="1"/>
  <c r="A3119" i="1"/>
  <c r="H3118" i="1"/>
  <c r="G3118" i="1"/>
  <c r="A3118" i="1"/>
  <c r="H3117" i="1"/>
  <c r="G3117" i="1"/>
  <c r="A3117" i="1"/>
  <c r="H3116" i="1"/>
  <c r="G3116" i="1"/>
  <c r="A3116" i="1"/>
  <c r="H3115" i="1"/>
  <c r="G3115" i="1"/>
  <c r="A3115" i="1"/>
  <c r="H3114" i="1"/>
  <c r="G3114" i="1"/>
  <c r="A3114" i="1"/>
  <c r="H3113" i="1"/>
  <c r="G3113" i="1"/>
  <c r="A3113" i="1"/>
  <c r="H3112" i="1"/>
  <c r="G3112" i="1"/>
  <c r="A3112" i="1"/>
  <c r="H3111" i="1"/>
  <c r="G3111" i="1"/>
  <c r="A3111" i="1"/>
  <c r="H3110" i="1"/>
  <c r="G3110" i="1"/>
  <c r="A3110" i="1"/>
  <c r="H3109" i="1"/>
  <c r="G3109" i="1"/>
  <c r="A3109" i="1"/>
  <c r="H3108" i="1"/>
  <c r="G3108" i="1"/>
  <c r="A3108" i="1"/>
  <c r="H3107" i="1"/>
  <c r="G3107" i="1"/>
  <c r="A3107" i="1"/>
  <c r="H3106" i="1"/>
  <c r="G3106" i="1"/>
  <c r="A3106" i="1"/>
  <c r="H3105" i="1"/>
  <c r="G3105" i="1"/>
  <c r="A3105" i="1"/>
  <c r="H3104" i="1"/>
  <c r="G3104" i="1"/>
  <c r="A3104" i="1"/>
  <c r="H3103" i="1"/>
  <c r="G3103" i="1"/>
  <c r="A3103" i="1"/>
  <c r="H3102" i="1"/>
  <c r="G3102" i="1"/>
  <c r="A3102" i="1"/>
  <c r="H3101" i="1"/>
  <c r="G3101" i="1"/>
  <c r="A3101" i="1"/>
  <c r="H3100" i="1"/>
  <c r="G3100" i="1"/>
  <c r="A3100" i="1"/>
  <c r="H3099" i="1"/>
  <c r="G3099" i="1"/>
  <c r="A3099" i="1"/>
  <c r="H3098" i="1"/>
  <c r="G3098" i="1"/>
  <c r="A3098" i="1"/>
  <c r="H3097" i="1"/>
  <c r="G3097" i="1"/>
  <c r="A3097" i="1"/>
  <c r="H3096" i="1"/>
  <c r="G3096" i="1"/>
  <c r="A3096" i="1"/>
  <c r="H3095" i="1"/>
  <c r="G3095" i="1"/>
  <c r="A3095" i="1"/>
  <c r="H3094" i="1"/>
  <c r="G3094" i="1"/>
  <c r="A3094" i="1"/>
  <c r="H3093" i="1"/>
  <c r="G3093" i="1"/>
  <c r="A3093" i="1"/>
  <c r="H3092" i="1"/>
  <c r="G3092" i="1"/>
  <c r="A3092" i="1"/>
  <c r="H3091" i="1"/>
  <c r="G3091" i="1"/>
  <c r="A3091" i="1"/>
  <c r="H3090" i="1"/>
  <c r="G3090" i="1"/>
  <c r="A3090" i="1"/>
  <c r="H3089" i="1"/>
  <c r="G3089" i="1"/>
  <c r="A3089" i="1"/>
  <c r="H3088" i="1"/>
  <c r="G3088" i="1"/>
  <c r="A3088" i="1"/>
  <c r="H3087" i="1"/>
  <c r="G3087" i="1"/>
  <c r="A3087" i="1"/>
  <c r="H3086" i="1"/>
  <c r="G3086" i="1"/>
  <c r="A3086" i="1"/>
  <c r="H3085" i="1"/>
  <c r="G3085" i="1"/>
  <c r="A3085" i="1"/>
  <c r="H3084" i="1"/>
  <c r="G3084" i="1"/>
  <c r="A3084" i="1"/>
  <c r="H3083" i="1"/>
  <c r="G3083" i="1"/>
  <c r="A3083" i="1"/>
  <c r="H3082" i="1"/>
  <c r="G3082" i="1"/>
  <c r="A3082" i="1"/>
  <c r="H3081" i="1"/>
  <c r="G3081" i="1"/>
  <c r="A3081" i="1"/>
  <c r="H3080" i="1"/>
  <c r="G3080" i="1"/>
  <c r="A3080" i="1"/>
  <c r="H3079" i="1"/>
  <c r="G3079" i="1"/>
  <c r="A3079" i="1"/>
  <c r="H3078" i="1"/>
  <c r="G3078" i="1"/>
  <c r="A3078" i="1"/>
  <c r="H3077" i="1"/>
  <c r="G3077" i="1"/>
  <c r="A3077" i="1"/>
  <c r="H3076" i="1"/>
  <c r="G3076" i="1"/>
  <c r="A3076" i="1"/>
  <c r="H3075" i="1"/>
  <c r="G3075" i="1"/>
  <c r="A3075" i="1"/>
  <c r="H3074" i="1"/>
  <c r="G3074" i="1"/>
  <c r="A3074" i="1"/>
  <c r="H3073" i="1"/>
  <c r="G3073" i="1"/>
  <c r="A3073" i="1"/>
  <c r="H3072" i="1"/>
  <c r="G3072" i="1"/>
  <c r="A3072" i="1"/>
  <c r="H3071" i="1"/>
  <c r="G3071" i="1"/>
  <c r="A3071" i="1"/>
  <c r="H3070" i="1"/>
  <c r="G3070" i="1"/>
  <c r="A3070" i="1"/>
  <c r="H3069" i="1"/>
  <c r="G3069" i="1"/>
  <c r="A3069" i="1"/>
  <c r="H3068" i="1"/>
  <c r="G3068" i="1"/>
  <c r="A3068" i="1"/>
  <c r="H3067" i="1"/>
  <c r="G3067" i="1"/>
  <c r="A3067" i="1"/>
  <c r="H3066" i="1"/>
  <c r="G3066" i="1"/>
  <c r="A3066" i="1"/>
  <c r="H3065" i="1"/>
  <c r="G3065" i="1"/>
  <c r="A3065" i="1"/>
  <c r="H3064" i="1"/>
  <c r="G3064" i="1"/>
  <c r="A3064" i="1"/>
  <c r="H3063" i="1"/>
  <c r="G3063" i="1"/>
  <c r="A3063" i="1"/>
  <c r="H3062" i="1"/>
  <c r="G3062" i="1"/>
  <c r="A3062" i="1"/>
  <c r="H3061" i="1"/>
  <c r="G3061" i="1"/>
  <c r="A3061" i="1"/>
  <c r="H3060" i="1"/>
  <c r="G3060" i="1"/>
  <c r="A3060" i="1"/>
  <c r="H3059" i="1"/>
  <c r="G3059" i="1"/>
  <c r="A3059" i="1"/>
  <c r="H3058" i="1"/>
  <c r="G3058" i="1"/>
  <c r="A3058" i="1"/>
  <c r="H3057" i="1"/>
  <c r="G3057" i="1"/>
  <c r="A3057" i="1"/>
  <c r="H3056" i="1"/>
  <c r="G3056" i="1"/>
  <c r="A3056" i="1"/>
  <c r="H3055" i="1"/>
  <c r="G3055" i="1"/>
  <c r="A3055" i="1"/>
  <c r="H3054" i="1"/>
  <c r="G3054" i="1"/>
  <c r="A3054" i="1"/>
  <c r="H3053" i="1"/>
  <c r="G3053" i="1"/>
  <c r="A3053" i="1"/>
  <c r="H3052" i="1"/>
  <c r="G3052" i="1"/>
  <c r="A3052" i="1"/>
  <c r="H3051" i="1"/>
  <c r="G3051" i="1"/>
  <c r="A3051" i="1"/>
  <c r="H3050" i="1"/>
  <c r="G3050" i="1"/>
  <c r="A3050" i="1"/>
  <c r="H3049" i="1"/>
  <c r="G3049" i="1"/>
  <c r="A3049" i="1"/>
  <c r="H3048" i="1"/>
  <c r="G3048" i="1"/>
  <c r="A3048" i="1"/>
  <c r="H3047" i="1"/>
  <c r="G3047" i="1"/>
  <c r="A3047" i="1"/>
  <c r="H3046" i="1"/>
  <c r="G3046" i="1"/>
  <c r="A3046" i="1"/>
  <c r="H3045" i="1"/>
  <c r="G3045" i="1"/>
  <c r="A3045" i="1"/>
  <c r="H3044" i="1"/>
  <c r="G3044" i="1"/>
  <c r="A3044" i="1"/>
  <c r="H3043" i="1"/>
  <c r="G3043" i="1"/>
  <c r="A3043" i="1"/>
  <c r="H3042" i="1"/>
  <c r="G3042" i="1"/>
  <c r="A3042" i="1"/>
  <c r="H3041" i="1"/>
  <c r="G3041" i="1"/>
  <c r="A3041" i="1"/>
  <c r="H3040" i="1"/>
  <c r="G3040" i="1"/>
  <c r="A3040" i="1"/>
  <c r="H3039" i="1"/>
  <c r="G3039" i="1"/>
  <c r="A3039" i="1"/>
  <c r="H3038" i="1"/>
  <c r="G3038" i="1"/>
  <c r="A3038" i="1"/>
  <c r="H3037" i="1"/>
  <c r="G3037" i="1"/>
  <c r="A3037" i="1"/>
  <c r="H3036" i="1"/>
  <c r="G3036" i="1"/>
  <c r="A3036" i="1"/>
  <c r="H3035" i="1"/>
  <c r="G3035" i="1"/>
  <c r="A3035" i="1"/>
  <c r="H3034" i="1"/>
  <c r="G3034" i="1"/>
  <c r="A3034" i="1"/>
  <c r="H3033" i="1"/>
  <c r="G3033" i="1"/>
  <c r="A3033" i="1"/>
  <c r="H3032" i="1"/>
  <c r="G3032" i="1"/>
  <c r="A3032" i="1"/>
  <c r="H3031" i="1"/>
  <c r="G3031" i="1"/>
  <c r="A3031" i="1"/>
  <c r="H3030" i="1"/>
  <c r="G3030" i="1"/>
  <c r="A3030" i="1"/>
  <c r="H3029" i="1"/>
  <c r="G3029" i="1"/>
  <c r="A3029" i="1"/>
  <c r="H3028" i="1"/>
  <c r="G3028" i="1"/>
  <c r="A3028" i="1"/>
  <c r="H3027" i="1"/>
  <c r="G3027" i="1"/>
  <c r="A3027" i="1"/>
  <c r="H3026" i="1"/>
  <c r="G3026" i="1"/>
  <c r="A3026" i="1"/>
  <c r="H3025" i="1"/>
  <c r="G3025" i="1"/>
  <c r="A3025" i="1"/>
  <c r="H3024" i="1"/>
  <c r="G3024" i="1"/>
  <c r="A3024" i="1"/>
  <c r="H3023" i="1"/>
  <c r="G3023" i="1"/>
  <c r="A3023" i="1"/>
  <c r="H3022" i="1"/>
  <c r="G3022" i="1"/>
  <c r="A3022" i="1"/>
  <c r="H3021" i="1"/>
  <c r="G3021" i="1"/>
  <c r="A3021" i="1"/>
  <c r="H3020" i="1"/>
  <c r="G3020" i="1"/>
  <c r="A3020" i="1"/>
  <c r="H3019" i="1"/>
  <c r="G3019" i="1"/>
  <c r="A3019" i="1"/>
  <c r="H3018" i="1"/>
  <c r="G3018" i="1"/>
  <c r="A3018" i="1"/>
  <c r="H3017" i="1"/>
  <c r="G3017" i="1"/>
  <c r="A3017" i="1"/>
  <c r="H3016" i="1"/>
  <c r="G3016" i="1"/>
  <c r="A3016" i="1"/>
  <c r="H3015" i="1"/>
  <c r="G3015" i="1"/>
  <c r="A3015" i="1"/>
  <c r="H3014" i="1"/>
  <c r="G3014" i="1"/>
  <c r="A3014" i="1"/>
  <c r="H3013" i="1"/>
  <c r="G3013" i="1"/>
  <c r="A3013" i="1"/>
  <c r="H3012" i="1"/>
  <c r="G3012" i="1"/>
  <c r="A3012" i="1"/>
  <c r="H3011" i="1"/>
  <c r="G3011" i="1"/>
  <c r="A3011" i="1"/>
  <c r="H3010" i="1"/>
  <c r="G3010" i="1"/>
  <c r="A3010" i="1"/>
  <c r="H3009" i="1"/>
  <c r="G3009" i="1"/>
  <c r="A3009" i="1"/>
  <c r="H3008" i="1"/>
  <c r="G3008" i="1"/>
  <c r="A3008" i="1"/>
  <c r="H3007" i="1"/>
  <c r="G3007" i="1"/>
  <c r="A3007" i="1"/>
  <c r="H3006" i="1"/>
  <c r="G3006" i="1"/>
  <c r="A3006" i="1"/>
  <c r="H3005" i="1"/>
  <c r="G3005" i="1"/>
  <c r="A3005" i="1"/>
  <c r="H3004" i="1"/>
  <c r="G3004" i="1"/>
  <c r="A3004" i="1"/>
  <c r="H3003" i="1"/>
  <c r="G3003" i="1"/>
  <c r="A3003" i="1"/>
  <c r="H3002" i="1"/>
  <c r="G3002" i="1"/>
  <c r="A3002" i="1"/>
  <c r="H3001" i="1"/>
  <c r="G3001" i="1"/>
  <c r="A3001" i="1"/>
  <c r="H3000" i="1"/>
  <c r="G3000" i="1"/>
  <c r="A3000" i="1"/>
  <c r="H2999" i="1"/>
  <c r="G2999" i="1"/>
  <c r="A2999" i="1"/>
  <c r="H2998" i="1"/>
  <c r="G2998" i="1"/>
  <c r="A2998" i="1"/>
  <c r="H2997" i="1"/>
  <c r="G2997" i="1"/>
  <c r="A2997" i="1"/>
  <c r="H2996" i="1"/>
  <c r="G2996" i="1"/>
  <c r="A2996" i="1"/>
  <c r="H2995" i="1"/>
  <c r="G2995" i="1"/>
  <c r="A2995" i="1"/>
  <c r="H2994" i="1"/>
  <c r="G2994" i="1"/>
  <c r="A2994" i="1"/>
  <c r="H2993" i="1"/>
  <c r="G2993" i="1"/>
  <c r="A2993" i="1"/>
  <c r="H2992" i="1"/>
  <c r="G2992" i="1"/>
  <c r="A2992" i="1"/>
  <c r="H2991" i="1"/>
  <c r="G2991" i="1"/>
  <c r="A2991" i="1"/>
  <c r="H2990" i="1"/>
  <c r="G2990" i="1"/>
  <c r="A2990" i="1"/>
  <c r="H2989" i="1"/>
  <c r="G2989" i="1"/>
  <c r="A2989" i="1"/>
  <c r="H2988" i="1"/>
  <c r="G2988" i="1"/>
  <c r="A2988" i="1"/>
  <c r="H2987" i="1"/>
  <c r="G2987" i="1"/>
  <c r="A2987" i="1"/>
  <c r="H2986" i="1"/>
  <c r="G2986" i="1"/>
  <c r="A2986" i="1"/>
  <c r="H2985" i="1"/>
  <c r="G2985" i="1"/>
  <c r="A2985" i="1"/>
  <c r="H2984" i="1"/>
  <c r="G2984" i="1"/>
  <c r="A2984" i="1"/>
  <c r="H2983" i="1"/>
  <c r="G2983" i="1"/>
  <c r="A2983" i="1"/>
  <c r="H2982" i="1"/>
  <c r="G2982" i="1"/>
  <c r="A2982" i="1"/>
  <c r="H2981" i="1"/>
  <c r="G2981" i="1"/>
  <c r="A2981" i="1"/>
  <c r="H2980" i="1"/>
  <c r="G2980" i="1"/>
  <c r="A2980" i="1"/>
  <c r="H2979" i="1"/>
  <c r="G2979" i="1"/>
  <c r="A2979" i="1"/>
  <c r="H2978" i="1"/>
  <c r="G2978" i="1"/>
  <c r="A2978" i="1"/>
  <c r="H2977" i="1"/>
  <c r="G2977" i="1"/>
  <c r="A2977" i="1"/>
  <c r="H2976" i="1"/>
  <c r="G2976" i="1"/>
  <c r="A2976" i="1"/>
  <c r="H2975" i="1"/>
  <c r="G2975" i="1"/>
  <c r="A2975" i="1"/>
  <c r="H2974" i="1"/>
  <c r="G2974" i="1"/>
  <c r="A2974" i="1"/>
  <c r="H2973" i="1"/>
  <c r="G2973" i="1"/>
  <c r="A2973" i="1"/>
  <c r="H2972" i="1"/>
  <c r="G2972" i="1"/>
  <c r="A2972" i="1"/>
  <c r="H2971" i="1"/>
  <c r="G2971" i="1"/>
  <c r="A2971" i="1"/>
  <c r="H2970" i="1"/>
  <c r="G2970" i="1"/>
  <c r="A2970" i="1"/>
  <c r="H2969" i="1"/>
  <c r="G2969" i="1"/>
  <c r="A2969" i="1"/>
  <c r="H2968" i="1"/>
  <c r="G2968" i="1"/>
  <c r="A2968" i="1"/>
  <c r="H2967" i="1"/>
  <c r="G2967" i="1"/>
  <c r="A2967" i="1"/>
  <c r="H2966" i="1"/>
  <c r="G2966" i="1"/>
  <c r="A2966" i="1"/>
  <c r="H2965" i="1"/>
  <c r="G2965" i="1"/>
  <c r="A2965" i="1"/>
  <c r="H2964" i="1"/>
  <c r="G2964" i="1"/>
  <c r="A2964" i="1"/>
  <c r="H2963" i="1"/>
  <c r="G2963" i="1"/>
  <c r="A2963" i="1"/>
  <c r="H2962" i="1"/>
  <c r="G2962" i="1"/>
  <c r="A2962" i="1"/>
  <c r="H2961" i="1"/>
  <c r="G2961" i="1"/>
  <c r="A2961" i="1"/>
  <c r="H2960" i="1"/>
  <c r="G2960" i="1"/>
  <c r="A2960" i="1"/>
  <c r="H2959" i="1"/>
  <c r="G2959" i="1"/>
  <c r="A2959" i="1"/>
  <c r="H2958" i="1"/>
  <c r="G2958" i="1"/>
  <c r="A2958" i="1"/>
  <c r="H2957" i="1"/>
  <c r="G2957" i="1"/>
  <c r="A2957" i="1"/>
  <c r="H2956" i="1"/>
  <c r="G2956" i="1"/>
  <c r="A2956" i="1"/>
  <c r="H2955" i="1"/>
  <c r="G2955" i="1"/>
  <c r="A2955" i="1"/>
  <c r="H2954" i="1"/>
  <c r="G2954" i="1"/>
  <c r="A2954" i="1"/>
  <c r="H2953" i="1"/>
  <c r="G2953" i="1"/>
  <c r="A2953" i="1"/>
  <c r="H2952" i="1"/>
  <c r="G2952" i="1"/>
  <c r="A2952" i="1"/>
  <c r="H2951" i="1"/>
  <c r="G2951" i="1"/>
  <c r="A2951" i="1"/>
  <c r="H2950" i="1"/>
  <c r="G2950" i="1"/>
  <c r="A2950" i="1"/>
  <c r="H2949" i="1"/>
  <c r="G2949" i="1"/>
  <c r="A2949" i="1"/>
  <c r="H2948" i="1"/>
  <c r="G2948" i="1"/>
  <c r="A2948" i="1"/>
  <c r="H2947" i="1"/>
  <c r="G2947" i="1"/>
  <c r="A2947" i="1"/>
  <c r="H2946" i="1"/>
  <c r="G2946" i="1"/>
  <c r="A2946" i="1"/>
  <c r="H2945" i="1"/>
  <c r="G2945" i="1"/>
  <c r="A2945" i="1"/>
  <c r="H2944" i="1"/>
  <c r="G2944" i="1"/>
  <c r="A2944" i="1"/>
  <c r="H2943" i="1"/>
  <c r="G2943" i="1"/>
  <c r="A2943" i="1"/>
  <c r="H2942" i="1"/>
  <c r="G2942" i="1"/>
  <c r="A2942" i="1"/>
  <c r="H2941" i="1"/>
  <c r="G2941" i="1"/>
  <c r="A2941" i="1"/>
  <c r="H2940" i="1"/>
  <c r="G2940" i="1"/>
  <c r="A2940" i="1"/>
  <c r="H2939" i="1"/>
  <c r="G2939" i="1"/>
  <c r="A2939" i="1"/>
  <c r="H2938" i="1"/>
  <c r="G2938" i="1"/>
  <c r="A2938" i="1"/>
  <c r="H2937" i="1"/>
  <c r="G2937" i="1"/>
  <c r="A2937" i="1"/>
  <c r="H2936" i="1"/>
  <c r="G2936" i="1"/>
  <c r="A2936" i="1"/>
  <c r="H2935" i="1"/>
  <c r="G2935" i="1"/>
  <c r="A2935" i="1"/>
  <c r="H2934" i="1"/>
  <c r="G2934" i="1"/>
  <c r="A2934" i="1"/>
  <c r="H2933" i="1"/>
  <c r="G2933" i="1"/>
  <c r="A2933" i="1"/>
  <c r="H2932" i="1"/>
  <c r="G2932" i="1"/>
  <c r="A2932" i="1"/>
  <c r="H2931" i="1"/>
  <c r="G2931" i="1"/>
  <c r="A2931" i="1"/>
  <c r="H2930" i="1"/>
  <c r="G2930" i="1"/>
  <c r="A2930" i="1"/>
  <c r="H2929" i="1"/>
  <c r="G2929" i="1"/>
  <c r="H2928" i="1"/>
  <c r="G2928" i="1"/>
  <c r="H2927" i="1"/>
  <c r="G2927" i="1"/>
  <c r="H2926" i="1"/>
  <c r="G2926" i="1"/>
  <c r="H2925" i="1"/>
  <c r="G2925" i="1"/>
  <c r="H2924" i="1"/>
  <c r="G2924" i="1"/>
  <c r="H2923" i="1"/>
  <c r="G2923" i="1"/>
  <c r="H2922" i="1"/>
  <c r="G2922" i="1"/>
  <c r="H2921" i="1"/>
  <c r="G2921" i="1"/>
  <c r="H2920" i="1"/>
  <c r="G2920" i="1"/>
  <c r="H2919" i="1"/>
  <c r="G2919" i="1"/>
  <c r="H2918" i="1"/>
  <c r="G2918" i="1"/>
  <c r="H2917" i="1"/>
  <c r="G2917" i="1"/>
  <c r="H2916" i="1"/>
  <c r="G2916" i="1"/>
  <c r="H2915" i="1"/>
  <c r="G2915" i="1"/>
  <c r="H2914" i="1"/>
  <c r="G2914" i="1"/>
  <c r="H2913" i="1"/>
  <c r="G2913" i="1"/>
  <c r="H2912" i="1"/>
  <c r="G2912" i="1"/>
  <c r="H2911" i="1"/>
  <c r="G2911" i="1"/>
  <c r="H2910" i="1"/>
  <c r="G2910" i="1"/>
  <c r="H2909" i="1"/>
  <c r="G2909" i="1"/>
  <c r="H2908" i="1"/>
  <c r="G2908" i="1"/>
  <c r="H2907" i="1"/>
  <c r="G2907" i="1"/>
  <c r="H2906" i="1"/>
  <c r="G2906" i="1"/>
  <c r="H2905" i="1"/>
  <c r="G2905" i="1"/>
  <c r="H2904" i="1"/>
  <c r="G2904" i="1"/>
  <c r="H2903" i="1"/>
  <c r="G2903" i="1"/>
  <c r="H2902" i="1"/>
  <c r="G2902" i="1"/>
  <c r="H2901" i="1"/>
  <c r="G2901" i="1"/>
  <c r="H2900" i="1"/>
  <c r="G2900" i="1"/>
  <c r="H2899" i="1"/>
  <c r="G2899" i="1"/>
  <c r="H2898" i="1"/>
  <c r="G2898" i="1"/>
  <c r="H2897" i="1"/>
  <c r="G2897" i="1"/>
  <c r="H2896" i="1"/>
  <c r="G2896" i="1"/>
  <c r="H2895" i="1"/>
  <c r="G2895" i="1"/>
  <c r="H2894" i="1"/>
  <c r="G2894" i="1"/>
  <c r="H2893" i="1"/>
  <c r="G2893" i="1"/>
  <c r="H2892" i="1"/>
  <c r="G2892" i="1"/>
  <c r="H2891" i="1"/>
  <c r="G2891" i="1"/>
  <c r="H2890" i="1"/>
  <c r="G2890" i="1"/>
  <c r="H2889" i="1"/>
  <c r="G2889" i="1"/>
  <c r="H2888" i="1"/>
  <c r="G2888" i="1"/>
  <c r="H2887" i="1"/>
  <c r="G2887" i="1"/>
  <c r="H2886" i="1"/>
  <c r="G2886" i="1"/>
  <c r="H2885" i="1"/>
  <c r="G2885" i="1"/>
  <c r="H2884" i="1"/>
  <c r="G2884" i="1"/>
  <c r="H2883" i="1"/>
  <c r="G2883" i="1"/>
  <c r="H2882" i="1"/>
  <c r="G2882" i="1"/>
  <c r="H2881" i="1"/>
  <c r="G2881" i="1"/>
  <c r="H2880" i="1"/>
  <c r="G2880" i="1"/>
  <c r="H2879" i="1"/>
  <c r="G2879" i="1"/>
  <c r="H2878" i="1"/>
  <c r="G2878" i="1"/>
  <c r="H2877" i="1"/>
  <c r="G2877" i="1"/>
  <c r="H2876" i="1"/>
  <c r="G2876" i="1"/>
  <c r="H2875" i="1"/>
  <c r="G2875" i="1"/>
  <c r="H2874" i="1"/>
  <c r="G2874" i="1"/>
  <c r="H2873" i="1"/>
  <c r="G2873" i="1"/>
  <c r="H2872" i="1"/>
  <c r="G2872" i="1"/>
  <c r="H2871" i="1"/>
  <c r="G2871" i="1"/>
  <c r="H2870" i="1"/>
  <c r="G2870" i="1"/>
  <c r="H2869" i="1"/>
  <c r="G2869" i="1"/>
  <c r="H2868" i="1"/>
  <c r="G2868" i="1"/>
  <c r="H2867" i="1"/>
  <c r="G2867" i="1"/>
  <c r="H2866" i="1"/>
  <c r="G2866" i="1"/>
  <c r="H2865" i="1"/>
  <c r="G2865" i="1"/>
  <c r="H2864" i="1"/>
  <c r="G2864" i="1"/>
  <c r="H2863" i="1"/>
  <c r="G2863" i="1"/>
  <c r="H2862" i="1"/>
  <c r="G2862" i="1"/>
  <c r="H2861" i="1"/>
  <c r="G2861" i="1"/>
  <c r="H2860" i="1"/>
  <c r="G2860" i="1"/>
  <c r="H2859" i="1"/>
  <c r="G2859" i="1"/>
  <c r="H2858" i="1"/>
  <c r="G2858" i="1"/>
  <c r="H2857" i="1"/>
  <c r="G2857" i="1"/>
  <c r="H2856" i="1"/>
  <c r="G2856" i="1"/>
  <c r="H2855" i="1"/>
  <c r="G2855" i="1"/>
  <c r="H2854" i="1"/>
  <c r="G2854" i="1"/>
  <c r="H2853" i="1"/>
  <c r="G2853" i="1"/>
  <c r="H2852" i="1"/>
  <c r="G2852" i="1"/>
  <c r="H2851" i="1"/>
  <c r="G2851" i="1"/>
  <c r="H2850" i="1"/>
  <c r="G2850" i="1"/>
  <c r="H2849" i="1"/>
  <c r="G2849" i="1"/>
  <c r="H2848" i="1"/>
  <c r="G2848" i="1"/>
  <c r="H2847" i="1"/>
  <c r="G2847" i="1"/>
  <c r="H2846" i="1"/>
  <c r="G2846" i="1"/>
  <c r="H2845" i="1"/>
  <c r="G2845" i="1"/>
  <c r="H2844" i="1"/>
  <c r="G2844" i="1"/>
  <c r="H2843" i="1"/>
  <c r="G2843" i="1"/>
  <c r="H2842" i="1"/>
  <c r="G2842" i="1"/>
  <c r="H2841" i="1"/>
  <c r="G2841" i="1"/>
  <c r="H2840" i="1"/>
  <c r="G2840" i="1"/>
  <c r="H2839" i="1"/>
  <c r="G2839" i="1"/>
  <c r="H2838" i="1"/>
  <c r="G2838" i="1"/>
  <c r="H2837" i="1"/>
  <c r="G2837" i="1"/>
  <c r="H2836" i="1"/>
  <c r="G2836" i="1"/>
  <c r="H2835" i="1"/>
  <c r="G2835" i="1"/>
  <c r="H2834" i="1"/>
  <c r="G2834" i="1"/>
  <c r="H2833" i="1"/>
  <c r="G2833" i="1"/>
  <c r="H2832" i="1"/>
  <c r="G2832" i="1"/>
  <c r="H2831" i="1"/>
  <c r="G2831" i="1"/>
  <c r="H2830" i="1"/>
  <c r="G2830" i="1"/>
  <c r="H2829" i="1"/>
  <c r="G2829" i="1"/>
  <c r="H2828" i="1"/>
  <c r="G2828" i="1"/>
  <c r="H2827" i="1"/>
  <c r="G2827" i="1"/>
  <c r="H2826" i="1"/>
  <c r="G2826" i="1"/>
  <c r="H2825" i="1"/>
  <c r="G2825" i="1"/>
  <c r="H2824" i="1"/>
  <c r="G2824" i="1"/>
  <c r="H2823" i="1"/>
  <c r="G2823" i="1"/>
  <c r="H2822" i="1"/>
  <c r="G2822" i="1"/>
  <c r="H2821" i="1"/>
  <c r="G2821" i="1"/>
  <c r="H2820" i="1"/>
  <c r="G2820" i="1"/>
  <c r="H2819" i="1"/>
  <c r="G2819" i="1"/>
  <c r="H2818" i="1"/>
  <c r="G2818" i="1"/>
  <c r="H2817" i="1"/>
  <c r="G2817" i="1"/>
  <c r="H2816" i="1"/>
  <c r="G2816" i="1"/>
  <c r="H2815" i="1"/>
  <c r="G2815" i="1"/>
  <c r="H2814" i="1"/>
  <c r="G2814" i="1"/>
  <c r="H2813" i="1"/>
  <c r="G2813" i="1"/>
  <c r="H2812" i="1"/>
  <c r="G2812" i="1"/>
  <c r="H2811" i="1"/>
  <c r="G2811" i="1"/>
  <c r="H2810" i="1"/>
  <c r="G2810" i="1"/>
  <c r="H2809" i="1"/>
  <c r="G2809" i="1"/>
  <c r="H2808" i="1"/>
  <c r="G2808" i="1"/>
  <c r="H2807" i="1"/>
  <c r="G2807" i="1"/>
  <c r="H2806" i="1"/>
  <c r="G2806" i="1"/>
  <c r="H2805" i="1"/>
  <c r="G2805" i="1"/>
  <c r="H2804" i="1"/>
  <c r="G2804" i="1"/>
  <c r="H2803" i="1"/>
  <c r="G2803" i="1"/>
  <c r="H2802" i="1"/>
  <c r="G2802" i="1"/>
  <c r="H2801" i="1"/>
  <c r="G2801" i="1"/>
  <c r="H2800" i="1"/>
  <c r="G2800" i="1"/>
  <c r="H2799" i="1"/>
  <c r="G2799" i="1"/>
  <c r="H2798" i="1"/>
  <c r="G2798" i="1"/>
  <c r="H2797" i="1"/>
  <c r="G2797" i="1"/>
  <c r="H2796" i="1"/>
  <c r="G2796" i="1"/>
  <c r="H2795" i="1"/>
  <c r="G2795" i="1"/>
  <c r="H2794" i="1"/>
  <c r="G2794" i="1"/>
  <c r="H2793" i="1"/>
  <c r="G2793" i="1"/>
  <c r="H2792" i="1"/>
  <c r="G2792" i="1"/>
  <c r="H2791" i="1"/>
  <c r="G2791" i="1"/>
  <c r="H2790" i="1"/>
  <c r="G2790" i="1"/>
  <c r="H2789" i="1"/>
  <c r="G2789" i="1"/>
  <c r="H2788" i="1"/>
  <c r="G2788" i="1"/>
  <c r="H2787" i="1"/>
  <c r="G2787" i="1"/>
  <c r="H2786" i="1"/>
  <c r="G2786" i="1"/>
  <c r="H2785" i="1"/>
  <c r="G2785" i="1"/>
  <c r="H2784" i="1"/>
  <c r="G2784" i="1"/>
  <c r="H2783" i="1"/>
  <c r="G2783" i="1"/>
  <c r="H2782" i="1"/>
  <c r="G2782" i="1"/>
  <c r="H2781" i="1"/>
  <c r="G2781" i="1"/>
  <c r="H2780" i="1"/>
  <c r="G2780" i="1"/>
  <c r="H2779" i="1"/>
  <c r="G2779" i="1"/>
  <c r="H2778" i="1"/>
  <c r="G2778" i="1"/>
  <c r="H2777" i="1"/>
  <c r="G2777" i="1"/>
  <c r="H2776" i="1"/>
  <c r="G2776" i="1"/>
  <c r="H2775" i="1"/>
  <c r="G2775" i="1"/>
  <c r="H2774" i="1"/>
  <c r="G2774" i="1"/>
  <c r="H2773" i="1"/>
  <c r="G2773" i="1"/>
  <c r="H2772" i="1"/>
  <c r="G2772" i="1"/>
  <c r="H2771" i="1"/>
  <c r="G2771" i="1"/>
  <c r="H2770" i="1"/>
  <c r="G2770" i="1"/>
  <c r="H2769" i="1"/>
  <c r="G2769" i="1"/>
  <c r="H2768" i="1"/>
  <c r="G2768" i="1"/>
  <c r="H2767" i="1"/>
  <c r="G2767" i="1"/>
  <c r="H2766" i="1"/>
  <c r="G2766" i="1"/>
  <c r="H2765" i="1"/>
  <c r="G2765" i="1"/>
  <c r="H2764" i="1"/>
  <c r="G2764" i="1"/>
  <c r="H2763" i="1"/>
  <c r="G2763" i="1"/>
  <c r="H2762" i="1"/>
  <c r="G2762" i="1"/>
  <c r="H2761" i="1"/>
  <c r="G2761" i="1"/>
  <c r="H2760" i="1"/>
  <c r="G2760" i="1"/>
  <c r="H2759" i="1"/>
  <c r="G2759" i="1"/>
  <c r="H2758" i="1"/>
  <c r="G2758" i="1"/>
  <c r="H2757" i="1"/>
  <c r="G2757" i="1"/>
  <c r="H2756" i="1"/>
  <c r="G2756" i="1"/>
  <c r="H2755" i="1"/>
  <c r="G2755" i="1"/>
  <c r="H2754" i="1"/>
  <c r="G2754" i="1"/>
  <c r="H2753" i="1"/>
  <c r="G2753" i="1"/>
  <c r="H2752" i="1"/>
  <c r="G2752" i="1"/>
  <c r="H2751" i="1"/>
  <c r="G2751" i="1"/>
  <c r="H2750" i="1"/>
  <c r="G2750" i="1"/>
  <c r="H2749" i="1"/>
  <c r="G2749" i="1"/>
  <c r="H2748" i="1"/>
  <c r="G2748" i="1"/>
  <c r="H2747" i="1"/>
  <c r="G2747" i="1"/>
  <c r="H2746" i="1"/>
  <c r="G2746" i="1"/>
  <c r="H2745" i="1"/>
  <c r="G2745" i="1"/>
  <c r="H2744" i="1"/>
  <c r="G2744" i="1"/>
  <c r="H2743" i="1"/>
  <c r="G2743" i="1"/>
  <c r="H2742" i="1"/>
  <c r="G2742" i="1"/>
  <c r="H2741" i="1"/>
  <c r="G2741" i="1"/>
  <c r="H2740" i="1"/>
  <c r="G2740" i="1"/>
  <c r="H2739" i="1"/>
  <c r="G2739" i="1"/>
  <c r="H2738" i="1"/>
  <c r="G2738" i="1"/>
  <c r="H2737" i="1"/>
  <c r="G2737" i="1"/>
  <c r="H2736" i="1"/>
  <c r="G2736" i="1"/>
  <c r="H2735" i="1"/>
  <c r="G2735" i="1"/>
  <c r="H2734" i="1"/>
  <c r="G2734" i="1"/>
  <c r="H2733" i="1"/>
  <c r="G2733" i="1"/>
  <c r="H2732" i="1"/>
  <c r="G2732" i="1"/>
  <c r="H2731" i="1"/>
  <c r="G2731" i="1"/>
  <c r="H2730" i="1"/>
  <c r="G2730" i="1"/>
  <c r="H2729" i="1"/>
  <c r="G2729" i="1"/>
  <c r="H2728" i="1"/>
  <c r="G2728" i="1"/>
  <c r="H2727" i="1"/>
  <c r="G2727" i="1"/>
  <c r="H2726" i="1"/>
  <c r="G2726" i="1"/>
  <c r="H2725" i="1"/>
  <c r="G2725" i="1"/>
  <c r="H2724" i="1"/>
  <c r="G2724" i="1"/>
  <c r="H2723" i="1"/>
  <c r="G2723" i="1"/>
  <c r="H2722" i="1"/>
  <c r="G2722" i="1"/>
  <c r="H2721" i="1"/>
  <c r="G2721" i="1"/>
  <c r="H2720" i="1"/>
  <c r="G2720" i="1"/>
  <c r="H2719" i="1"/>
  <c r="G2719" i="1"/>
  <c r="H2718" i="1"/>
  <c r="G2718" i="1"/>
  <c r="H2717" i="1"/>
  <c r="G2717" i="1"/>
  <c r="H2716" i="1"/>
  <c r="G2716" i="1"/>
  <c r="H2715" i="1"/>
  <c r="G2715" i="1"/>
  <c r="H2714" i="1"/>
  <c r="G2714" i="1"/>
  <c r="H2713" i="1"/>
  <c r="G2713" i="1"/>
  <c r="H2712" i="1"/>
  <c r="G2712" i="1"/>
  <c r="H2711" i="1"/>
  <c r="G2711" i="1"/>
  <c r="H2710" i="1"/>
  <c r="G2710" i="1"/>
  <c r="H2709" i="1"/>
  <c r="G2709" i="1"/>
  <c r="H2708" i="1"/>
  <c r="G2708" i="1"/>
  <c r="H2707" i="1"/>
  <c r="G2707" i="1"/>
  <c r="H2706" i="1"/>
  <c r="G2706" i="1"/>
  <c r="H2705" i="1"/>
  <c r="G2705" i="1"/>
  <c r="H2704" i="1"/>
  <c r="G2704" i="1"/>
  <c r="H2703" i="1"/>
  <c r="G2703" i="1"/>
  <c r="H2702" i="1"/>
  <c r="G2702" i="1"/>
  <c r="H2701" i="1"/>
  <c r="G2701" i="1"/>
  <c r="H2700" i="1"/>
  <c r="G2700" i="1"/>
  <c r="H2699" i="1"/>
  <c r="G2699" i="1"/>
  <c r="H2698" i="1"/>
  <c r="G2698" i="1"/>
  <c r="H2697" i="1"/>
  <c r="G2697" i="1"/>
  <c r="H2696" i="1"/>
  <c r="G2696" i="1"/>
  <c r="H2695" i="1"/>
  <c r="G2695" i="1"/>
  <c r="H2694" i="1"/>
  <c r="G2694" i="1"/>
  <c r="H2693" i="1"/>
  <c r="G2693" i="1"/>
  <c r="H2692" i="1"/>
  <c r="G2692" i="1"/>
  <c r="H2691" i="1"/>
  <c r="G2691" i="1"/>
  <c r="H2690" i="1"/>
  <c r="G2690" i="1"/>
  <c r="H2689" i="1"/>
  <c r="G2689" i="1"/>
  <c r="H2688" i="1"/>
  <c r="G2688" i="1"/>
  <c r="H2687" i="1"/>
  <c r="G2687" i="1"/>
  <c r="H2686" i="1"/>
  <c r="G2686" i="1"/>
  <c r="H2685" i="1"/>
  <c r="G2685" i="1"/>
  <c r="H2684" i="1"/>
  <c r="G2684" i="1"/>
  <c r="H2683" i="1"/>
  <c r="G2683" i="1"/>
  <c r="H2682" i="1"/>
  <c r="G2682" i="1"/>
  <c r="H2681" i="1"/>
  <c r="G2681" i="1"/>
  <c r="H2680" i="1"/>
  <c r="G2680" i="1"/>
  <c r="H2679" i="1"/>
  <c r="G2679" i="1"/>
  <c r="H2678" i="1"/>
  <c r="G2678" i="1"/>
  <c r="H2677" i="1"/>
  <c r="G2677" i="1"/>
  <c r="H2676" i="1"/>
  <c r="G2676" i="1"/>
  <c r="H2675" i="1"/>
  <c r="G2675" i="1"/>
  <c r="H2674" i="1"/>
  <c r="G2674" i="1"/>
  <c r="H2673" i="1"/>
  <c r="G2673" i="1"/>
  <c r="H2672" i="1"/>
  <c r="G2672" i="1"/>
  <c r="H2671" i="1"/>
  <c r="G2671" i="1"/>
  <c r="H2670" i="1"/>
  <c r="G2670" i="1"/>
  <c r="H2669" i="1"/>
  <c r="G2669" i="1"/>
  <c r="H2668" i="1"/>
  <c r="G2668" i="1"/>
  <c r="H2667" i="1"/>
  <c r="G2667" i="1"/>
  <c r="H2666" i="1"/>
  <c r="G2666" i="1"/>
  <c r="H2665" i="1"/>
  <c r="G2665" i="1"/>
  <c r="H2664" i="1"/>
  <c r="G2664" i="1"/>
  <c r="H2663" i="1"/>
  <c r="G2663" i="1"/>
  <c r="H2662" i="1"/>
  <c r="G2662" i="1"/>
  <c r="H2661" i="1"/>
  <c r="G2661" i="1"/>
  <c r="H2660" i="1"/>
  <c r="G2660" i="1"/>
  <c r="H2659" i="1"/>
  <c r="G2659" i="1"/>
  <c r="H2658" i="1"/>
  <c r="G2658" i="1"/>
  <c r="H2657" i="1"/>
  <c r="G2657" i="1"/>
  <c r="H2656" i="1"/>
  <c r="G2656" i="1"/>
  <c r="H2655" i="1"/>
  <c r="G2655" i="1"/>
  <c r="H2654" i="1"/>
  <c r="G2654" i="1"/>
  <c r="H2653" i="1"/>
  <c r="G2653" i="1"/>
  <c r="H2652" i="1"/>
  <c r="G2652" i="1"/>
  <c r="H2651" i="1"/>
  <c r="G2651" i="1"/>
  <c r="H2650" i="1"/>
  <c r="G2650" i="1"/>
  <c r="H2649" i="1"/>
  <c r="G2649" i="1"/>
  <c r="H2648" i="1"/>
  <c r="G2648" i="1"/>
  <c r="H2647" i="1"/>
  <c r="G2647" i="1"/>
  <c r="H2646" i="1"/>
  <c r="G2646" i="1"/>
  <c r="H2645" i="1"/>
  <c r="G2645" i="1"/>
  <c r="H2644" i="1"/>
  <c r="G2644" i="1"/>
  <c r="H2643" i="1"/>
  <c r="G2643" i="1"/>
  <c r="H2642" i="1"/>
  <c r="G2642" i="1"/>
  <c r="H2641" i="1"/>
  <c r="G2641" i="1"/>
  <c r="H2640" i="1"/>
  <c r="G2640" i="1"/>
  <c r="H2639" i="1"/>
  <c r="G2639" i="1"/>
  <c r="H2638" i="1"/>
  <c r="G2638" i="1"/>
  <c r="H2637" i="1"/>
  <c r="G2637" i="1"/>
  <c r="H2636" i="1"/>
  <c r="G2636" i="1"/>
  <c r="H2635" i="1"/>
  <c r="G2635" i="1"/>
  <c r="H2634" i="1"/>
  <c r="G2634" i="1"/>
  <c r="H2633" i="1"/>
  <c r="G2633" i="1"/>
  <c r="H2632" i="1"/>
  <c r="G2632" i="1"/>
  <c r="H2631" i="1"/>
  <c r="G2631" i="1"/>
  <c r="H2630" i="1"/>
  <c r="G2630" i="1"/>
  <c r="H2629" i="1"/>
  <c r="G2629" i="1"/>
  <c r="H2628" i="1"/>
  <c r="G2628" i="1"/>
  <c r="H2627" i="1"/>
  <c r="G2627" i="1"/>
  <c r="H2626" i="1"/>
  <c r="G2626" i="1"/>
  <c r="H2625" i="1"/>
  <c r="G2625" i="1"/>
  <c r="H2624" i="1"/>
  <c r="G2624" i="1"/>
  <c r="H2623" i="1"/>
  <c r="G2623" i="1"/>
  <c r="H2622" i="1"/>
  <c r="G2622" i="1"/>
  <c r="H2621" i="1"/>
  <c r="G2621" i="1"/>
  <c r="H2620" i="1"/>
  <c r="G2620" i="1"/>
  <c r="H2619" i="1"/>
  <c r="G2619" i="1"/>
  <c r="H2618" i="1"/>
  <c r="G2618" i="1"/>
  <c r="H2617" i="1"/>
  <c r="G2617" i="1"/>
  <c r="H2616" i="1"/>
  <c r="G2616" i="1"/>
  <c r="H2615" i="1"/>
  <c r="G2615" i="1"/>
  <c r="H2614" i="1"/>
  <c r="G2614" i="1"/>
  <c r="H2613" i="1"/>
  <c r="G2613" i="1"/>
  <c r="H2612" i="1"/>
  <c r="G2612" i="1"/>
  <c r="H2611" i="1"/>
  <c r="G2611" i="1"/>
  <c r="H2610" i="1"/>
  <c r="G2610" i="1"/>
  <c r="H2609" i="1"/>
  <c r="G2609" i="1"/>
  <c r="H2608" i="1"/>
  <c r="G2608" i="1"/>
  <c r="H2607" i="1"/>
  <c r="G2607" i="1"/>
  <c r="H2606" i="1"/>
  <c r="G2606" i="1"/>
  <c r="H2605" i="1"/>
  <c r="G2605" i="1"/>
  <c r="H2604" i="1"/>
  <c r="G2604" i="1"/>
  <c r="H2603" i="1"/>
  <c r="G2603" i="1"/>
  <c r="H2602" i="1"/>
  <c r="G2602" i="1"/>
  <c r="H2601" i="1"/>
  <c r="G2601" i="1"/>
  <c r="H2600" i="1"/>
  <c r="G2600" i="1"/>
  <c r="H2599" i="1"/>
  <c r="G2599" i="1"/>
  <c r="H2598" i="1"/>
  <c r="G2598" i="1"/>
  <c r="H2597" i="1"/>
  <c r="G2597" i="1"/>
  <c r="H2596" i="1"/>
  <c r="G2596" i="1"/>
  <c r="H2595" i="1"/>
  <c r="G2595" i="1"/>
  <c r="H2594" i="1"/>
  <c r="G2594" i="1"/>
  <c r="H2593" i="1"/>
  <c r="G2593" i="1"/>
  <c r="H2592" i="1"/>
  <c r="G2592" i="1"/>
  <c r="H2591" i="1"/>
  <c r="G2591" i="1"/>
  <c r="H2590" i="1"/>
  <c r="G2590" i="1"/>
  <c r="H2589" i="1"/>
  <c r="G2589" i="1"/>
  <c r="H2588" i="1"/>
  <c r="G2588" i="1"/>
  <c r="H2587" i="1"/>
  <c r="G2587" i="1"/>
  <c r="H2586" i="1"/>
  <c r="G2586" i="1"/>
  <c r="H2585" i="1"/>
  <c r="G2585" i="1"/>
  <c r="H2584" i="1"/>
  <c r="G2584" i="1"/>
  <c r="H2583" i="1"/>
  <c r="G2583" i="1"/>
  <c r="H2582" i="1"/>
  <c r="G2582" i="1"/>
  <c r="H2581" i="1"/>
  <c r="G2581" i="1"/>
  <c r="H2580" i="1"/>
  <c r="G2580" i="1"/>
  <c r="H2579" i="1"/>
  <c r="G2579" i="1"/>
  <c r="H2578" i="1"/>
  <c r="G2578" i="1"/>
  <c r="H2577" i="1"/>
  <c r="G2577" i="1"/>
  <c r="H2576" i="1"/>
  <c r="G2576" i="1"/>
  <c r="H2575" i="1"/>
  <c r="G2575" i="1"/>
  <c r="H2574" i="1"/>
  <c r="G2574" i="1"/>
  <c r="H2573" i="1"/>
  <c r="G2573" i="1"/>
  <c r="H2572" i="1"/>
  <c r="G2572" i="1"/>
  <c r="H2571" i="1"/>
  <c r="G2571" i="1"/>
  <c r="H2570" i="1"/>
  <c r="G2570" i="1"/>
  <c r="H2569" i="1"/>
  <c r="G2569" i="1"/>
  <c r="H2568" i="1"/>
  <c r="G2568" i="1"/>
  <c r="H2567" i="1"/>
  <c r="G2567" i="1"/>
  <c r="H2566" i="1"/>
  <c r="G2566" i="1"/>
  <c r="H2565" i="1"/>
  <c r="G2565" i="1"/>
  <c r="H2564" i="1"/>
  <c r="G2564" i="1"/>
  <c r="H2563" i="1"/>
  <c r="G2563" i="1"/>
  <c r="H2562" i="1"/>
  <c r="G2562" i="1"/>
  <c r="H2561" i="1"/>
  <c r="G2561" i="1"/>
  <c r="H2560" i="1"/>
  <c r="G2560" i="1"/>
  <c r="H2559" i="1"/>
  <c r="G2559" i="1"/>
  <c r="H2558" i="1"/>
  <c r="G2558" i="1"/>
  <c r="H2557" i="1"/>
  <c r="G2557" i="1"/>
  <c r="H2556" i="1"/>
  <c r="G2556" i="1"/>
  <c r="H2555" i="1"/>
  <c r="G2555" i="1"/>
  <c r="H2554" i="1"/>
  <c r="G2554" i="1"/>
  <c r="H2553" i="1"/>
  <c r="G2553" i="1"/>
  <c r="H2552" i="1"/>
  <c r="G2552" i="1"/>
  <c r="H2551" i="1"/>
  <c r="G2551" i="1"/>
  <c r="H2550" i="1"/>
  <c r="G2550" i="1"/>
  <c r="H2549" i="1"/>
  <c r="G2549" i="1"/>
  <c r="H2548" i="1"/>
  <c r="G2548" i="1"/>
  <c r="H2547" i="1"/>
  <c r="G2547" i="1"/>
  <c r="H2546" i="1"/>
  <c r="G2546" i="1"/>
  <c r="H2545" i="1"/>
  <c r="G2545" i="1"/>
  <c r="H2544" i="1"/>
  <c r="G2544" i="1"/>
  <c r="H2543" i="1"/>
  <c r="G2543" i="1"/>
  <c r="H2542" i="1"/>
  <c r="G2542" i="1"/>
  <c r="H2541" i="1"/>
  <c r="G2541" i="1"/>
  <c r="H2540" i="1"/>
  <c r="G2540" i="1"/>
  <c r="H2539" i="1"/>
  <c r="G2539" i="1"/>
  <c r="H2538" i="1"/>
  <c r="G2538" i="1"/>
  <c r="H2537" i="1"/>
  <c r="G2537" i="1"/>
  <c r="H2536" i="1"/>
  <c r="G2536" i="1"/>
  <c r="H2535" i="1"/>
  <c r="G2535" i="1"/>
  <c r="H2534" i="1"/>
  <c r="G2534" i="1"/>
  <c r="H2533" i="1"/>
  <c r="G2533" i="1"/>
  <c r="H2532" i="1"/>
  <c r="G2532" i="1"/>
  <c r="H2531" i="1"/>
  <c r="G2531" i="1"/>
  <c r="H2530" i="1"/>
  <c r="G2530" i="1"/>
  <c r="H2529" i="1"/>
  <c r="G2529" i="1"/>
  <c r="H2528" i="1"/>
  <c r="G2528" i="1"/>
  <c r="H2527" i="1"/>
  <c r="G2527" i="1"/>
  <c r="H2526" i="1"/>
  <c r="G2526" i="1"/>
  <c r="H2525" i="1"/>
  <c r="G2525" i="1"/>
  <c r="H2524" i="1"/>
  <c r="G2524" i="1"/>
  <c r="H2523" i="1"/>
  <c r="G2523" i="1"/>
  <c r="H2522" i="1"/>
  <c r="G2522" i="1"/>
  <c r="H2521" i="1"/>
  <c r="G2521" i="1"/>
  <c r="H2520" i="1"/>
  <c r="G2520" i="1"/>
  <c r="H2519" i="1"/>
  <c r="G2519" i="1"/>
  <c r="H2518" i="1"/>
  <c r="G2518" i="1"/>
  <c r="H2517" i="1"/>
  <c r="G2517" i="1"/>
  <c r="H2516" i="1"/>
  <c r="G2516" i="1"/>
  <c r="H2515" i="1"/>
  <c r="G2515" i="1"/>
  <c r="H2514" i="1"/>
  <c r="G2514" i="1"/>
  <c r="H2513" i="1"/>
  <c r="G2513" i="1"/>
  <c r="H2512" i="1"/>
  <c r="G2512" i="1"/>
  <c r="H2511" i="1"/>
  <c r="G2511" i="1"/>
  <c r="H2510" i="1"/>
  <c r="G2510" i="1"/>
  <c r="H2509" i="1"/>
  <c r="G2509" i="1"/>
  <c r="H2508" i="1"/>
  <c r="G2508" i="1"/>
  <c r="H2507" i="1"/>
  <c r="G2507" i="1"/>
  <c r="H2506" i="1"/>
  <c r="G2506" i="1"/>
  <c r="H2505" i="1"/>
  <c r="G2505" i="1"/>
  <c r="H2504" i="1"/>
  <c r="G2504" i="1"/>
  <c r="H2503" i="1"/>
  <c r="G2503" i="1"/>
  <c r="H2502" i="1"/>
  <c r="G2502" i="1"/>
  <c r="H2501" i="1"/>
  <c r="G2501" i="1"/>
  <c r="H2500" i="1"/>
  <c r="G2500" i="1"/>
  <c r="H2499" i="1"/>
  <c r="G2499" i="1"/>
  <c r="H2498" i="1"/>
  <c r="G2498" i="1"/>
  <c r="H2497" i="1"/>
  <c r="G2497" i="1"/>
  <c r="H2496" i="1"/>
  <c r="G2496" i="1"/>
  <c r="H2495" i="1"/>
  <c r="G2495" i="1"/>
  <c r="H2494" i="1"/>
  <c r="G2494" i="1"/>
  <c r="H2493" i="1"/>
  <c r="G2493" i="1"/>
  <c r="H2492" i="1"/>
  <c r="G2492" i="1"/>
  <c r="H2491" i="1"/>
  <c r="G2491" i="1"/>
  <c r="H2490" i="1"/>
  <c r="G2490" i="1"/>
  <c r="H2489" i="1"/>
  <c r="G2489" i="1"/>
  <c r="H2488" i="1"/>
  <c r="G2488" i="1"/>
  <c r="H2487" i="1"/>
  <c r="G2487" i="1"/>
  <c r="H2486" i="1"/>
  <c r="G2486" i="1"/>
  <c r="H2485" i="1"/>
  <c r="G2485" i="1"/>
  <c r="H2484" i="1"/>
  <c r="G2484" i="1"/>
  <c r="H2483" i="1"/>
  <c r="G2483" i="1"/>
  <c r="H2482" i="1"/>
  <c r="G2482" i="1"/>
  <c r="H2481" i="1"/>
  <c r="G2481" i="1"/>
  <c r="H2480" i="1"/>
  <c r="G2480" i="1"/>
  <c r="H2479" i="1"/>
  <c r="G2479" i="1"/>
  <c r="H2478" i="1"/>
  <c r="G2478" i="1"/>
  <c r="H2477" i="1"/>
  <c r="G2477" i="1"/>
  <c r="H2476" i="1"/>
  <c r="G2476" i="1"/>
  <c r="H2475" i="1"/>
  <c r="G2475" i="1"/>
  <c r="H2474" i="1"/>
  <c r="G2474" i="1"/>
  <c r="H2473" i="1"/>
  <c r="G2473" i="1"/>
  <c r="H2472" i="1"/>
  <c r="G2472" i="1"/>
  <c r="H2471" i="1"/>
  <c r="G2471" i="1"/>
  <c r="H2470" i="1"/>
  <c r="G2470" i="1"/>
  <c r="H2469" i="1"/>
  <c r="G2469" i="1"/>
  <c r="H2468" i="1"/>
  <c r="G2468" i="1"/>
  <c r="H2467" i="1"/>
  <c r="G2467" i="1"/>
  <c r="H2466" i="1"/>
  <c r="G2466" i="1"/>
  <c r="H2465" i="1"/>
  <c r="G2465" i="1"/>
  <c r="H2464" i="1"/>
  <c r="G2464" i="1"/>
  <c r="H2463" i="1"/>
  <c r="G2463" i="1"/>
  <c r="H2462" i="1"/>
  <c r="G2462" i="1"/>
  <c r="H2461" i="1"/>
  <c r="G2461" i="1"/>
  <c r="H2460" i="1"/>
  <c r="G2460" i="1"/>
  <c r="H2459" i="1"/>
  <c r="G2459" i="1"/>
  <c r="H2458" i="1"/>
  <c r="G2458" i="1"/>
  <c r="H2457" i="1"/>
  <c r="G2457" i="1"/>
  <c r="H2456" i="1"/>
  <c r="G2456" i="1"/>
  <c r="H2455" i="1"/>
  <c r="G2455" i="1"/>
  <c r="H2454" i="1"/>
  <c r="G2454" i="1"/>
  <c r="H2453" i="1"/>
  <c r="G2453" i="1"/>
  <c r="H2452" i="1"/>
  <c r="G2452" i="1"/>
  <c r="H2451" i="1"/>
  <c r="G2451" i="1"/>
  <c r="H2450" i="1"/>
  <c r="G2450" i="1"/>
  <c r="H2449" i="1"/>
  <c r="G2449" i="1"/>
  <c r="H2448" i="1"/>
  <c r="G2448" i="1"/>
  <c r="H2447" i="1"/>
  <c r="G2447" i="1"/>
  <c r="H2446" i="1"/>
  <c r="G2446" i="1"/>
  <c r="H2445" i="1"/>
  <c r="G2445" i="1"/>
  <c r="H2444" i="1"/>
  <c r="G2444" i="1"/>
  <c r="H2443" i="1"/>
  <c r="G2443" i="1"/>
  <c r="H2442" i="1"/>
  <c r="G2442" i="1"/>
  <c r="H2441" i="1"/>
  <c r="G2441" i="1"/>
  <c r="H2440" i="1"/>
  <c r="G2440" i="1"/>
  <c r="H2439" i="1"/>
  <c r="G2439" i="1"/>
  <c r="H2438" i="1"/>
  <c r="G2438" i="1"/>
  <c r="H2437" i="1"/>
  <c r="G2437" i="1"/>
  <c r="H2436" i="1"/>
  <c r="G2436" i="1"/>
  <c r="H2435" i="1"/>
  <c r="G2435" i="1"/>
  <c r="H2434" i="1"/>
  <c r="G2434" i="1"/>
  <c r="H2433" i="1"/>
  <c r="G2433" i="1"/>
  <c r="H2432" i="1"/>
  <c r="G2432" i="1"/>
  <c r="H2431" i="1"/>
  <c r="G2431" i="1"/>
  <c r="H2430" i="1"/>
  <c r="G2430" i="1"/>
  <c r="H2429" i="1"/>
  <c r="G2429" i="1"/>
  <c r="H2428" i="1"/>
  <c r="G2428" i="1"/>
  <c r="H2427" i="1"/>
  <c r="G2427" i="1"/>
  <c r="H2426" i="1"/>
  <c r="G2426" i="1"/>
  <c r="H2425" i="1"/>
  <c r="G2425" i="1"/>
  <c r="H2424" i="1"/>
  <c r="G2424" i="1"/>
  <c r="H2423" i="1"/>
  <c r="G2423" i="1"/>
  <c r="H2422" i="1"/>
  <c r="G2422" i="1"/>
  <c r="H2421" i="1"/>
  <c r="G2421" i="1"/>
  <c r="H2420" i="1"/>
  <c r="G2420" i="1"/>
  <c r="H2419" i="1"/>
  <c r="G2419" i="1"/>
  <c r="H2418" i="1"/>
  <c r="G2418" i="1"/>
  <c r="H2417" i="1"/>
  <c r="G2417" i="1"/>
  <c r="H2416" i="1"/>
  <c r="G2416" i="1"/>
  <c r="H2415" i="1"/>
  <c r="G2415" i="1"/>
  <c r="H2414" i="1"/>
  <c r="G2414" i="1"/>
  <c r="H2413" i="1"/>
  <c r="G2413" i="1"/>
  <c r="H2412" i="1"/>
  <c r="G2412" i="1"/>
  <c r="H2411" i="1"/>
  <c r="G2411" i="1"/>
  <c r="H2410" i="1"/>
  <c r="G2410" i="1"/>
  <c r="H2409" i="1"/>
  <c r="G2409" i="1"/>
  <c r="H2408" i="1"/>
  <c r="G2408" i="1"/>
  <c r="H2407" i="1"/>
  <c r="G2407" i="1"/>
  <c r="H2406" i="1"/>
  <c r="G2406" i="1"/>
  <c r="H2405" i="1"/>
  <c r="G2405" i="1"/>
  <c r="H2404" i="1"/>
  <c r="G2404" i="1"/>
  <c r="H2403" i="1"/>
  <c r="G2403" i="1"/>
  <c r="H2402" i="1"/>
  <c r="G2402" i="1"/>
  <c r="H2401" i="1"/>
  <c r="G2401" i="1"/>
  <c r="H2400" i="1"/>
  <c r="G2400" i="1"/>
  <c r="H2399" i="1"/>
  <c r="G2399" i="1"/>
  <c r="H2398" i="1"/>
  <c r="G2398" i="1"/>
  <c r="H2397" i="1"/>
  <c r="G2397" i="1"/>
  <c r="H2396" i="1"/>
  <c r="G2396" i="1"/>
  <c r="H2395" i="1"/>
  <c r="G2395" i="1"/>
  <c r="H2394" i="1"/>
  <c r="G2394" i="1"/>
  <c r="H2393" i="1"/>
  <c r="G2393" i="1"/>
  <c r="H2392" i="1"/>
  <c r="G2392" i="1"/>
  <c r="H2391" i="1"/>
  <c r="G2391" i="1"/>
  <c r="H2390" i="1"/>
  <c r="G2390" i="1"/>
  <c r="H2389" i="1"/>
  <c r="G2389" i="1"/>
  <c r="H2388" i="1"/>
  <c r="G2388" i="1"/>
  <c r="H2387" i="1"/>
  <c r="G2387" i="1"/>
  <c r="H2386" i="1"/>
  <c r="G2386" i="1"/>
  <c r="H2385" i="1"/>
  <c r="G2385" i="1"/>
  <c r="H2384" i="1"/>
  <c r="G2384" i="1"/>
  <c r="H2383" i="1"/>
  <c r="G2383" i="1"/>
  <c r="H2382" i="1"/>
  <c r="G2382" i="1"/>
  <c r="H2381" i="1"/>
  <c r="G2381" i="1"/>
  <c r="H2380" i="1"/>
  <c r="G2380" i="1"/>
  <c r="H2379" i="1"/>
  <c r="G2379" i="1"/>
  <c r="H2378" i="1"/>
  <c r="G2378" i="1"/>
  <c r="H2377" i="1"/>
  <c r="G2377" i="1"/>
  <c r="H2376" i="1"/>
  <c r="G2376" i="1"/>
  <c r="H2375" i="1"/>
  <c r="G2375" i="1"/>
  <c r="H2374" i="1"/>
  <c r="G2374" i="1"/>
  <c r="H2373" i="1"/>
  <c r="G2373" i="1"/>
  <c r="H2372" i="1"/>
  <c r="G2372" i="1"/>
  <c r="H2371" i="1"/>
  <c r="G2371" i="1"/>
  <c r="H2370" i="1"/>
  <c r="G2370" i="1"/>
  <c r="H2369" i="1"/>
  <c r="G2369" i="1"/>
  <c r="H2368" i="1"/>
  <c r="G2368" i="1"/>
  <c r="H2367" i="1"/>
  <c r="G2367" i="1"/>
  <c r="H2366" i="1"/>
  <c r="G2366" i="1"/>
  <c r="H2365" i="1"/>
  <c r="G2365" i="1"/>
  <c r="H2364" i="1"/>
  <c r="G2364" i="1"/>
  <c r="H2363" i="1"/>
  <c r="G2363" i="1"/>
  <c r="H2362" i="1"/>
  <c r="G2362" i="1"/>
  <c r="H2361" i="1"/>
  <c r="G2361" i="1"/>
  <c r="H2360" i="1"/>
  <c r="G2360" i="1"/>
  <c r="H2359" i="1"/>
  <c r="G2359" i="1"/>
  <c r="H2358" i="1"/>
  <c r="G2358" i="1"/>
  <c r="H2357" i="1"/>
  <c r="G2357" i="1"/>
  <c r="H2356" i="1"/>
  <c r="G2356" i="1"/>
  <c r="H2355" i="1"/>
  <c r="G2355" i="1"/>
  <c r="H2354" i="1"/>
  <c r="G2354" i="1"/>
  <c r="H2353" i="1"/>
  <c r="G2353" i="1"/>
  <c r="H2352" i="1"/>
  <c r="G2352" i="1"/>
  <c r="H2351" i="1"/>
  <c r="G2351" i="1"/>
  <c r="H2350" i="1"/>
  <c r="G2350" i="1"/>
  <c r="H2349" i="1"/>
  <c r="G2349" i="1"/>
  <c r="H2348" i="1"/>
  <c r="G2348" i="1"/>
  <c r="H2347" i="1"/>
  <c r="G2347" i="1"/>
  <c r="H2346" i="1"/>
  <c r="G2346" i="1"/>
  <c r="H2345" i="1"/>
  <c r="G2345" i="1"/>
  <c r="H2344" i="1"/>
  <c r="G2344" i="1"/>
  <c r="H2343" i="1"/>
  <c r="G2343" i="1"/>
  <c r="H2342" i="1"/>
  <c r="G2342" i="1"/>
  <c r="H2341" i="1"/>
  <c r="G2341" i="1"/>
  <c r="H2340" i="1"/>
  <c r="G2340" i="1"/>
  <c r="H2339" i="1"/>
  <c r="G2339" i="1"/>
  <c r="H2338" i="1"/>
  <c r="G2338" i="1"/>
  <c r="H2337" i="1"/>
  <c r="G2337" i="1"/>
  <c r="H2336" i="1"/>
  <c r="G2336" i="1"/>
  <c r="H2335" i="1"/>
  <c r="G2335" i="1"/>
  <c r="H2334" i="1"/>
  <c r="G2334" i="1"/>
  <c r="H2333" i="1"/>
  <c r="G2333" i="1"/>
  <c r="H2332" i="1"/>
  <c r="G2332" i="1"/>
  <c r="H2331" i="1"/>
  <c r="G2331" i="1"/>
  <c r="H2330" i="1"/>
  <c r="G2330" i="1"/>
  <c r="H2329" i="1"/>
  <c r="G2329" i="1"/>
  <c r="H2328" i="1"/>
  <c r="G2328" i="1"/>
  <c r="H2327" i="1"/>
  <c r="G2327" i="1"/>
  <c r="H2326" i="1"/>
  <c r="G2326" i="1"/>
  <c r="H2325" i="1"/>
  <c r="G2325" i="1"/>
  <c r="H2324" i="1"/>
  <c r="G2324" i="1"/>
  <c r="H2323" i="1"/>
  <c r="G2323" i="1"/>
  <c r="H2322" i="1"/>
  <c r="G2322" i="1"/>
  <c r="H2321" i="1"/>
  <c r="G2321" i="1"/>
  <c r="H2320" i="1"/>
  <c r="G2320" i="1"/>
  <c r="H2319" i="1"/>
  <c r="G2319" i="1"/>
  <c r="H2318" i="1"/>
  <c r="G2318" i="1"/>
  <c r="H2317" i="1"/>
  <c r="G2317" i="1"/>
  <c r="H2316" i="1"/>
  <c r="G2316" i="1"/>
  <c r="H2315" i="1"/>
  <c r="G2315" i="1"/>
  <c r="H2314" i="1"/>
  <c r="G2314" i="1"/>
  <c r="H2313" i="1"/>
  <c r="G2313" i="1"/>
  <c r="H2312" i="1"/>
  <c r="G2312" i="1"/>
  <c r="H2311" i="1"/>
  <c r="G2311" i="1"/>
  <c r="A2311" i="1"/>
  <c r="H2310" i="1"/>
  <c r="G2310" i="1"/>
  <c r="A2310" i="1"/>
  <c r="H2309" i="1"/>
  <c r="G2309" i="1"/>
  <c r="A2309" i="1"/>
  <c r="H2308" i="1"/>
  <c r="G2308" i="1"/>
  <c r="A2308" i="1"/>
  <c r="H2307" i="1"/>
  <c r="G2307" i="1"/>
  <c r="A2307" i="1"/>
  <c r="H2306" i="1"/>
  <c r="G2306" i="1"/>
  <c r="A2306" i="1"/>
  <c r="H2305" i="1"/>
  <c r="G2305" i="1"/>
  <c r="A2305" i="1"/>
  <c r="H2304" i="1"/>
  <c r="G2304" i="1"/>
  <c r="A2304" i="1"/>
  <c r="H2303" i="1"/>
  <c r="G2303" i="1"/>
  <c r="A2303" i="1"/>
  <c r="H2302" i="1"/>
  <c r="G2302" i="1"/>
  <c r="A2302" i="1"/>
  <c r="H2301" i="1"/>
  <c r="G2301" i="1"/>
  <c r="A2301" i="1"/>
  <c r="H2300" i="1"/>
  <c r="G2300" i="1"/>
  <c r="A2300" i="1"/>
  <c r="H2299" i="1"/>
  <c r="G2299" i="1"/>
  <c r="A2299" i="1"/>
  <c r="H2298" i="1"/>
  <c r="G2298" i="1"/>
  <c r="A2298" i="1"/>
  <c r="H2297" i="1"/>
  <c r="G2297" i="1"/>
  <c r="A2297" i="1"/>
  <c r="H2296" i="1"/>
  <c r="G2296" i="1"/>
  <c r="A2296" i="1"/>
  <c r="H2295" i="1"/>
  <c r="G2295" i="1"/>
  <c r="A2295" i="1"/>
  <c r="H2294" i="1"/>
  <c r="G2294" i="1"/>
  <c r="A2294" i="1"/>
  <c r="H2293" i="1"/>
  <c r="G2293" i="1"/>
  <c r="A2293" i="1"/>
  <c r="H2292" i="1"/>
  <c r="G2292" i="1"/>
  <c r="A2292" i="1"/>
  <c r="H2291" i="1"/>
  <c r="G2291" i="1"/>
  <c r="A2291" i="1"/>
  <c r="H2290" i="1"/>
  <c r="G2290" i="1"/>
  <c r="A2290" i="1"/>
  <c r="H2289" i="1"/>
  <c r="G2289" i="1"/>
  <c r="A2289" i="1"/>
  <c r="H2288" i="1"/>
  <c r="G2288" i="1"/>
  <c r="A2288" i="1"/>
  <c r="H2287" i="1"/>
  <c r="G2287" i="1"/>
  <c r="A2287" i="1"/>
  <c r="H2286" i="1"/>
  <c r="G2286" i="1"/>
  <c r="A2286" i="1"/>
  <c r="H2285" i="1"/>
  <c r="G2285" i="1"/>
  <c r="A2285" i="1"/>
  <c r="H2284" i="1"/>
  <c r="G2284" i="1"/>
  <c r="A2284" i="1"/>
  <c r="H2283" i="1"/>
  <c r="G2283" i="1"/>
  <c r="A2283" i="1"/>
  <c r="H2282" i="1"/>
  <c r="G2282" i="1"/>
  <c r="A2282" i="1"/>
  <c r="H2281" i="1"/>
  <c r="G2281" i="1"/>
  <c r="A2281" i="1"/>
  <c r="H2280" i="1"/>
  <c r="G2280" i="1"/>
  <c r="A2280" i="1"/>
  <c r="H2279" i="1"/>
  <c r="G2279" i="1"/>
  <c r="A2279" i="1"/>
  <c r="H2278" i="1"/>
  <c r="G2278" i="1"/>
  <c r="A2278" i="1"/>
  <c r="H2277" i="1"/>
  <c r="G2277" i="1"/>
  <c r="A2277" i="1"/>
  <c r="H2276" i="1"/>
  <c r="G2276" i="1"/>
  <c r="A2276" i="1"/>
  <c r="H2275" i="1"/>
  <c r="G2275" i="1"/>
  <c r="A2275" i="1"/>
  <c r="H2274" i="1"/>
  <c r="G2274" i="1"/>
  <c r="A2274" i="1"/>
  <c r="H2273" i="1"/>
  <c r="G2273" i="1"/>
  <c r="A2273" i="1"/>
  <c r="H2272" i="1"/>
  <c r="G2272" i="1"/>
  <c r="A2272" i="1"/>
  <c r="H2271" i="1"/>
  <c r="G2271" i="1"/>
  <c r="A2271" i="1"/>
  <c r="H2270" i="1"/>
  <c r="G2270" i="1"/>
  <c r="A2270" i="1"/>
  <c r="H2269" i="1"/>
  <c r="G2269" i="1"/>
  <c r="A2269" i="1"/>
  <c r="H2268" i="1"/>
  <c r="G2268" i="1"/>
  <c r="A2268" i="1"/>
  <c r="H2267" i="1"/>
  <c r="G2267" i="1"/>
  <c r="A2267" i="1"/>
  <c r="H2266" i="1"/>
  <c r="G2266" i="1"/>
  <c r="A2266" i="1"/>
  <c r="H2265" i="1"/>
  <c r="G2265" i="1"/>
  <c r="A2265" i="1"/>
  <c r="H2264" i="1"/>
  <c r="G2264" i="1"/>
  <c r="A2264" i="1"/>
  <c r="H2263" i="1"/>
  <c r="G2263" i="1"/>
  <c r="A2263" i="1"/>
  <c r="H2262" i="1"/>
  <c r="G2262" i="1"/>
  <c r="A2262" i="1"/>
  <c r="H2261" i="1"/>
  <c r="G2261" i="1"/>
  <c r="A2261" i="1"/>
  <c r="H2260" i="1"/>
  <c r="G2260" i="1"/>
  <c r="A2260" i="1"/>
  <c r="H2259" i="1"/>
  <c r="G2259" i="1"/>
  <c r="A2259" i="1"/>
  <c r="H2258" i="1"/>
  <c r="G2258" i="1"/>
  <c r="A2258" i="1"/>
  <c r="H2257" i="1"/>
  <c r="G2257" i="1"/>
  <c r="A2257" i="1"/>
  <c r="H2256" i="1"/>
  <c r="G2256" i="1"/>
  <c r="A2256" i="1"/>
  <c r="H2255" i="1"/>
  <c r="G2255" i="1"/>
  <c r="A2255" i="1"/>
  <c r="H2254" i="1"/>
  <c r="G2254" i="1"/>
  <c r="A2254" i="1"/>
  <c r="H2253" i="1"/>
  <c r="G2253" i="1"/>
  <c r="A2253" i="1"/>
  <c r="H2252" i="1"/>
  <c r="G2252" i="1"/>
  <c r="A2252" i="1"/>
  <c r="H2251" i="1"/>
  <c r="G2251" i="1"/>
  <c r="A2251" i="1"/>
  <c r="H2250" i="1"/>
  <c r="G2250" i="1"/>
  <c r="A2250" i="1"/>
  <c r="H2249" i="1"/>
  <c r="G2249" i="1"/>
  <c r="A2249" i="1"/>
  <c r="H2248" i="1"/>
  <c r="G2248" i="1"/>
  <c r="A2248" i="1"/>
  <c r="H2247" i="1"/>
  <c r="G2247" i="1"/>
  <c r="A2247" i="1"/>
  <c r="H2246" i="1"/>
  <c r="G2246" i="1"/>
  <c r="A2246" i="1"/>
  <c r="H2245" i="1"/>
  <c r="G2245" i="1"/>
  <c r="A2245" i="1"/>
  <c r="H2244" i="1"/>
  <c r="G2244" i="1"/>
  <c r="A2244" i="1"/>
  <c r="H2243" i="1"/>
  <c r="G2243" i="1"/>
  <c r="A2243" i="1"/>
  <c r="H2242" i="1"/>
  <c r="G2242" i="1"/>
  <c r="A2242" i="1"/>
  <c r="H2241" i="1"/>
  <c r="G2241" i="1"/>
  <c r="A2241" i="1"/>
  <c r="H2240" i="1"/>
  <c r="G2240" i="1"/>
  <c r="A2240" i="1"/>
  <c r="H2239" i="1"/>
  <c r="G2239" i="1"/>
  <c r="A2239" i="1"/>
  <c r="H2238" i="1"/>
  <c r="G2238" i="1"/>
  <c r="A2238" i="1"/>
  <c r="H2237" i="1"/>
  <c r="G2237" i="1"/>
  <c r="A2237" i="1"/>
  <c r="H2236" i="1"/>
  <c r="A2236" i="1"/>
  <c r="H2235" i="1"/>
  <c r="G2235" i="1"/>
  <c r="A2235" i="1"/>
  <c r="H2234" i="1"/>
  <c r="G2234" i="1"/>
  <c r="A2234" i="1"/>
  <c r="H2233" i="1"/>
  <c r="G2233" i="1"/>
  <c r="A2233" i="1"/>
  <c r="H2232" i="1"/>
  <c r="G2232" i="1"/>
  <c r="A2232" i="1"/>
  <c r="H2231" i="1"/>
  <c r="G2231" i="1"/>
  <c r="A2231" i="1"/>
  <c r="H2230" i="1"/>
  <c r="G2230" i="1"/>
  <c r="A2230" i="1"/>
  <c r="H2229" i="1"/>
  <c r="G2229" i="1"/>
  <c r="A2229" i="1"/>
  <c r="H2228" i="1"/>
  <c r="G2228" i="1"/>
  <c r="A2228" i="1"/>
  <c r="H2227" i="1"/>
  <c r="G2227" i="1"/>
  <c r="A2227" i="1"/>
  <c r="H2226" i="1"/>
  <c r="G2226" i="1"/>
  <c r="A2226" i="1"/>
  <c r="H2225" i="1"/>
  <c r="G2225" i="1"/>
  <c r="A2225" i="1"/>
  <c r="H2224" i="1"/>
  <c r="G2224" i="1"/>
  <c r="A2224" i="1"/>
  <c r="H2223" i="1"/>
  <c r="G2223" i="1"/>
  <c r="A2223" i="1"/>
  <c r="H2222" i="1"/>
  <c r="G2222" i="1"/>
  <c r="A2222" i="1"/>
  <c r="H2221" i="1"/>
  <c r="G2221" i="1"/>
  <c r="A2221" i="1"/>
  <c r="H2220" i="1"/>
  <c r="G2220" i="1"/>
  <c r="A2220" i="1"/>
  <c r="H2219" i="1"/>
  <c r="G2219" i="1"/>
  <c r="A2219" i="1"/>
  <c r="H2218" i="1"/>
  <c r="G2218" i="1"/>
  <c r="A2218" i="1"/>
  <c r="H2217" i="1"/>
  <c r="G2217" i="1"/>
  <c r="A2217" i="1"/>
  <c r="H2216" i="1"/>
  <c r="G2216" i="1"/>
  <c r="A2216" i="1"/>
  <c r="H2215" i="1"/>
  <c r="G2215" i="1"/>
  <c r="A2215" i="1"/>
  <c r="H2214" i="1"/>
  <c r="G2214" i="1"/>
  <c r="A2214" i="1"/>
  <c r="H2213" i="1"/>
  <c r="G2213" i="1"/>
  <c r="A2213" i="1"/>
  <c r="H2212" i="1"/>
  <c r="G2212" i="1"/>
  <c r="A2212" i="1"/>
  <c r="H2211" i="1"/>
  <c r="G2211" i="1"/>
  <c r="A2211" i="1"/>
  <c r="H2210" i="1"/>
  <c r="G2210" i="1"/>
  <c r="A2210" i="1"/>
  <c r="H2209" i="1"/>
  <c r="G2209" i="1"/>
  <c r="A2209" i="1"/>
  <c r="H2208" i="1"/>
  <c r="G2208" i="1"/>
  <c r="A2208" i="1"/>
  <c r="H2207" i="1"/>
  <c r="G2207" i="1"/>
  <c r="A2207" i="1"/>
  <c r="H2206" i="1"/>
  <c r="G2206" i="1"/>
  <c r="A2206" i="1"/>
  <c r="H2205" i="1"/>
  <c r="A2205" i="1"/>
  <c r="H2204" i="1"/>
  <c r="G2204" i="1"/>
  <c r="A2204" i="1"/>
  <c r="H2203" i="1"/>
  <c r="G2203" i="1"/>
  <c r="A2203" i="1"/>
  <c r="H2202" i="1"/>
  <c r="G2202" i="1"/>
  <c r="A2202" i="1"/>
  <c r="H2201" i="1"/>
  <c r="G2201" i="1"/>
  <c r="A2201" i="1"/>
  <c r="H2200" i="1"/>
  <c r="G2200" i="1"/>
  <c r="A2200" i="1"/>
  <c r="H2199" i="1"/>
  <c r="G2199" i="1"/>
  <c r="A2199" i="1"/>
  <c r="H2198" i="1"/>
  <c r="G2198" i="1"/>
  <c r="A2198" i="1"/>
  <c r="H2197" i="1"/>
  <c r="G2197" i="1"/>
  <c r="A2197" i="1"/>
  <c r="H2196" i="1"/>
  <c r="G2196" i="1"/>
  <c r="A2196" i="1"/>
  <c r="H2195" i="1"/>
  <c r="G2195" i="1"/>
  <c r="A2195" i="1"/>
  <c r="H2194" i="1"/>
  <c r="G2194" i="1"/>
  <c r="A2194" i="1"/>
  <c r="H2193" i="1"/>
  <c r="G2193" i="1"/>
  <c r="A2193" i="1"/>
  <c r="H2192" i="1"/>
  <c r="G2192" i="1"/>
  <c r="A2192" i="1"/>
  <c r="H2191" i="1"/>
  <c r="G2191" i="1"/>
  <c r="A2191" i="1"/>
  <c r="H2190" i="1"/>
  <c r="G2190" i="1"/>
  <c r="A2190" i="1"/>
  <c r="H2189" i="1"/>
  <c r="G2189" i="1"/>
  <c r="A2189" i="1"/>
  <c r="H2188" i="1"/>
  <c r="G2188" i="1"/>
  <c r="A2188" i="1"/>
  <c r="H2187" i="1"/>
  <c r="G2187" i="1"/>
  <c r="A2187" i="1"/>
  <c r="H2186" i="1"/>
  <c r="G2186" i="1"/>
  <c r="A2186" i="1"/>
  <c r="H2185" i="1"/>
  <c r="G2185" i="1"/>
  <c r="A2185" i="1"/>
  <c r="H2184" i="1"/>
  <c r="G2184" i="1"/>
  <c r="A2184" i="1"/>
  <c r="H2183" i="1"/>
  <c r="G2183" i="1"/>
  <c r="A2183" i="1"/>
  <c r="H2182" i="1"/>
  <c r="G2182" i="1"/>
  <c r="A2182" i="1"/>
  <c r="H2181" i="1"/>
  <c r="G2181" i="1"/>
  <c r="A2181" i="1"/>
  <c r="H2180" i="1"/>
  <c r="G2180" i="1"/>
  <c r="A2180" i="1"/>
  <c r="H2179" i="1"/>
  <c r="G2179" i="1"/>
  <c r="A2179" i="1"/>
  <c r="H2178" i="1"/>
  <c r="G2178" i="1"/>
  <c r="A2178" i="1"/>
  <c r="H2177" i="1"/>
  <c r="G2177" i="1"/>
  <c r="A2177" i="1"/>
  <c r="H2176" i="1"/>
  <c r="G2176" i="1"/>
  <c r="A2176" i="1"/>
  <c r="H2175" i="1"/>
  <c r="G2175" i="1"/>
  <c r="A2175" i="1"/>
  <c r="H2174" i="1"/>
  <c r="G2174" i="1"/>
  <c r="A2174" i="1"/>
  <c r="H2173" i="1"/>
  <c r="G2173" i="1"/>
  <c r="A2173" i="1"/>
  <c r="H2172" i="1"/>
  <c r="G2172" i="1"/>
  <c r="A2172" i="1"/>
  <c r="H2171" i="1"/>
  <c r="G2171" i="1"/>
  <c r="A2171" i="1"/>
  <c r="H2170" i="1"/>
  <c r="G2170" i="1"/>
  <c r="A2170" i="1"/>
  <c r="H2169" i="1"/>
  <c r="G2169" i="1"/>
  <c r="A2169" i="1"/>
  <c r="H2168" i="1"/>
  <c r="G2168" i="1"/>
  <c r="A2168" i="1"/>
  <c r="H2167" i="1"/>
  <c r="G2167" i="1"/>
  <c r="A2167" i="1"/>
  <c r="H2166" i="1"/>
  <c r="G2166" i="1"/>
  <c r="A2166" i="1"/>
  <c r="H2165" i="1"/>
  <c r="G2165" i="1"/>
  <c r="A2165" i="1"/>
  <c r="H2164" i="1"/>
  <c r="G2164" i="1"/>
  <c r="A2164" i="1"/>
  <c r="H2163" i="1"/>
  <c r="G2163" i="1"/>
  <c r="A2163" i="1"/>
  <c r="H2162" i="1"/>
  <c r="G2162" i="1"/>
  <c r="A2162" i="1"/>
  <c r="H2161" i="1"/>
  <c r="G2161" i="1"/>
  <c r="A2161" i="1"/>
  <c r="H2160" i="1"/>
  <c r="G2160" i="1"/>
  <c r="A2160" i="1"/>
  <c r="H2159" i="1"/>
  <c r="G2159" i="1"/>
  <c r="A2159" i="1"/>
  <c r="H2158" i="1"/>
  <c r="G2158" i="1"/>
  <c r="A2158" i="1"/>
  <c r="H2157" i="1"/>
  <c r="G2157" i="1"/>
  <c r="A2157" i="1"/>
  <c r="H2156" i="1"/>
  <c r="G2156" i="1"/>
  <c r="A2156" i="1"/>
  <c r="H2155" i="1"/>
  <c r="G2155" i="1"/>
  <c r="A2155" i="1"/>
  <c r="H2154" i="1"/>
  <c r="G2154" i="1"/>
  <c r="A2154" i="1"/>
  <c r="H2153" i="1"/>
  <c r="G2153" i="1"/>
  <c r="A2153" i="1"/>
  <c r="H2152" i="1"/>
  <c r="G2152" i="1"/>
  <c r="A2152" i="1"/>
  <c r="H2151" i="1"/>
  <c r="G2151" i="1"/>
  <c r="A2151" i="1"/>
  <c r="H2150" i="1"/>
  <c r="G2150" i="1"/>
  <c r="A2150" i="1"/>
  <c r="H2149" i="1"/>
  <c r="G2149" i="1"/>
  <c r="A2149" i="1"/>
  <c r="H2148" i="1"/>
  <c r="G2148" i="1"/>
  <c r="A2148" i="1"/>
  <c r="H2147" i="1"/>
  <c r="G2147" i="1"/>
  <c r="A2147" i="1"/>
  <c r="H2146" i="1"/>
  <c r="G2146" i="1"/>
  <c r="A2146" i="1"/>
  <c r="H2145" i="1"/>
  <c r="G2145" i="1"/>
  <c r="A2145" i="1"/>
  <c r="H2144" i="1"/>
  <c r="G2144" i="1"/>
  <c r="A2144" i="1"/>
  <c r="H2143" i="1"/>
  <c r="G2143" i="1"/>
  <c r="A2143" i="1"/>
  <c r="H2142" i="1"/>
  <c r="G2142" i="1"/>
  <c r="A2142" i="1"/>
  <c r="H2141" i="1"/>
  <c r="G2141" i="1"/>
  <c r="A2141" i="1"/>
  <c r="H2140" i="1"/>
  <c r="G2140" i="1"/>
  <c r="A2140" i="1"/>
  <c r="H2139" i="1"/>
  <c r="G2139" i="1"/>
  <c r="A2139" i="1"/>
  <c r="H2138" i="1"/>
  <c r="G2138" i="1"/>
  <c r="A2138" i="1"/>
  <c r="H2137" i="1"/>
  <c r="G2137" i="1"/>
  <c r="A2137" i="1"/>
  <c r="H2136" i="1"/>
  <c r="G2136" i="1"/>
  <c r="A2136" i="1"/>
  <c r="H2135" i="1"/>
  <c r="G2135" i="1"/>
  <c r="A2135" i="1"/>
  <c r="H2134" i="1"/>
  <c r="G2134" i="1"/>
  <c r="A2134" i="1"/>
  <c r="H2133" i="1"/>
  <c r="G2133" i="1"/>
  <c r="A2133" i="1"/>
  <c r="H2132" i="1"/>
  <c r="G2132" i="1"/>
  <c r="A2132" i="1"/>
  <c r="H2131" i="1"/>
  <c r="G2131" i="1"/>
  <c r="A2131" i="1"/>
  <c r="H2130" i="1"/>
  <c r="G2130" i="1"/>
  <c r="A2130" i="1"/>
  <c r="H2129" i="1"/>
  <c r="G2129" i="1"/>
  <c r="A2129" i="1"/>
  <c r="H2128" i="1"/>
  <c r="G2128" i="1"/>
  <c r="A2128" i="1"/>
  <c r="H2127" i="1"/>
  <c r="G2127" i="1"/>
  <c r="A2127" i="1"/>
  <c r="H2126" i="1"/>
  <c r="G2126" i="1"/>
  <c r="A2126" i="1"/>
  <c r="H2125" i="1"/>
  <c r="G2125" i="1"/>
  <c r="A2125" i="1"/>
  <c r="H2124" i="1"/>
  <c r="G2124" i="1"/>
  <c r="A2124" i="1"/>
  <c r="H2123" i="1"/>
  <c r="G2123" i="1"/>
  <c r="A2123" i="1"/>
  <c r="H2122" i="1"/>
  <c r="G2122" i="1"/>
  <c r="A2122" i="1"/>
  <c r="H2121" i="1"/>
  <c r="G2121" i="1"/>
  <c r="A2121" i="1"/>
  <c r="H2120" i="1"/>
  <c r="G2120" i="1"/>
  <c r="A2120" i="1"/>
  <c r="H2119" i="1"/>
  <c r="G2119" i="1"/>
  <c r="A2119" i="1"/>
  <c r="H2118" i="1"/>
  <c r="G2118" i="1"/>
  <c r="A2118" i="1"/>
  <c r="H2117" i="1"/>
  <c r="G2117" i="1"/>
  <c r="A2117" i="1"/>
  <c r="H2116" i="1"/>
  <c r="G2116" i="1"/>
  <c r="A2116" i="1"/>
  <c r="H2115" i="1"/>
  <c r="G2115" i="1"/>
  <c r="A2115" i="1"/>
  <c r="H2114" i="1"/>
  <c r="G2114" i="1"/>
  <c r="A2114" i="1"/>
  <c r="H2113" i="1"/>
  <c r="G2113" i="1"/>
  <c r="A2113" i="1"/>
  <c r="H2112" i="1"/>
  <c r="G2112" i="1"/>
  <c r="A2112" i="1"/>
  <c r="H2111" i="1"/>
  <c r="G2111" i="1"/>
  <c r="A2111" i="1"/>
  <c r="H2110" i="1"/>
  <c r="G2110" i="1"/>
  <c r="A2110" i="1"/>
  <c r="H2109" i="1"/>
  <c r="G2109" i="1"/>
  <c r="A2109" i="1"/>
  <c r="H2108" i="1"/>
  <c r="G2108" i="1"/>
  <c r="A2108" i="1"/>
  <c r="H2107" i="1"/>
  <c r="G2107" i="1"/>
  <c r="A2107" i="1"/>
  <c r="H2106" i="1"/>
  <c r="G2106" i="1"/>
  <c r="A2106" i="1"/>
  <c r="H2105" i="1"/>
  <c r="G2105" i="1"/>
  <c r="A2105" i="1"/>
  <c r="H2104" i="1"/>
  <c r="G2104" i="1"/>
  <c r="A2104" i="1"/>
  <c r="H2103" i="1"/>
  <c r="G2103" i="1"/>
  <c r="A2103" i="1"/>
  <c r="H2102" i="1"/>
  <c r="G2102" i="1"/>
  <c r="A2102" i="1"/>
  <c r="H2101" i="1"/>
  <c r="G2101" i="1"/>
  <c r="A2101" i="1"/>
  <c r="H2100" i="1"/>
  <c r="G2100" i="1"/>
  <c r="A2100" i="1"/>
  <c r="H2099" i="1"/>
  <c r="G2099" i="1"/>
  <c r="A2099" i="1"/>
  <c r="H2098" i="1"/>
  <c r="G2098" i="1"/>
  <c r="A2098" i="1"/>
  <c r="H2097" i="1"/>
  <c r="G2097" i="1"/>
  <c r="A2097" i="1"/>
  <c r="H2096" i="1"/>
  <c r="G2096" i="1"/>
  <c r="A2096" i="1"/>
  <c r="H2095" i="1"/>
  <c r="G2095" i="1"/>
  <c r="A2095" i="1"/>
  <c r="H2094" i="1"/>
  <c r="G2094" i="1"/>
  <c r="A2094" i="1"/>
  <c r="H2093" i="1"/>
  <c r="G2093" i="1"/>
  <c r="A2093" i="1"/>
  <c r="H2092" i="1"/>
  <c r="G2092" i="1"/>
  <c r="A2092" i="1"/>
  <c r="H2091" i="1"/>
  <c r="G2091" i="1"/>
  <c r="A2091" i="1"/>
  <c r="H2090" i="1"/>
  <c r="G2090" i="1"/>
  <c r="A2090" i="1"/>
  <c r="H2089" i="1"/>
  <c r="G2089" i="1"/>
  <c r="A2089" i="1"/>
  <c r="H2088" i="1"/>
  <c r="G2088" i="1"/>
  <c r="A2088" i="1"/>
  <c r="H2087" i="1"/>
  <c r="G2087" i="1"/>
  <c r="A2087" i="1"/>
  <c r="H2086" i="1"/>
  <c r="G2086" i="1"/>
  <c r="A2086" i="1"/>
  <c r="H2085" i="1"/>
  <c r="G2085" i="1"/>
  <c r="A2085" i="1"/>
  <c r="H2084" i="1"/>
  <c r="G2084" i="1"/>
  <c r="A2084" i="1"/>
  <c r="H2083" i="1"/>
  <c r="G2083" i="1"/>
  <c r="A2083" i="1"/>
  <c r="H2082" i="1"/>
  <c r="G2082" i="1"/>
  <c r="A2082" i="1"/>
  <c r="H2081" i="1"/>
  <c r="G2081" i="1"/>
  <c r="A2081" i="1"/>
  <c r="H2080" i="1"/>
  <c r="G2080" i="1"/>
  <c r="A2080" i="1"/>
  <c r="H2079" i="1"/>
  <c r="G2079" i="1"/>
  <c r="A2079" i="1"/>
  <c r="H2078" i="1"/>
  <c r="G2078" i="1"/>
  <c r="A2078" i="1"/>
  <c r="H2077" i="1"/>
  <c r="G2077" i="1"/>
  <c r="A2077" i="1"/>
  <c r="H2076" i="1"/>
  <c r="G2076" i="1"/>
  <c r="A2076" i="1"/>
  <c r="H2075" i="1"/>
  <c r="G2075" i="1"/>
  <c r="A2075" i="1"/>
  <c r="H2074" i="1"/>
  <c r="G2074" i="1"/>
  <c r="A2074" i="1"/>
  <c r="H2073" i="1"/>
  <c r="G2073" i="1"/>
  <c r="A2073" i="1"/>
  <c r="H2072" i="1"/>
  <c r="G2072" i="1"/>
  <c r="A2072" i="1"/>
  <c r="H2071" i="1"/>
  <c r="G2071" i="1"/>
  <c r="A2071" i="1"/>
  <c r="H2070" i="1"/>
  <c r="G2070" i="1"/>
  <c r="A2070" i="1"/>
  <c r="H2069" i="1"/>
  <c r="G2069" i="1"/>
  <c r="A2069" i="1"/>
  <c r="H2068" i="1"/>
  <c r="G2068" i="1"/>
  <c r="A2068" i="1"/>
  <c r="H2067" i="1"/>
  <c r="G2067" i="1"/>
  <c r="A2067" i="1"/>
  <c r="H2066" i="1"/>
  <c r="G2066" i="1"/>
  <c r="A2066" i="1"/>
  <c r="H2065" i="1"/>
  <c r="G2065" i="1"/>
  <c r="A2065" i="1"/>
  <c r="H2064" i="1"/>
  <c r="G2064" i="1"/>
  <c r="A2064" i="1"/>
  <c r="H2063" i="1"/>
  <c r="G2063" i="1"/>
  <c r="A2063" i="1"/>
  <c r="H2062" i="1"/>
  <c r="G2062" i="1"/>
  <c r="A2062" i="1"/>
  <c r="H2061" i="1"/>
  <c r="G2061" i="1"/>
  <c r="A2061" i="1"/>
  <c r="H2060" i="1"/>
  <c r="G2060" i="1"/>
  <c r="A2060" i="1"/>
  <c r="H2059" i="1"/>
  <c r="G2059" i="1"/>
  <c r="A2059" i="1"/>
  <c r="H2058" i="1"/>
  <c r="G2058" i="1"/>
  <c r="A2058" i="1"/>
  <c r="H2057" i="1"/>
  <c r="G2057" i="1"/>
  <c r="A2057" i="1"/>
  <c r="H2056" i="1"/>
  <c r="G2056" i="1"/>
  <c r="A2056" i="1"/>
  <c r="H2055" i="1"/>
  <c r="G2055" i="1"/>
  <c r="A2055" i="1"/>
  <c r="H2054" i="1"/>
  <c r="G2054" i="1"/>
  <c r="A2054" i="1"/>
  <c r="H2053" i="1"/>
  <c r="G2053" i="1"/>
  <c r="A2053" i="1"/>
  <c r="H2052" i="1"/>
  <c r="G2052" i="1"/>
  <c r="A2052" i="1"/>
  <c r="H2051" i="1"/>
  <c r="G2051" i="1"/>
  <c r="H2050" i="1"/>
  <c r="G2050" i="1"/>
  <c r="H2049" i="1"/>
  <c r="G2049" i="1"/>
  <c r="H2048" i="1"/>
  <c r="G2048" i="1"/>
  <c r="H2047" i="1"/>
  <c r="G2047" i="1"/>
  <c r="H2046" i="1"/>
  <c r="G2046" i="1"/>
  <c r="H2045" i="1"/>
  <c r="G2045" i="1"/>
  <c r="H2044" i="1"/>
  <c r="G2044" i="1"/>
  <c r="H2043" i="1"/>
  <c r="G2043" i="1"/>
  <c r="A2043" i="1"/>
  <c r="H2042" i="1"/>
  <c r="G2042" i="1"/>
  <c r="A2042" i="1"/>
  <c r="H2041" i="1"/>
  <c r="G2041" i="1"/>
  <c r="A2041" i="1"/>
  <c r="H2040" i="1"/>
  <c r="G2040" i="1"/>
  <c r="A2040" i="1"/>
  <c r="H2039" i="1"/>
  <c r="G2039" i="1"/>
  <c r="A2039" i="1"/>
  <c r="H2038" i="1"/>
  <c r="G2038" i="1"/>
  <c r="A2038" i="1"/>
  <c r="H2037" i="1"/>
  <c r="G2037" i="1"/>
  <c r="A2037" i="1"/>
  <c r="H2036" i="1"/>
  <c r="G2036" i="1"/>
  <c r="A2036" i="1"/>
  <c r="H2035" i="1"/>
  <c r="G2035" i="1"/>
  <c r="H2034" i="1"/>
  <c r="G2034" i="1"/>
  <c r="H2033" i="1"/>
  <c r="G2033" i="1"/>
  <c r="H2032" i="1"/>
  <c r="G2032" i="1"/>
  <c r="H2031" i="1"/>
  <c r="G2031" i="1"/>
  <c r="H2030" i="1"/>
  <c r="G2030" i="1"/>
  <c r="H2029" i="1"/>
  <c r="G2029" i="1"/>
  <c r="H2028" i="1"/>
  <c r="G2028" i="1"/>
  <c r="H2027" i="1"/>
  <c r="G2027" i="1"/>
  <c r="H2026" i="1"/>
  <c r="G2026" i="1"/>
  <c r="H2025" i="1"/>
  <c r="G2025" i="1"/>
  <c r="H2024" i="1"/>
  <c r="G2024" i="1"/>
  <c r="H2023" i="1"/>
  <c r="G2023" i="1"/>
  <c r="H2022" i="1"/>
  <c r="G2022" i="1"/>
  <c r="H2021" i="1"/>
  <c r="G2021" i="1"/>
  <c r="H2020" i="1"/>
  <c r="G2020" i="1"/>
  <c r="H2019" i="1"/>
  <c r="G2019" i="1"/>
  <c r="H2018" i="1"/>
  <c r="G2018" i="1"/>
  <c r="H2017" i="1"/>
  <c r="G2017" i="1"/>
  <c r="H2016" i="1"/>
  <c r="G2016" i="1"/>
  <c r="H2015" i="1"/>
  <c r="G2015" i="1"/>
  <c r="A2015" i="1"/>
  <c r="H2014" i="1"/>
  <c r="G2014" i="1"/>
  <c r="A2014" i="1"/>
  <c r="H2013" i="1"/>
  <c r="G2013" i="1"/>
  <c r="A2013" i="1"/>
  <c r="H2012" i="1"/>
  <c r="G2012" i="1"/>
  <c r="A2012" i="1"/>
  <c r="H2011" i="1"/>
  <c r="G2011" i="1"/>
  <c r="A2011" i="1"/>
  <c r="H2010" i="1"/>
  <c r="G2010" i="1"/>
  <c r="A2010" i="1"/>
  <c r="H2009" i="1"/>
  <c r="G2009" i="1"/>
  <c r="A2009" i="1"/>
  <c r="H2008" i="1"/>
  <c r="G2008" i="1"/>
  <c r="A2008" i="1"/>
  <c r="H2007" i="1"/>
  <c r="G2007" i="1"/>
  <c r="A2007" i="1"/>
  <c r="H2006" i="1"/>
  <c r="G2006" i="1"/>
  <c r="A2006" i="1"/>
  <c r="H2005" i="1"/>
  <c r="G2005" i="1"/>
  <c r="A2005" i="1"/>
  <c r="H2004" i="1"/>
  <c r="G2004" i="1"/>
  <c r="A2004" i="1"/>
  <c r="H2003" i="1"/>
  <c r="G2003" i="1"/>
  <c r="A2003" i="1"/>
  <c r="H2002" i="1"/>
  <c r="G2002" i="1"/>
  <c r="A2002" i="1"/>
  <c r="H2001" i="1"/>
  <c r="G2001" i="1"/>
  <c r="A2001" i="1"/>
  <c r="H2000" i="1"/>
  <c r="G2000" i="1"/>
  <c r="A2000" i="1"/>
  <c r="H1999" i="1"/>
  <c r="G1999" i="1"/>
  <c r="A1999" i="1"/>
  <c r="H1998" i="1"/>
  <c r="G1998" i="1"/>
  <c r="A1998" i="1"/>
  <c r="H1997" i="1"/>
  <c r="G1997" i="1"/>
  <c r="A1997" i="1"/>
  <c r="H1996" i="1"/>
  <c r="G1996" i="1"/>
  <c r="A1996" i="1"/>
  <c r="H1995" i="1"/>
  <c r="G1995" i="1"/>
  <c r="A1995" i="1"/>
  <c r="H1994" i="1"/>
  <c r="G1994" i="1"/>
  <c r="A1994" i="1"/>
  <c r="H1993" i="1"/>
  <c r="G1993" i="1"/>
  <c r="A1993" i="1"/>
  <c r="H1992" i="1"/>
  <c r="G1992" i="1"/>
  <c r="A1992" i="1"/>
  <c r="H1991" i="1"/>
  <c r="G1991" i="1"/>
  <c r="A1991" i="1"/>
  <c r="H1990" i="1"/>
  <c r="G1990" i="1"/>
  <c r="A1990" i="1"/>
  <c r="H1989" i="1"/>
  <c r="G1989" i="1"/>
  <c r="A1989" i="1"/>
  <c r="H1988" i="1"/>
  <c r="G1988" i="1"/>
  <c r="A1988" i="1"/>
  <c r="H1987" i="1"/>
  <c r="G1987" i="1"/>
  <c r="A1987" i="1"/>
  <c r="H1986" i="1"/>
  <c r="G1986" i="1"/>
  <c r="A1986" i="1"/>
  <c r="H1985" i="1"/>
  <c r="G1985" i="1"/>
  <c r="A1985" i="1"/>
  <c r="H1984" i="1"/>
  <c r="G1984" i="1"/>
  <c r="A1984" i="1"/>
  <c r="H1983" i="1"/>
  <c r="G1983" i="1"/>
  <c r="A1983" i="1"/>
  <c r="H1982" i="1"/>
  <c r="G1982" i="1"/>
  <c r="A1982" i="1"/>
  <c r="H1981" i="1"/>
  <c r="G1981" i="1"/>
  <c r="A1981" i="1"/>
  <c r="H1980" i="1"/>
  <c r="G1980" i="1"/>
  <c r="A1980" i="1"/>
  <c r="H1979" i="1"/>
  <c r="G1979" i="1"/>
  <c r="A1979" i="1"/>
  <c r="H1978" i="1"/>
  <c r="G1978" i="1"/>
  <c r="A1978" i="1"/>
  <c r="H1977" i="1"/>
  <c r="G1977" i="1"/>
  <c r="A1977" i="1"/>
  <c r="H1976" i="1"/>
  <c r="G1976" i="1"/>
  <c r="A1976" i="1"/>
  <c r="H1975" i="1"/>
  <c r="G1975" i="1"/>
  <c r="A1975" i="1"/>
  <c r="H1974" i="1"/>
  <c r="G1974" i="1"/>
  <c r="A1974" i="1"/>
  <c r="H1973" i="1"/>
  <c r="G1973" i="1"/>
  <c r="A1973" i="1"/>
  <c r="H1972" i="1"/>
  <c r="G1972" i="1"/>
  <c r="A1972" i="1"/>
  <c r="H1971" i="1"/>
  <c r="G1971" i="1"/>
  <c r="A1971" i="1"/>
  <c r="H1970" i="1"/>
  <c r="G1970" i="1"/>
  <c r="A1970" i="1"/>
  <c r="H1969" i="1"/>
  <c r="G1969" i="1"/>
  <c r="A1969" i="1"/>
  <c r="H1968" i="1"/>
  <c r="G1968" i="1"/>
  <c r="A1968" i="1"/>
  <c r="H1967" i="1"/>
  <c r="G1967" i="1"/>
  <c r="A1967" i="1"/>
  <c r="H1966" i="1"/>
  <c r="G1966" i="1"/>
  <c r="A1966" i="1"/>
  <c r="H1965" i="1"/>
  <c r="G1965" i="1"/>
  <c r="A1965" i="1"/>
  <c r="H1964" i="1"/>
  <c r="G1964" i="1"/>
  <c r="A1964" i="1"/>
  <c r="H1963" i="1"/>
  <c r="G1963" i="1"/>
  <c r="H1962" i="1"/>
  <c r="G1962" i="1"/>
  <c r="H1961" i="1"/>
  <c r="G1961" i="1"/>
  <c r="H1960" i="1"/>
  <c r="G1960" i="1"/>
  <c r="H1959" i="1"/>
  <c r="G1959" i="1"/>
  <c r="H1958" i="1"/>
  <c r="G1958" i="1"/>
  <c r="H1957" i="1"/>
  <c r="G1957" i="1"/>
  <c r="H1956" i="1"/>
  <c r="G1956" i="1"/>
  <c r="H1955" i="1"/>
  <c r="G1955" i="1"/>
  <c r="H1954" i="1"/>
  <c r="G1954" i="1"/>
  <c r="H1953" i="1"/>
  <c r="G1953" i="1"/>
  <c r="H1952" i="1"/>
  <c r="G1952" i="1"/>
  <c r="H1951" i="1"/>
  <c r="G1951" i="1"/>
  <c r="H1950" i="1"/>
  <c r="G1950" i="1"/>
  <c r="A1950" i="1"/>
  <c r="H1949" i="1"/>
  <c r="G1949" i="1"/>
  <c r="A1949" i="1"/>
  <c r="H1948" i="1"/>
  <c r="G1948" i="1"/>
  <c r="A1948" i="1"/>
  <c r="H1947" i="1"/>
  <c r="G1947" i="1"/>
  <c r="A1947" i="1"/>
  <c r="H1946" i="1"/>
  <c r="G1946" i="1"/>
  <c r="A1946" i="1"/>
  <c r="H1945" i="1"/>
  <c r="G1945" i="1"/>
  <c r="A1945" i="1"/>
  <c r="H1944" i="1"/>
  <c r="G1944" i="1"/>
  <c r="A1944" i="1"/>
  <c r="H1943" i="1"/>
  <c r="G1943" i="1"/>
  <c r="A1943" i="1"/>
  <c r="H1942" i="1"/>
  <c r="G1942" i="1"/>
  <c r="A1942" i="1"/>
  <c r="H1941" i="1"/>
  <c r="G1941" i="1"/>
  <c r="A1941" i="1"/>
  <c r="H1940" i="1"/>
  <c r="G1940" i="1"/>
  <c r="A1940" i="1"/>
  <c r="H1939" i="1"/>
  <c r="G1939" i="1"/>
  <c r="A1939" i="1"/>
  <c r="H1938" i="1"/>
  <c r="G1938" i="1"/>
  <c r="A1938" i="1"/>
  <c r="H1937" i="1"/>
  <c r="G1937" i="1"/>
  <c r="A1937" i="1"/>
  <c r="H1936" i="1"/>
  <c r="G1936" i="1"/>
  <c r="A1936" i="1"/>
  <c r="H1935" i="1"/>
  <c r="G1935" i="1"/>
  <c r="A1935" i="1"/>
  <c r="H1934" i="1"/>
  <c r="G1934" i="1"/>
  <c r="A1934" i="1"/>
  <c r="H1933" i="1"/>
  <c r="G1933" i="1"/>
  <c r="A1933" i="1"/>
  <c r="H1932" i="1"/>
  <c r="G1932" i="1"/>
  <c r="A1932" i="1"/>
  <c r="H1931" i="1"/>
  <c r="G1931" i="1"/>
  <c r="A1931" i="1"/>
  <c r="H1930" i="1"/>
  <c r="G1930" i="1"/>
  <c r="A1930" i="1"/>
  <c r="H1929" i="1"/>
  <c r="G1929" i="1"/>
  <c r="A1929" i="1"/>
  <c r="H1928" i="1"/>
  <c r="G1928" i="1"/>
  <c r="A1928" i="1"/>
  <c r="H1927" i="1"/>
  <c r="G1927" i="1"/>
  <c r="A1927" i="1"/>
  <c r="H1926" i="1"/>
  <c r="G1926" i="1"/>
  <c r="A1926" i="1"/>
  <c r="H1925" i="1"/>
  <c r="G1925" i="1"/>
  <c r="A1925" i="1"/>
  <c r="H1924" i="1"/>
  <c r="G1924" i="1"/>
  <c r="A1924" i="1"/>
  <c r="H1923" i="1"/>
  <c r="G1923" i="1"/>
  <c r="A1923" i="1"/>
  <c r="H1922" i="1"/>
  <c r="G1922" i="1"/>
  <c r="A1922" i="1"/>
  <c r="H1921" i="1"/>
  <c r="G1921" i="1"/>
  <c r="A1921" i="1"/>
  <c r="H1920" i="1"/>
  <c r="G1920" i="1"/>
  <c r="A1920" i="1"/>
  <c r="H1919" i="1"/>
  <c r="G1919" i="1"/>
  <c r="A1919" i="1"/>
  <c r="H1918" i="1"/>
  <c r="G1918" i="1"/>
  <c r="A1918" i="1"/>
  <c r="H1917" i="1"/>
  <c r="G1917" i="1"/>
  <c r="A1917" i="1"/>
  <c r="H1916" i="1"/>
  <c r="G1916" i="1"/>
  <c r="A1916" i="1"/>
  <c r="H1915" i="1"/>
  <c r="G1915" i="1"/>
  <c r="A1915" i="1"/>
  <c r="H1914" i="1"/>
  <c r="G1914" i="1"/>
  <c r="A1914" i="1"/>
  <c r="H1913" i="1"/>
  <c r="G1913" i="1"/>
  <c r="A1913" i="1"/>
  <c r="H1912" i="1"/>
  <c r="G1912" i="1"/>
  <c r="A1912" i="1"/>
  <c r="H1911" i="1"/>
  <c r="G1911" i="1"/>
  <c r="A1911" i="1"/>
  <c r="H1910" i="1"/>
  <c r="G1910" i="1"/>
  <c r="A1910" i="1"/>
  <c r="H1909" i="1"/>
  <c r="G1909" i="1"/>
  <c r="A1909" i="1"/>
  <c r="H1908" i="1"/>
  <c r="G1908" i="1"/>
  <c r="A1908" i="1"/>
  <c r="H1907" i="1"/>
  <c r="G1907" i="1"/>
  <c r="A1907" i="1"/>
  <c r="H1906" i="1"/>
  <c r="G1906" i="1"/>
  <c r="A1906" i="1"/>
  <c r="H1905" i="1"/>
  <c r="G1905" i="1"/>
  <c r="A1905" i="1"/>
  <c r="H1904" i="1"/>
  <c r="G1904" i="1"/>
  <c r="A1904" i="1"/>
  <c r="H1903" i="1"/>
  <c r="G1903" i="1"/>
  <c r="A1903" i="1"/>
  <c r="H1902" i="1"/>
  <c r="G1902" i="1"/>
  <c r="A1902" i="1"/>
  <c r="H1901" i="1"/>
  <c r="G1901" i="1"/>
  <c r="A1901" i="1"/>
  <c r="H1900" i="1"/>
  <c r="G1900" i="1"/>
  <c r="A1900" i="1"/>
  <c r="H1899" i="1"/>
  <c r="G1899" i="1"/>
  <c r="A1899" i="1"/>
  <c r="H1898" i="1"/>
  <c r="G1898" i="1"/>
  <c r="A1898" i="1"/>
  <c r="H1897" i="1"/>
  <c r="G1897" i="1"/>
  <c r="A1897" i="1"/>
  <c r="H1896" i="1"/>
  <c r="G1896" i="1"/>
  <c r="A1896" i="1"/>
  <c r="H1895" i="1"/>
  <c r="G1895" i="1"/>
  <c r="A1895" i="1"/>
  <c r="H1894" i="1"/>
  <c r="G1894" i="1"/>
  <c r="A1894" i="1"/>
  <c r="H1893" i="1"/>
  <c r="G1893" i="1"/>
  <c r="A1893" i="1"/>
  <c r="H1892" i="1"/>
  <c r="G1892" i="1"/>
  <c r="A1892" i="1"/>
  <c r="H1891" i="1"/>
  <c r="G1891" i="1"/>
  <c r="A1891" i="1"/>
  <c r="H1890" i="1"/>
  <c r="G1890" i="1"/>
  <c r="A1890" i="1"/>
  <c r="H1889" i="1"/>
  <c r="G1889" i="1"/>
  <c r="A1889" i="1"/>
  <c r="H1888" i="1"/>
  <c r="G1888" i="1"/>
  <c r="A1888" i="1"/>
  <c r="H1887" i="1"/>
  <c r="G1887" i="1"/>
  <c r="A1887" i="1"/>
  <c r="H1886" i="1"/>
  <c r="G1886" i="1"/>
  <c r="A1886" i="1"/>
  <c r="H1885" i="1"/>
  <c r="G1885" i="1"/>
  <c r="A1885" i="1"/>
  <c r="H1884" i="1"/>
  <c r="G1884" i="1"/>
  <c r="A1884" i="1"/>
  <c r="H1883" i="1"/>
  <c r="G1883" i="1"/>
  <c r="A1883" i="1"/>
  <c r="H1882" i="1"/>
  <c r="G1882" i="1"/>
  <c r="A1882" i="1"/>
  <c r="H1881" i="1"/>
  <c r="G1881" i="1"/>
  <c r="A1881" i="1"/>
  <c r="H1880" i="1"/>
  <c r="G1880" i="1"/>
  <c r="A1880" i="1"/>
  <c r="H1879" i="1"/>
  <c r="G1879" i="1"/>
  <c r="A1879" i="1"/>
  <c r="H1878" i="1"/>
  <c r="G1878" i="1"/>
  <c r="A1878" i="1"/>
  <c r="H1877" i="1"/>
  <c r="G1877" i="1"/>
  <c r="A1877" i="1"/>
  <c r="H1876" i="1"/>
  <c r="G1876" i="1"/>
  <c r="A1876" i="1"/>
  <c r="H1875" i="1"/>
  <c r="G1875" i="1"/>
  <c r="A1875" i="1"/>
  <c r="H1874" i="1"/>
  <c r="G1874" i="1"/>
  <c r="A1874" i="1"/>
  <c r="H1873" i="1"/>
  <c r="G1873" i="1"/>
  <c r="A1873" i="1"/>
  <c r="H1872" i="1"/>
  <c r="G1872" i="1"/>
  <c r="A1872" i="1"/>
  <c r="H1871" i="1"/>
  <c r="G1871" i="1"/>
  <c r="A1871" i="1"/>
  <c r="H1870" i="1"/>
  <c r="G1870" i="1"/>
  <c r="A1870" i="1"/>
  <c r="H1869" i="1"/>
  <c r="G1869" i="1"/>
  <c r="A1869" i="1"/>
  <c r="H1868" i="1"/>
  <c r="G1868" i="1"/>
  <c r="A1868" i="1"/>
  <c r="H1867" i="1"/>
  <c r="G1867" i="1"/>
  <c r="A1867" i="1"/>
  <c r="H1866" i="1"/>
  <c r="G1866" i="1"/>
  <c r="A1866" i="1"/>
  <c r="H1865" i="1"/>
  <c r="G1865" i="1"/>
  <c r="A1865" i="1"/>
  <c r="H1864" i="1"/>
  <c r="G1864" i="1"/>
  <c r="A1864" i="1"/>
  <c r="H1863" i="1"/>
  <c r="G1863" i="1"/>
  <c r="A1863" i="1"/>
  <c r="H1862" i="1"/>
  <c r="G1862" i="1"/>
  <c r="A1862" i="1"/>
  <c r="H1861" i="1"/>
  <c r="G1861" i="1"/>
  <c r="A1861" i="1"/>
  <c r="H1860" i="1"/>
  <c r="G1860" i="1"/>
  <c r="A1860" i="1"/>
  <c r="H1859" i="1"/>
  <c r="G1859" i="1"/>
  <c r="A1859" i="1"/>
  <c r="H1858" i="1"/>
  <c r="G1858" i="1"/>
  <c r="A1858" i="1"/>
  <c r="H1857" i="1"/>
  <c r="G1857" i="1"/>
  <c r="A1857" i="1"/>
  <c r="H1856" i="1"/>
  <c r="G1856" i="1"/>
  <c r="A1856" i="1"/>
  <c r="H1855" i="1"/>
  <c r="G1855" i="1"/>
  <c r="A1855" i="1"/>
  <c r="H1854" i="1"/>
  <c r="G1854" i="1"/>
  <c r="A1854" i="1"/>
  <c r="H1853" i="1"/>
  <c r="G1853" i="1"/>
  <c r="A1853" i="1"/>
  <c r="H1852" i="1"/>
  <c r="G1852" i="1"/>
  <c r="A1852" i="1"/>
  <c r="H1851" i="1"/>
  <c r="G1851" i="1"/>
  <c r="A1851" i="1"/>
  <c r="H1850" i="1"/>
  <c r="G1850" i="1"/>
  <c r="A1850" i="1"/>
  <c r="H1849" i="1"/>
  <c r="G1849" i="1"/>
  <c r="A1849" i="1"/>
  <c r="H1848" i="1"/>
  <c r="G1848" i="1"/>
  <c r="A1848" i="1"/>
  <c r="H1847" i="1"/>
  <c r="G1847" i="1"/>
  <c r="A1847" i="1"/>
  <c r="H1846" i="1"/>
  <c r="G1846" i="1"/>
  <c r="A1846" i="1"/>
  <c r="H1845" i="1"/>
  <c r="G1845" i="1"/>
  <c r="A1845" i="1"/>
  <c r="H1844" i="1"/>
  <c r="G1844" i="1"/>
  <c r="A1844" i="1"/>
  <c r="H1843" i="1"/>
  <c r="G1843" i="1"/>
  <c r="A1843" i="1"/>
  <c r="H1842" i="1"/>
  <c r="G1842" i="1"/>
  <c r="A1842" i="1"/>
  <c r="H1841" i="1"/>
  <c r="G1841" i="1"/>
  <c r="A1841" i="1"/>
  <c r="H1840" i="1"/>
  <c r="G1840" i="1"/>
  <c r="A1840" i="1"/>
  <c r="H1839" i="1"/>
  <c r="G1839" i="1"/>
  <c r="A1839" i="1"/>
  <c r="H1838" i="1"/>
  <c r="G1838" i="1"/>
  <c r="A1838" i="1"/>
  <c r="H1837" i="1"/>
  <c r="G1837" i="1"/>
  <c r="A1837" i="1"/>
  <c r="H1836" i="1"/>
  <c r="G1836" i="1"/>
  <c r="A1836" i="1"/>
  <c r="H1835" i="1"/>
  <c r="G1835" i="1"/>
  <c r="A1835" i="1"/>
  <c r="H1834" i="1"/>
  <c r="G1834" i="1"/>
  <c r="A1834" i="1"/>
  <c r="H1833" i="1"/>
  <c r="G1833" i="1"/>
  <c r="A1833" i="1"/>
  <c r="H1832" i="1"/>
  <c r="G1832" i="1"/>
  <c r="A1832" i="1"/>
  <c r="H1831" i="1"/>
  <c r="G1831" i="1"/>
  <c r="A1831" i="1"/>
  <c r="H1830" i="1"/>
  <c r="G1830" i="1"/>
  <c r="A1830" i="1"/>
  <c r="H1829" i="1"/>
  <c r="G1829" i="1"/>
  <c r="A1829" i="1"/>
  <c r="H1828" i="1"/>
  <c r="G1828" i="1"/>
  <c r="A1828" i="1"/>
  <c r="H1827" i="1"/>
  <c r="G1827" i="1"/>
  <c r="A1827" i="1"/>
  <c r="H1826" i="1"/>
  <c r="G1826" i="1"/>
  <c r="A1826" i="1"/>
  <c r="H1825" i="1"/>
  <c r="G1825" i="1"/>
  <c r="A1825" i="1"/>
  <c r="H1824" i="1"/>
  <c r="G1824" i="1"/>
  <c r="A1824" i="1"/>
  <c r="H1823" i="1"/>
  <c r="G1823" i="1"/>
  <c r="A1823" i="1"/>
  <c r="H1822" i="1"/>
  <c r="G1822" i="1"/>
  <c r="A1822" i="1"/>
  <c r="H1821" i="1"/>
  <c r="G1821" i="1"/>
  <c r="A1821" i="1"/>
  <c r="H1820" i="1"/>
  <c r="G1820" i="1"/>
  <c r="A1820" i="1"/>
  <c r="H1819" i="1"/>
  <c r="G1819" i="1"/>
  <c r="A1819" i="1"/>
  <c r="H1818" i="1"/>
  <c r="G1818" i="1"/>
  <c r="A1818" i="1"/>
  <c r="H1817" i="1"/>
  <c r="G1817" i="1"/>
  <c r="A1817" i="1"/>
  <c r="H1816" i="1"/>
  <c r="G1816" i="1"/>
  <c r="A1816" i="1"/>
  <c r="H1815" i="1"/>
  <c r="G1815" i="1"/>
  <c r="A1815" i="1"/>
  <c r="H1814" i="1"/>
  <c r="G1814" i="1"/>
  <c r="A1814" i="1"/>
  <c r="H1813" i="1"/>
  <c r="G1813" i="1"/>
  <c r="A1813" i="1"/>
  <c r="H1812" i="1"/>
  <c r="G1812" i="1"/>
  <c r="A1812" i="1"/>
  <c r="H1811" i="1"/>
  <c r="G1811" i="1"/>
  <c r="A1811" i="1"/>
  <c r="H1810" i="1"/>
  <c r="G1810" i="1"/>
  <c r="A1810" i="1"/>
  <c r="H1809" i="1"/>
  <c r="G1809" i="1"/>
  <c r="A1809" i="1"/>
  <c r="H1808" i="1"/>
  <c r="G1808" i="1"/>
  <c r="A1808" i="1"/>
  <c r="H1807" i="1"/>
  <c r="G1807" i="1"/>
  <c r="A1807" i="1"/>
  <c r="H1806" i="1"/>
  <c r="G1806" i="1"/>
  <c r="A1806" i="1"/>
  <c r="H1805" i="1"/>
  <c r="G1805" i="1"/>
  <c r="A1805" i="1"/>
  <c r="H1804" i="1"/>
  <c r="G1804" i="1"/>
  <c r="A1804" i="1"/>
  <c r="H1803" i="1"/>
  <c r="G1803" i="1"/>
  <c r="A1803" i="1"/>
  <c r="H1802" i="1"/>
  <c r="G1802" i="1"/>
  <c r="A1802" i="1"/>
  <c r="H1801" i="1"/>
  <c r="G1801" i="1"/>
  <c r="A1801" i="1"/>
  <c r="H1800" i="1"/>
  <c r="G1800" i="1"/>
  <c r="A1800" i="1"/>
  <c r="H1799" i="1"/>
  <c r="G1799" i="1"/>
  <c r="A1799" i="1"/>
  <c r="H1798" i="1"/>
  <c r="G1798" i="1"/>
  <c r="A1798" i="1"/>
  <c r="H1797" i="1"/>
  <c r="G1797" i="1"/>
  <c r="A1797" i="1"/>
  <c r="H1796" i="1"/>
  <c r="G1796" i="1"/>
  <c r="A1796" i="1"/>
  <c r="H1795" i="1"/>
  <c r="G1795" i="1"/>
  <c r="A1795" i="1"/>
  <c r="H1794" i="1"/>
  <c r="G1794" i="1"/>
  <c r="A1794" i="1"/>
  <c r="H1793" i="1"/>
  <c r="G1793" i="1"/>
  <c r="A1793" i="1"/>
  <c r="H1792" i="1"/>
  <c r="G1792" i="1"/>
  <c r="A1792" i="1"/>
  <c r="H1791" i="1"/>
  <c r="G1791" i="1"/>
  <c r="A1791" i="1"/>
  <c r="H1790" i="1"/>
  <c r="G1790" i="1"/>
  <c r="A1790" i="1"/>
  <c r="H1789" i="1"/>
  <c r="G1789" i="1"/>
  <c r="A1789" i="1"/>
  <c r="H1788" i="1"/>
  <c r="G1788" i="1"/>
  <c r="A1788" i="1"/>
  <c r="H1787" i="1"/>
  <c r="G1787" i="1"/>
  <c r="A1787" i="1"/>
  <c r="H1786" i="1"/>
  <c r="G1786" i="1"/>
  <c r="A1786" i="1"/>
  <c r="H1785" i="1"/>
  <c r="G1785" i="1"/>
  <c r="A1785" i="1"/>
  <c r="H1784" i="1"/>
  <c r="G1784" i="1"/>
  <c r="A1784" i="1"/>
  <c r="H1783" i="1"/>
  <c r="G1783" i="1"/>
  <c r="A1783" i="1"/>
  <c r="H1782" i="1"/>
  <c r="G1782" i="1"/>
  <c r="A1782" i="1"/>
  <c r="H1781" i="1"/>
  <c r="G1781" i="1"/>
  <c r="A1781" i="1"/>
  <c r="H1780" i="1"/>
  <c r="G1780" i="1"/>
  <c r="A1780" i="1"/>
  <c r="H1779" i="1"/>
  <c r="G1779" i="1"/>
  <c r="A1779" i="1"/>
  <c r="H1778" i="1"/>
  <c r="G1778" i="1"/>
  <c r="A1778" i="1"/>
  <c r="H1777" i="1"/>
  <c r="G1777" i="1"/>
  <c r="A1777" i="1"/>
  <c r="H1776" i="1"/>
  <c r="G1776" i="1"/>
  <c r="A1776" i="1"/>
  <c r="H1775" i="1"/>
  <c r="G1775" i="1"/>
  <c r="A1775" i="1"/>
  <c r="H1774" i="1"/>
  <c r="G1774" i="1"/>
  <c r="A1774" i="1"/>
  <c r="H1773" i="1"/>
  <c r="G1773" i="1"/>
  <c r="A1773" i="1"/>
  <c r="H1772" i="1"/>
  <c r="G1772" i="1"/>
  <c r="A1772" i="1"/>
  <c r="H1771" i="1"/>
  <c r="G1771" i="1"/>
  <c r="A1771" i="1"/>
  <c r="H1770" i="1"/>
  <c r="G1770" i="1"/>
  <c r="A1770" i="1"/>
  <c r="H1769" i="1"/>
  <c r="G1769" i="1"/>
  <c r="A1769" i="1"/>
  <c r="H1768" i="1"/>
  <c r="G1768" i="1"/>
  <c r="A1768" i="1"/>
  <c r="H1767" i="1"/>
  <c r="G1767" i="1"/>
  <c r="A1767" i="1"/>
  <c r="H1766" i="1"/>
  <c r="G1766" i="1"/>
  <c r="A1766" i="1"/>
  <c r="H1765" i="1"/>
  <c r="G1765" i="1"/>
  <c r="A1765" i="1"/>
  <c r="H1764" i="1"/>
  <c r="G1764" i="1"/>
  <c r="A1764" i="1"/>
  <c r="H1763" i="1"/>
  <c r="G1763" i="1"/>
  <c r="A1763" i="1"/>
  <c r="H1762" i="1"/>
  <c r="G1762" i="1"/>
  <c r="A1762" i="1"/>
  <c r="H1761" i="1"/>
  <c r="G1761" i="1"/>
  <c r="A1761" i="1"/>
  <c r="H1760" i="1"/>
  <c r="G1760" i="1"/>
  <c r="A1760" i="1"/>
  <c r="H1759" i="1"/>
  <c r="G1759" i="1"/>
  <c r="A1759" i="1"/>
  <c r="H1758" i="1"/>
  <c r="G1758" i="1"/>
  <c r="A1758" i="1"/>
  <c r="H1757" i="1"/>
  <c r="G1757" i="1"/>
  <c r="A1757" i="1"/>
  <c r="H1756" i="1"/>
  <c r="G1756" i="1"/>
  <c r="A1756" i="1"/>
  <c r="H1755" i="1"/>
  <c r="G1755" i="1"/>
  <c r="A1755" i="1"/>
  <c r="H1754" i="1"/>
  <c r="G1754" i="1"/>
  <c r="A1754" i="1"/>
  <c r="H1753" i="1"/>
  <c r="G1753" i="1"/>
  <c r="A1753" i="1"/>
  <c r="H1752" i="1"/>
  <c r="G1752" i="1"/>
  <c r="A1752" i="1"/>
  <c r="H1751" i="1"/>
  <c r="G1751" i="1"/>
  <c r="A1751" i="1"/>
  <c r="H1750" i="1"/>
  <c r="G1750" i="1"/>
  <c r="A1750" i="1"/>
  <c r="H1749" i="1"/>
  <c r="G1749" i="1"/>
  <c r="A1749" i="1"/>
  <c r="H1748" i="1"/>
  <c r="G1748" i="1"/>
  <c r="A1748" i="1"/>
  <c r="H1747" i="1"/>
  <c r="G1747" i="1"/>
  <c r="A1747" i="1"/>
  <c r="H1746" i="1"/>
  <c r="G1746" i="1"/>
  <c r="A1746" i="1"/>
  <c r="H1745" i="1"/>
  <c r="G1745" i="1"/>
  <c r="A1745" i="1"/>
  <c r="H1744" i="1"/>
  <c r="G1744" i="1"/>
  <c r="A1744" i="1"/>
  <c r="H1743" i="1"/>
  <c r="G1743" i="1"/>
  <c r="A1743" i="1"/>
  <c r="H1742" i="1"/>
  <c r="G1742" i="1"/>
  <c r="A1742" i="1"/>
  <c r="H1741" i="1"/>
  <c r="G1741" i="1"/>
  <c r="A1741" i="1"/>
  <c r="H1740" i="1"/>
  <c r="G1740" i="1"/>
  <c r="A1740" i="1"/>
  <c r="H1739" i="1"/>
  <c r="G1739" i="1"/>
  <c r="A1739" i="1"/>
  <c r="H1738" i="1"/>
  <c r="G1738" i="1"/>
  <c r="A1738" i="1"/>
  <c r="H1737" i="1"/>
  <c r="G1737" i="1"/>
  <c r="A1737" i="1"/>
  <c r="H1736" i="1"/>
  <c r="G1736" i="1"/>
  <c r="A1736" i="1"/>
  <c r="H1735" i="1"/>
  <c r="G1735" i="1"/>
  <c r="A1735" i="1"/>
  <c r="H1734" i="1"/>
  <c r="G1734" i="1"/>
  <c r="A1734" i="1"/>
  <c r="H1733" i="1"/>
  <c r="G1733" i="1"/>
  <c r="A1733" i="1"/>
  <c r="H1732" i="1"/>
  <c r="G1732" i="1"/>
  <c r="A1732" i="1"/>
  <c r="H1731" i="1"/>
  <c r="G1731" i="1"/>
  <c r="A1731" i="1"/>
  <c r="H1730" i="1"/>
  <c r="G1730" i="1"/>
  <c r="A1730" i="1"/>
  <c r="H1729" i="1"/>
  <c r="G1729" i="1"/>
  <c r="A1729" i="1"/>
  <c r="H1728" i="1"/>
  <c r="G1728" i="1"/>
  <c r="A1728" i="1"/>
  <c r="H1727" i="1"/>
  <c r="G1727" i="1"/>
  <c r="A1727" i="1"/>
  <c r="H1726" i="1"/>
  <c r="G1726" i="1"/>
  <c r="A1726" i="1"/>
  <c r="H1725" i="1"/>
  <c r="G1725" i="1"/>
  <c r="A1725" i="1"/>
  <c r="H1724" i="1"/>
  <c r="G1724" i="1"/>
  <c r="A1724" i="1"/>
  <c r="H1723" i="1"/>
  <c r="G1723" i="1"/>
  <c r="A1723" i="1"/>
  <c r="H1722" i="1"/>
  <c r="G1722" i="1"/>
  <c r="A1722" i="1"/>
  <c r="H1721" i="1"/>
  <c r="G1721" i="1"/>
  <c r="A1721" i="1"/>
  <c r="H1720" i="1"/>
  <c r="G1720" i="1"/>
  <c r="A1720" i="1"/>
  <c r="H1719" i="1"/>
  <c r="G1719" i="1"/>
  <c r="A1719" i="1"/>
  <c r="H1718" i="1"/>
  <c r="G1718" i="1"/>
  <c r="A1718" i="1"/>
  <c r="H1717" i="1"/>
  <c r="G1717" i="1"/>
  <c r="A1717" i="1"/>
  <c r="H1716" i="1"/>
  <c r="G1716" i="1"/>
  <c r="A1716" i="1"/>
  <c r="H1715" i="1"/>
  <c r="G1715" i="1"/>
  <c r="A1715" i="1"/>
  <c r="H1714" i="1"/>
  <c r="G1714" i="1"/>
  <c r="A1714" i="1"/>
  <c r="H1713" i="1"/>
  <c r="G1713" i="1"/>
  <c r="A1713" i="1"/>
  <c r="H1712" i="1"/>
  <c r="G1712" i="1"/>
  <c r="A1712" i="1"/>
  <c r="H1711" i="1"/>
  <c r="G1711" i="1"/>
  <c r="A1711" i="1"/>
  <c r="H1710" i="1"/>
  <c r="G1710" i="1"/>
  <c r="A1710" i="1"/>
  <c r="H1709" i="1"/>
  <c r="G1709" i="1"/>
  <c r="A1709" i="1"/>
  <c r="H1708" i="1"/>
  <c r="G1708" i="1"/>
  <c r="A1708" i="1"/>
  <c r="H1707" i="1"/>
  <c r="G1707" i="1"/>
  <c r="A1707" i="1"/>
  <c r="H1706" i="1"/>
  <c r="G1706" i="1"/>
  <c r="A1706" i="1"/>
  <c r="H1705" i="1"/>
  <c r="G1705" i="1"/>
  <c r="A1705" i="1"/>
  <c r="H1704" i="1"/>
  <c r="G1704" i="1"/>
  <c r="A1704" i="1"/>
  <c r="H1703" i="1"/>
  <c r="G1703" i="1"/>
  <c r="A1703" i="1"/>
  <c r="H1702" i="1"/>
  <c r="G1702" i="1"/>
  <c r="A1702" i="1"/>
  <c r="H1701" i="1"/>
  <c r="G1701" i="1"/>
  <c r="A1701" i="1"/>
  <c r="H1700" i="1"/>
  <c r="G1700" i="1"/>
  <c r="A1700" i="1"/>
  <c r="H1699" i="1"/>
  <c r="G1699" i="1"/>
  <c r="A1699" i="1"/>
  <c r="H1698" i="1"/>
  <c r="G1698" i="1"/>
  <c r="A1698" i="1"/>
  <c r="H1697" i="1"/>
  <c r="G1697" i="1"/>
  <c r="A1697" i="1"/>
  <c r="H1696" i="1"/>
  <c r="G1696" i="1"/>
  <c r="A1696" i="1"/>
  <c r="H1695" i="1"/>
  <c r="G1695" i="1"/>
  <c r="A1695" i="1"/>
  <c r="H1694" i="1"/>
  <c r="G1694" i="1"/>
  <c r="A1694" i="1"/>
  <c r="H1693" i="1"/>
  <c r="G1693" i="1"/>
  <c r="A1693" i="1"/>
  <c r="H1692" i="1"/>
  <c r="G1692" i="1"/>
  <c r="A1692" i="1"/>
  <c r="H1691" i="1"/>
  <c r="G1691" i="1"/>
  <c r="A1691" i="1"/>
  <c r="H1690" i="1"/>
  <c r="G1690" i="1"/>
  <c r="A1690" i="1"/>
  <c r="H1689" i="1"/>
  <c r="G1689" i="1"/>
  <c r="A1689" i="1"/>
  <c r="H1688" i="1"/>
  <c r="G1688" i="1"/>
  <c r="A1688" i="1"/>
  <c r="H1687" i="1"/>
  <c r="G1687" i="1"/>
  <c r="A1687" i="1"/>
  <c r="H1686" i="1"/>
  <c r="G1686" i="1"/>
  <c r="A1686" i="1"/>
  <c r="H1685" i="1"/>
  <c r="G1685" i="1"/>
  <c r="A1685" i="1"/>
  <c r="H1684" i="1"/>
  <c r="G1684" i="1"/>
  <c r="A1684" i="1"/>
  <c r="H1683" i="1"/>
  <c r="G1683" i="1"/>
  <c r="A1683" i="1"/>
  <c r="H1682" i="1"/>
  <c r="G1682" i="1"/>
  <c r="A1682" i="1"/>
  <c r="H1681" i="1"/>
  <c r="G1681" i="1"/>
  <c r="A1681" i="1"/>
  <c r="H1680" i="1"/>
  <c r="G1680" i="1"/>
  <c r="A1680" i="1"/>
  <c r="H1679" i="1"/>
  <c r="G1679" i="1"/>
  <c r="A1679" i="1"/>
  <c r="H1678" i="1"/>
  <c r="G1678" i="1"/>
  <c r="A1678" i="1"/>
  <c r="H1677" i="1"/>
  <c r="G1677" i="1"/>
  <c r="A1677" i="1"/>
  <c r="H1676" i="1"/>
  <c r="G1676" i="1"/>
  <c r="A1676" i="1"/>
  <c r="H1675" i="1"/>
  <c r="G1675" i="1"/>
  <c r="A1675" i="1"/>
  <c r="H1674" i="1"/>
  <c r="A1674" i="1"/>
  <c r="H1673" i="1"/>
  <c r="G1673" i="1"/>
  <c r="A1673" i="1"/>
  <c r="H1672" i="1"/>
  <c r="G1672" i="1"/>
  <c r="A1672" i="1"/>
  <c r="H1671" i="1"/>
  <c r="G1671" i="1"/>
  <c r="A1671" i="1"/>
  <c r="H1670" i="1"/>
  <c r="G1670" i="1"/>
  <c r="A1670" i="1"/>
  <c r="H1669" i="1"/>
  <c r="G1669" i="1"/>
  <c r="A1669" i="1"/>
  <c r="H1668" i="1"/>
  <c r="G1668" i="1"/>
  <c r="A1668" i="1"/>
  <c r="H1667" i="1"/>
  <c r="G1667" i="1"/>
  <c r="A1667" i="1"/>
  <c r="H1666" i="1"/>
  <c r="G1666" i="1"/>
  <c r="A1666" i="1"/>
  <c r="H1665" i="1"/>
  <c r="G1665" i="1"/>
  <c r="A1665" i="1"/>
  <c r="H1664" i="1"/>
  <c r="G1664" i="1"/>
  <c r="A1664" i="1"/>
  <c r="H1663" i="1"/>
  <c r="G1663" i="1"/>
  <c r="A1663" i="1"/>
  <c r="H1662" i="1"/>
  <c r="G1662" i="1"/>
  <c r="A1662" i="1"/>
  <c r="H1661" i="1"/>
  <c r="G1661" i="1"/>
  <c r="A1661" i="1"/>
  <c r="H1660" i="1"/>
  <c r="G1660" i="1"/>
  <c r="A1660" i="1"/>
  <c r="H1659" i="1"/>
  <c r="G1659" i="1"/>
  <c r="A1659" i="1"/>
  <c r="H1658" i="1"/>
  <c r="G1658" i="1"/>
  <c r="A1658" i="1"/>
  <c r="H1657" i="1"/>
  <c r="G1657" i="1"/>
  <c r="A1657" i="1"/>
  <c r="H1656" i="1"/>
  <c r="G1656" i="1"/>
  <c r="A1656" i="1"/>
  <c r="H1655" i="1"/>
  <c r="G1655" i="1"/>
  <c r="A1655" i="1"/>
  <c r="H1654" i="1"/>
  <c r="G1654" i="1"/>
  <c r="A1654" i="1"/>
  <c r="H1653" i="1"/>
  <c r="G1653" i="1"/>
  <c r="A1653" i="1"/>
  <c r="H1652" i="1"/>
  <c r="G1652" i="1"/>
  <c r="A1652" i="1"/>
  <c r="H1651" i="1"/>
  <c r="G1651" i="1"/>
  <c r="A1651" i="1"/>
  <c r="H1650" i="1"/>
  <c r="G1650" i="1"/>
  <c r="A1650" i="1"/>
  <c r="H1649" i="1"/>
  <c r="G1649" i="1"/>
  <c r="A1649" i="1"/>
  <c r="H1648" i="1"/>
  <c r="G1648" i="1"/>
  <c r="A1648" i="1"/>
  <c r="H1647" i="1"/>
  <c r="G1647" i="1"/>
  <c r="A1647" i="1"/>
  <c r="H1646" i="1"/>
  <c r="G1646" i="1"/>
  <c r="A1646" i="1"/>
  <c r="H1645" i="1"/>
  <c r="G1645" i="1"/>
  <c r="A1645" i="1"/>
  <c r="H1644" i="1"/>
  <c r="G1644" i="1"/>
  <c r="A1644" i="1"/>
  <c r="H1643" i="1"/>
  <c r="G1643" i="1"/>
  <c r="A1643" i="1"/>
  <c r="H1642" i="1"/>
  <c r="G1642" i="1"/>
  <c r="A1642" i="1"/>
  <c r="H1641" i="1"/>
  <c r="G1641" i="1"/>
  <c r="A1641" i="1"/>
  <c r="H1640" i="1"/>
  <c r="G1640" i="1"/>
  <c r="A1640" i="1"/>
  <c r="H1639" i="1"/>
  <c r="G1639" i="1"/>
  <c r="A1639" i="1"/>
  <c r="H1638" i="1"/>
  <c r="G1638" i="1"/>
  <c r="A1638" i="1"/>
  <c r="H1637" i="1"/>
  <c r="G1637" i="1"/>
  <c r="A1637" i="1"/>
  <c r="H1636" i="1"/>
  <c r="G1636" i="1"/>
  <c r="A1636" i="1"/>
  <c r="H1635" i="1"/>
  <c r="G1635" i="1"/>
  <c r="A1635" i="1"/>
  <c r="H1634" i="1"/>
  <c r="G1634" i="1"/>
  <c r="A1634" i="1"/>
  <c r="H1633" i="1"/>
  <c r="G1633" i="1"/>
  <c r="A1633" i="1"/>
  <c r="H1632" i="1"/>
  <c r="G1632" i="1"/>
  <c r="A1632" i="1"/>
  <c r="H1631" i="1"/>
  <c r="G1631" i="1"/>
  <c r="A1631" i="1"/>
  <c r="H1630" i="1"/>
  <c r="G1630" i="1"/>
  <c r="A1630" i="1"/>
  <c r="H1629" i="1"/>
  <c r="G1629" i="1"/>
  <c r="A1629" i="1"/>
  <c r="H1628" i="1"/>
  <c r="G1628" i="1"/>
  <c r="A1628" i="1"/>
  <c r="H1627" i="1"/>
  <c r="G1627" i="1"/>
  <c r="A1627" i="1"/>
  <c r="H1626" i="1"/>
  <c r="G1626" i="1"/>
  <c r="A1626" i="1"/>
  <c r="H1625" i="1"/>
  <c r="G1625" i="1"/>
  <c r="A1625" i="1"/>
  <c r="H1624" i="1"/>
  <c r="G1624" i="1"/>
  <c r="A1624" i="1"/>
  <c r="H1623" i="1"/>
  <c r="G1623" i="1"/>
  <c r="A1623" i="1"/>
  <c r="H1622" i="1"/>
  <c r="G1622" i="1"/>
  <c r="A1622" i="1"/>
  <c r="H1621" i="1"/>
  <c r="G1621" i="1"/>
  <c r="A1621" i="1"/>
  <c r="H1620" i="1"/>
  <c r="G1620" i="1"/>
  <c r="A1620" i="1"/>
  <c r="H1619" i="1"/>
  <c r="G1619" i="1"/>
  <c r="A1619" i="1"/>
  <c r="H1618" i="1"/>
  <c r="G1618" i="1"/>
  <c r="A1618" i="1"/>
  <c r="H1617" i="1"/>
  <c r="G1617" i="1"/>
  <c r="A1617" i="1"/>
  <c r="H1616" i="1"/>
  <c r="G1616" i="1"/>
  <c r="A1616" i="1"/>
  <c r="H1615" i="1"/>
  <c r="G1615" i="1"/>
  <c r="A1615" i="1"/>
  <c r="H1614" i="1"/>
  <c r="G1614" i="1"/>
  <c r="A1614" i="1"/>
  <c r="H1613" i="1"/>
  <c r="G1613" i="1"/>
  <c r="A1613" i="1"/>
  <c r="H1612" i="1"/>
  <c r="G1612" i="1"/>
  <c r="A1612" i="1"/>
  <c r="H1611" i="1"/>
  <c r="G1611" i="1"/>
  <c r="A1611" i="1"/>
  <c r="H1610" i="1"/>
  <c r="G1610" i="1"/>
  <c r="A1610" i="1"/>
  <c r="H1609" i="1"/>
  <c r="G1609" i="1"/>
  <c r="A1609" i="1"/>
  <c r="H1608" i="1"/>
  <c r="G1608" i="1"/>
  <c r="A1608" i="1"/>
  <c r="H1607" i="1"/>
  <c r="G1607" i="1"/>
  <c r="A1607" i="1"/>
  <c r="H1606" i="1"/>
  <c r="G1606" i="1"/>
  <c r="A1606" i="1"/>
  <c r="H1605" i="1"/>
  <c r="G1605" i="1"/>
  <c r="A1605" i="1"/>
  <c r="H1604" i="1"/>
  <c r="G1604" i="1"/>
  <c r="A1604" i="1"/>
  <c r="H1603" i="1"/>
  <c r="G1603" i="1"/>
  <c r="A1603" i="1"/>
  <c r="H1602" i="1"/>
  <c r="G1602" i="1"/>
  <c r="A1602" i="1"/>
  <c r="H1601" i="1"/>
  <c r="G1601" i="1"/>
  <c r="A1601" i="1"/>
  <c r="H1600" i="1"/>
  <c r="G1600" i="1"/>
  <c r="A1600" i="1"/>
  <c r="H1599" i="1"/>
  <c r="G1599" i="1"/>
  <c r="A1599" i="1"/>
  <c r="H1598" i="1"/>
  <c r="G1598" i="1"/>
  <c r="A1598" i="1"/>
  <c r="H1597" i="1"/>
  <c r="G1597" i="1"/>
  <c r="A1597" i="1"/>
  <c r="H1596" i="1"/>
  <c r="G1596" i="1"/>
  <c r="A1596" i="1"/>
  <c r="H1595" i="1"/>
  <c r="G1595" i="1"/>
  <c r="A1595" i="1"/>
  <c r="H1594" i="1"/>
  <c r="G1594" i="1"/>
  <c r="A1594" i="1"/>
  <c r="H1593" i="1"/>
  <c r="G1593" i="1"/>
  <c r="A1593" i="1"/>
  <c r="H1592" i="1"/>
  <c r="G1592" i="1"/>
  <c r="A1592" i="1"/>
  <c r="H1591" i="1"/>
  <c r="G1591" i="1"/>
  <c r="A1591" i="1"/>
  <c r="H1590" i="1"/>
  <c r="G1590" i="1"/>
  <c r="A1590" i="1"/>
  <c r="H1589" i="1"/>
  <c r="G1589" i="1"/>
  <c r="A1589" i="1"/>
  <c r="H1588" i="1"/>
  <c r="G1588" i="1"/>
  <c r="A1588" i="1"/>
  <c r="H1587" i="1"/>
  <c r="G1587" i="1"/>
  <c r="A1587" i="1"/>
  <c r="H1586" i="1"/>
  <c r="G1586" i="1"/>
  <c r="A1586" i="1"/>
  <c r="H1585" i="1"/>
  <c r="G1585" i="1"/>
  <c r="A1585" i="1"/>
  <c r="H1584" i="1"/>
  <c r="G1584" i="1"/>
  <c r="A1584" i="1"/>
  <c r="H1583" i="1"/>
  <c r="G1583" i="1"/>
  <c r="A1583" i="1"/>
  <c r="H1582" i="1"/>
  <c r="G1582" i="1"/>
  <c r="A1582" i="1"/>
  <c r="H1581" i="1"/>
  <c r="G1581" i="1"/>
  <c r="A1581" i="1"/>
  <c r="H1580" i="1"/>
  <c r="G1580" i="1"/>
  <c r="A1580" i="1"/>
  <c r="H1579" i="1"/>
  <c r="G1579" i="1"/>
  <c r="A1579" i="1"/>
  <c r="H1578" i="1"/>
  <c r="G1578" i="1"/>
  <c r="A1578" i="1"/>
  <c r="H1577" i="1"/>
  <c r="G1577" i="1"/>
  <c r="A1577" i="1"/>
  <c r="H1576" i="1"/>
  <c r="G1576" i="1"/>
  <c r="A1576" i="1"/>
  <c r="H1575" i="1"/>
  <c r="G1575" i="1"/>
  <c r="A1575" i="1"/>
  <c r="H1574" i="1"/>
  <c r="G1574" i="1"/>
  <c r="A1574" i="1"/>
  <c r="H1573" i="1"/>
  <c r="G1573" i="1"/>
  <c r="A1573" i="1"/>
  <c r="H1572" i="1"/>
  <c r="G1572" i="1"/>
  <c r="A1572" i="1"/>
  <c r="H1571" i="1"/>
  <c r="G1571" i="1"/>
  <c r="A1571" i="1"/>
  <c r="H1570" i="1"/>
  <c r="G1570" i="1"/>
  <c r="A1570" i="1"/>
  <c r="H1569" i="1"/>
  <c r="G1569" i="1"/>
  <c r="A1569" i="1"/>
  <c r="H1568" i="1"/>
  <c r="G1568" i="1"/>
  <c r="A1568" i="1"/>
  <c r="H1567" i="1"/>
  <c r="G1567" i="1"/>
  <c r="A1567" i="1"/>
  <c r="H1566" i="1"/>
  <c r="G1566" i="1"/>
  <c r="A1566" i="1"/>
  <c r="H1565" i="1"/>
  <c r="G1565" i="1"/>
  <c r="A1565" i="1"/>
  <c r="H1564" i="1"/>
  <c r="G1564" i="1"/>
  <c r="A1564" i="1"/>
  <c r="H1563" i="1"/>
  <c r="G1563" i="1"/>
  <c r="A1563" i="1"/>
  <c r="H1562" i="1"/>
  <c r="G1562" i="1"/>
  <c r="A1562" i="1"/>
  <c r="H1561" i="1"/>
  <c r="G1561" i="1"/>
  <c r="A1561" i="1"/>
  <c r="H1560" i="1"/>
  <c r="G1560" i="1"/>
  <c r="A1560" i="1"/>
  <c r="H1559" i="1"/>
  <c r="G1559" i="1"/>
  <c r="A1559" i="1"/>
  <c r="H1558" i="1"/>
  <c r="G1558" i="1"/>
  <c r="A1558" i="1"/>
  <c r="H1557" i="1"/>
  <c r="G1557" i="1"/>
  <c r="A1557" i="1"/>
  <c r="H1556" i="1"/>
  <c r="G1556" i="1"/>
  <c r="A1556" i="1"/>
  <c r="H1555" i="1"/>
  <c r="G1555" i="1"/>
  <c r="A1555" i="1"/>
  <c r="H1554" i="1"/>
  <c r="G1554" i="1"/>
  <c r="A1554" i="1"/>
  <c r="H1553" i="1"/>
  <c r="G1553" i="1"/>
  <c r="A1553" i="1"/>
  <c r="H1552" i="1"/>
  <c r="G1552" i="1"/>
  <c r="A1552" i="1"/>
  <c r="H1551" i="1"/>
  <c r="G1551" i="1"/>
  <c r="A1551" i="1"/>
  <c r="H1550" i="1"/>
  <c r="G1550" i="1"/>
  <c r="A1550" i="1"/>
  <c r="H1549" i="1"/>
  <c r="G1549" i="1"/>
  <c r="A1549" i="1"/>
  <c r="H1548" i="1"/>
  <c r="G1548" i="1"/>
  <c r="A1548" i="1"/>
  <c r="H1547" i="1"/>
  <c r="G1547" i="1"/>
  <c r="A1547" i="1"/>
  <c r="H1546" i="1"/>
  <c r="G1546" i="1"/>
  <c r="A1546" i="1"/>
  <c r="H1545" i="1"/>
  <c r="G1545" i="1"/>
  <c r="A1545" i="1"/>
  <c r="H1544" i="1"/>
  <c r="G1544" i="1"/>
  <c r="A1544" i="1"/>
  <c r="H1543" i="1"/>
  <c r="G1543" i="1"/>
  <c r="A1543" i="1"/>
  <c r="H1542" i="1"/>
  <c r="G1542" i="1"/>
  <c r="A1542" i="1"/>
  <c r="H1541" i="1"/>
  <c r="G1541" i="1"/>
  <c r="A1541" i="1"/>
  <c r="H1540" i="1"/>
  <c r="G1540" i="1"/>
  <c r="A1540" i="1"/>
  <c r="H1539" i="1"/>
  <c r="G1539" i="1"/>
  <c r="A1539" i="1"/>
  <c r="H1538" i="1"/>
  <c r="G1538" i="1"/>
  <c r="A1538" i="1"/>
  <c r="H1537" i="1"/>
  <c r="G1537" i="1"/>
  <c r="A1537" i="1"/>
  <c r="H1536" i="1"/>
  <c r="G1536" i="1"/>
  <c r="A1536" i="1"/>
  <c r="H1535" i="1"/>
  <c r="G1535" i="1"/>
  <c r="A1535" i="1"/>
  <c r="H1534" i="1"/>
  <c r="G1534" i="1"/>
  <c r="H1533" i="1"/>
  <c r="G1533" i="1"/>
  <c r="H1532" i="1"/>
  <c r="G1532" i="1"/>
  <c r="H1531" i="1"/>
  <c r="G1531" i="1"/>
  <c r="H1530" i="1"/>
  <c r="G1530" i="1"/>
  <c r="H1529" i="1"/>
  <c r="G1529" i="1"/>
  <c r="H1528" i="1"/>
  <c r="G1528" i="1"/>
  <c r="H1527" i="1"/>
  <c r="G1527" i="1"/>
  <c r="H1526" i="1"/>
  <c r="G1526" i="1"/>
  <c r="H1525" i="1"/>
  <c r="G1525" i="1"/>
  <c r="A1525" i="1"/>
  <c r="H1524" i="1"/>
  <c r="G1524" i="1"/>
  <c r="A1524" i="1"/>
  <c r="H1523" i="1"/>
  <c r="G1523" i="1"/>
  <c r="A1523" i="1"/>
  <c r="H1522" i="1"/>
  <c r="G1522" i="1"/>
  <c r="A1522" i="1"/>
  <c r="H1521" i="1"/>
  <c r="G1521" i="1"/>
  <c r="A1521" i="1"/>
  <c r="H1520" i="1"/>
  <c r="G1520" i="1"/>
  <c r="A1520" i="1"/>
  <c r="H1519" i="1"/>
  <c r="G1519" i="1"/>
  <c r="A1519" i="1"/>
  <c r="H1518" i="1"/>
  <c r="G1518" i="1"/>
  <c r="A1518" i="1"/>
  <c r="H1517" i="1"/>
  <c r="G1517" i="1"/>
  <c r="A1517" i="1"/>
  <c r="H1516" i="1"/>
  <c r="G1516" i="1"/>
  <c r="A1516" i="1"/>
  <c r="H1515" i="1"/>
  <c r="G1515" i="1"/>
  <c r="A1515" i="1"/>
  <c r="H1514" i="1"/>
  <c r="G1514" i="1"/>
  <c r="A1514" i="1"/>
  <c r="H1513" i="1"/>
  <c r="G1513" i="1"/>
  <c r="A1513" i="1"/>
  <c r="H1512" i="1"/>
  <c r="G1512" i="1"/>
  <c r="A1512" i="1"/>
  <c r="H1511" i="1"/>
  <c r="G1511" i="1"/>
  <c r="A1511" i="1"/>
  <c r="H1510" i="1"/>
  <c r="G1510" i="1"/>
  <c r="A1510" i="1"/>
  <c r="H1509" i="1"/>
  <c r="G1509" i="1"/>
  <c r="A1509" i="1"/>
  <c r="H1508" i="1"/>
  <c r="G1508" i="1"/>
  <c r="A1508" i="1"/>
  <c r="H1507" i="1"/>
  <c r="G1507" i="1"/>
  <c r="A1507" i="1"/>
  <c r="H1506" i="1"/>
  <c r="G1506" i="1"/>
  <c r="A1506" i="1"/>
  <c r="H1505" i="1"/>
  <c r="G1505" i="1"/>
  <c r="A1505" i="1"/>
  <c r="H1504" i="1"/>
  <c r="G1504" i="1"/>
  <c r="A1504" i="1"/>
  <c r="H1503" i="1"/>
  <c r="G1503" i="1"/>
  <c r="A1503" i="1"/>
  <c r="H1502" i="1"/>
  <c r="G1502" i="1"/>
  <c r="A1502" i="1"/>
  <c r="H1501" i="1"/>
  <c r="G1501" i="1"/>
  <c r="A1501" i="1"/>
  <c r="H1500" i="1"/>
  <c r="G1500" i="1"/>
  <c r="A1500" i="1"/>
  <c r="H1499" i="1"/>
  <c r="G1499" i="1"/>
  <c r="A1499" i="1"/>
  <c r="H1498" i="1"/>
  <c r="G1498" i="1"/>
  <c r="A1498" i="1"/>
  <c r="H1497" i="1"/>
  <c r="G1497" i="1"/>
  <c r="A1497" i="1"/>
  <c r="H1496" i="1"/>
  <c r="G1496" i="1"/>
  <c r="A1496" i="1"/>
  <c r="H1495" i="1"/>
  <c r="G1495" i="1"/>
  <c r="A1495" i="1"/>
  <c r="H1494" i="1"/>
  <c r="G1494" i="1"/>
  <c r="A1494" i="1"/>
  <c r="H1493" i="1"/>
  <c r="G1493" i="1"/>
  <c r="A1493" i="1"/>
  <c r="H1492" i="1"/>
  <c r="G1492" i="1"/>
  <c r="A1492" i="1"/>
  <c r="H1491" i="1"/>
  <c r="G1491" i="1"/>
  <c r="A1491" i="1"/>
  <c r="H1490" i="1"/>
  <c r="G1490" i="1"/>
  <c r="A1490" i="1"/>
  <c r="H1489" i="1"/>
  <c r="G1489" i="1"/>
  <c r="A1489" i="1"/>
  <c r="H1488" i="1"/>
  <c r="G1488" i="1"/>
  <c r="A1488" i="1"/>
  <c r="H1487" i="1"/>
  <c r="G1487" i="1"/>
  <c r="A1487" i="1"/>
  <c r="H1486" i="1"/>
  <c r="G1486" i="1"/>
  <c r="A1486" i="1"/>
  <c r="H1485" i="1"/>
  <c r="G1485" i="1"/>
  <c r="A1485" i="1"/>
  <c r="H1484" i="1"/>
  <c r="G1484" i="1"/>
  <c r="A1484" i="1"/>
  <c r="H1483" i="1"/>
  <c r="G1483" i="1"/>
  <c r="A1483" i="1"/>
  <c r="H1482" i="1"/>
  <c r="G1482" i="1"/>
  <c r="A1482" i="1"/>
  <c r="H1481" i="1"/>
  <c r="G1481" i="1"/>
  <c r="A1481" i="1"/>
  <c r="H1480" i="1"/>
  <c r="G1480" i="1"/>
  <c r="A1480" i="1"/>
  <c r="H1479" i="1"/>
  <c r="G1479" i="1"/>
  <c r="A1479" i="1"/>
  <c r="H1478" i="1"/>
  <c r="G1478" i="1"/>
  <c r="A1478" i="1"/>
  <c r="H1477" i="1"/>
  <c r="G1477" i="1"/>
  <c r="A1477" i="1"/>
  <c r="H1476" i="1"/>
  <c r="G1476" i="1"/>
  <c r="A1476" i="1"/>
  <c r="H1475" i="1"/>
  <c r="G1475" i="1"/>
  <c r="A1475" i="1"/>
  <c r="H1474" i="1"/>
  <c r="G1474" i="1"/>
  <c r="A1474" i="1"/>
  <c r="H1473" i="1"/>
  <c r="G1473" i="1"/>
  <c r="A1473" i="1"/>
  <c r="H1472" i="1"/>
  <c r="G1472" i="1"/>
  <c r="A1472" i="1"/>
  <c r="H1471" i="1"/>
  <c r="G1471" i="1"/>
  <c r="A1471" i="1"/>
  <c r="H1470" i="1"/>
  <c r="G1470" i="1"/>
  <c r="A1470" i="1"/>
  <c r="H1469" i="1"/>
  <c r="G1469" i="1"/>
  <c r="A1469" i="1"/>
  <c r="H1468" i="1"/>
  <c r="G1468" i="1"/>
  <c r="A1468" i="1"/>
  <c r="H1467" i="1"/>
  <c r="G1467" i="1"/>
  <c r="A1467" i="1"/>
  <c r="H1466" i="1"/>
  <c r="G1466" i="1"/>
  <c r="A1466" i="1"/>
  <c r="H1465" i="1"/>
  <c r="G1465" i="1"/>
  <c r="A1465" i="1"/>
  <c r="H1464" i="1"/>
  <c r="G1464" i="1"/>
  <c r="A1464" i="1"/>
  <c r="H1463" i="1"/>
  <c r="G1463" i="1"/>
  <c r="A1463" i="1"/>
  <c r="H1462" i="1"/>
  <c r="G1462" i="1"/>
  <c r="A1462" i="1"/>
  <c r="H1461" i="1"/>
  <c r="G1461" i="1"/>
  <c r="A1461" i="1"/>
  <c r="H1460" i="1"/>
  <c r="G1460" i="1"/>
  <c r="A1460" i="1"/>
  <c r="H1459" i="1"/>
  <c r="G1459" i="1"/>
  <c r="A1459" i="1"/>
  <c r="H1458" i="1"/>
  <c r="G1458" i="1"/>
  <c r="A1458" i="1"/>
  <c r="H1457" i="1"/>
  <c r="G1457" i="1"/>
  <c r="A1457" i="1"/>
  <c r="H1456" i="1"/>
  <c r="G1456" i="1"/>
  <c r="A1456" i="1"/>
  <c r="H1455" i="1"/>
  <c r="G1455" i="1"/>
  <c r="A1455" i="1"/>
  <c r="H1454" i="1"/>
  <c r="G1454" i="1"/>
  <c r="A1454" i="1"/>
  <c r="H1453" i="1"/>
  <c r="G1453" i="1"/>
  <c r="A1453" i="1"/>
  <c r="H1452" i="1"/>
  <c r="G1452" i="1"/>
  <c r="A1452" i="1"/>
  <c r="H1451" i="1"/>
  <c r="G1451" i="1"/>
  <c r="A1451" i="1"/>
  <c r="H1450" i="1"/>
  <c r="G1450" i="1"/>
  <c r="A1450" i="1"/>
  <c r="H1449" i="1"/>
  <c r="G1449" i="1"/>
  <c r="A1449" i="1"/>
  <c r="H1448" i="1"/>
  <c r="G1448" i="1"/>
  <c r="A1448" i="1"/>
  <c r="H1447" i="1"/>
  <c r="G1447" i="1"/>
  <c r="A1447" i="1"/>
  <c r="H1446" i="1"/>
  <c r="G1446" i="1"/>
  <c r="A1446" i="1"/>
  <c r="H1445" i="1"/>
  <c r="G1445" i="1"/>
  <c r="A1445" i="1"/>
  <c r="H1444" i="1"/>
  <c r="G1444" i="1"/>
  <c r="A1444" i="1"/>
  <c r="H1443" i="1"/>
  <c r="G1443" i="1"/>
  <c r="A1443" i="1"/>
  <c r="H1442" i="1"/>
  <c r="G1442" i="1"/>
  <c r="A1442" i="1"/>
  <c r="H1441" i="1"/>
  <c r="G1441" i="1"/>
  <c r="A1441" i="1"/>
  <c r="H1440" i="1"/>
  <c r="G1440" i="1"/>
  <c r="A1440" i="1"/>
  <c r="H1439" i="1"/>
  <c r="G1439" i="1"/>
  <c r="A1439" i="1"/>
  <c r="H1438" i="1"/>
  <c r="G1438" i="1"/>
  <c r="A1438" i="1"/>
  <c r="H1437" i="1"/>
  <c r="G1437" i="1"/>
  <c r="A1437" i="1"/>
  <c r="H1436" i="1"/>
  <c r="G1436" i="1"/>
  <c r="A1436" i="1"/>
  <c r="H1435" i="1"/>
  <c r="G1435" i="1"/>
  <c r="A1435" i="1"/>
  <c r="H1434" i="1"/>
  <c r="G1434" i="1"/>
  <c r="A1434" i="1"/>
  <c r="H1433" i="1"/>
  <c r="G1433" i="1"/>
  <c r="A1433" i="1"/>
  <c r="H1432" i="1"/>
  <c r="G1432" i="1"/>
  <c r="A1432" i="1"/>
  <c r="H1431" i="1"/>
  <c r="G1431" i="1"/>
  <c r="A1431" i="1"/>
  <c r="H1430" i="1"/>
  <c r="G1430" i="1"/>
  <c r="A1430" i="1"/>
  <c r="H1429" i="1"/>
  <c r="G1429" i="1"/>
  <c r="A1429" i="1"/>
  <c r="H1428" i="1"/>
  <c r="G1428" i="1"/>
  <c r="A1428" i="1"/>
  <c r="H1427" i="1"/>
  <c r="G1427" i="1"/>
  <c r="A1427" i="1"/>
  <c r="H1426" i="1"/>
  <c r="G1426" i="1"/>
  <c r="A1426" i="1"/>
  <c r="H1425" i="1"/>
  <c r="G1425" i="1"/>
  <c r="A1425" i="1"/>
  <c r="H1424" i="1"/>
  <c r="G1424" i="1"/>
  <c r="A1424" i="1"/>
  <c r="H1423" i="1"/>
  <c r="G1423" i="1"/>
  <c r="A1423" i="1"/>
  <c r="H1422" i="1"/>
  <c r="G1422" i="1"/>
  <c r="A1422" i="1"/>
  <c r="H1421" i="1"/>
  <c r="G1421" i="1"/>
  <c r="A1421" i="1"/>
  <c r="H1420" i="1"/>
  <c r="G1420" i="1"/>
  <c r="A1420" i="1"/>
  <c r="H1419" i="1"/>
  <c r="G1419" i="1"/>
  <c r="A1419" i="1"/>
  <c r="H1418" i="1"/>
  <c r="G1418" i="1"/>
  <c r="A1418" i="1"/>
  <c r="H1417" i="1"/>
  <c r="G1417" i="1"/>
  <c r="A1417" i="1"/>
  <c r="H1416" i="1"/>
  <c r="G1416" i="1"/>
  <c r="A1416" i="1"/>
  <c r="H1415" i="1"/>
  <c r="G1415" i="1"/>
  <c r="A1415" i="1"/>
  <c r="H1414" i="1"/>
  <c r="G1414" i="1"/>
  <c r="A1414" i="1"/>
  <c r="H1413" i="1"/>
  <c r="G1413" i="1"/>
  <c r="A1413" i="1"/>
  <c r="H1412" i="1"/>
  <c r="G1412" i="1"/>
  <c r="A1412" i="1"/>
  <c r="H1411" i="1"/>
  <c r="G1411" i="1"/>
  <c r="A1411" i="1"/>
  <c r="H1410" i="1"/>
  <c r="G1410" i="1"/>
  <c r="A1410" i="1"/>
  <c r="H1409" i="1"/>
  <c r="G1409" i="1"/>
  <c r="A1409" i="1"/>
  <c r="H1408" i="1"/>
  <c r="G1408" i="1"/>
  <c r="A1408" i="1"/>
  <c r="H1407" i="1"/>
  <c r="G1407" i="1"/>
  <c r="A1407" i="1"/>
  <c r="H1406" i="1"/>
  <c r="G1406" i="1"/>
  <c r="A1406" i="1"/>
  <c r="H1405" i="1"/>
  <c r="G1405" i="1"/>
  <c r="A1405" i="1"/>
  <c r="H1404" i="1"/>
  <c r="G1404" i="1"/>
  <c r="A1404" i="1"/>
  <c r="H1403" i="1"/>
  <c r="G1403" i="1"/>
  <c r="A1403" i="1"/>
  <c r="H1402" i="1"/>
  <c r="G1402" i="1"/>
  <c r="A1402" i="1"/>
  <c r="H1401" i="1"/>
  <c r="G1401" i="1"/>
  <c r="A1401" i="1"/>
  <c r="H1400" i="1"/>
  <c r="G1400" i="1"/>
  <c r="A1400" i="1"/>
  <c r="H1399" i="1"/>
  <c r="G1399" i="1"/>
  <c r="A1399" i="1"/>
  <c r="H1398" i="1"/>
  <c r="G1398" i="1"/>
  <c r="A1398" i="1"/>
  <c r="H1397" i="1"/>
  <c r="G1397" i="1"/>
  <c r="A1397" i="1"/>
  <c r="H1396" i="1"/>
  <c r="G1396" i="1"/>
  <c r="A1396" i="1"/>
  <c r="H1395" i="1"/>
  <c r="G1395" i="1"/>
  <c r="A1395" i="1"/>
  <c r="H1394" i="1"/>
  <c r="G1394" i="1"/>
  <c r="A1394" i="1"/>
  <c r="H1393" i="1"/>
  <c r="G1393" i="1"/>
  <c r="A1393" i="1"/>
  <c r="H1392" i="1"/>
  <c r="G1392" i="1"/>
  <c r="A1392" i="1"/>
  <c r="H1391" i="1"/>
  <c r="G1391" i="1"/>
  <c r="A1391" i="1"/>
  <c r="H1390" i="1"/>
  <c r="G1390" i="1"/>
  <c r="A1390" i="1"/>
  <c r="H1389" i="1"/>
  <c r="G1389" i="1"/>
  <c r="A1389" i="1"/>
  <c r="H1388" i="1"/>
  <c r="G1388" i="1"/>
  <c r="A1388" i="1"/>
  <c r="H1387" i="1"/>
  <c r="G1387" i="1"/>
  <c r="A1387" i="1"/>
  <c r="H1386" i="1"/>
  <c r="G1386" i="1"/>
  <c r="A1386" i="1"/>
  <c r="H1385" i="1"/>
  <c r="G1385" i="1"/>
  <c r="A1385" i="1"/>
  <c r="H1384" i="1"/>
  <c r="G1384" i="1"/>
  <c r="A1384" i="1"/>
  <c r="H1383" i="1"/>
  <c r="G1383" i="1"/>
  <c r="A1383" i="1"/>
  <c r="H1382" i="1"/>
  <c r="G1382" i="1"/>
  <c r="A1382" i="1"/>
  <c r="H1381" i="1"/>
  <c r="G1381" i="1"/>
  <c r="A1381" i="1"/>
  <c r="H1380" i="1"/>
  <c r="G1380" i="1"/>
  <c r="A1380" i="1"/>
  <c r="H1379" i="1"/>
  <c r="G1379" i="1"/>
  <c r="A1379" i="1"/>
  <c r="H1378" i="1"/>
  <c r="G1378" i="1"/>
  <c r="A1378" i="1"/>
  <c r="H1377" i="1"/>
  <c r="G1377" i="1"/>
  <c r="A1377" i="1"/>
  <c r="H1376" i="1"/>
  <c r="G1376" i="1"/>
  <c r="A1376" i="1"/>
  <c r="H1375" i="1"/>
  <c r="G1375" i="1"/>
  <c r="A1375" i="1"/>
  <c r="H1374" i="1"/>
  <c r="G1374" i="1"/>
  <c r="A1374" i="1"/>
  <c r="H1373" i="1"/>
  <c r="G1373" i="1"/>
  <c r="A1373" i="1"/>
  <c r="H1372" i="1"/>
  <c r="G1372" i="1"/>
  <c r="A1372" i="1"/>
  <c r="H1371" i="1"/>
  <c r="G1371" i="1"/>
  <c r="A1371" i="1"/>
  <c r="H1370" i="1"/>
  <c r="G1370" i="1"/>
  <c r="A1370" i="1"/>
  <c r="H1369" i="1"/>
  <c r="G1369" i="1"/>
  <c r="A1369" i="1"/>
  <c r="H1368" i="1"/>
  <c r="G1368" i="1"/>
  <c r="A1368" i="1"/>
  <c r="H1367" i="1"/>
  <c r="G1367" i="1"/>
  <c r="A1367" i="1"/>
  <c r="H1366" i="1"/>
  <c r="G1366" i="1"/>
  <c r="A1366" i="1"/>
  <c r="H1365" i="1"/>
  <c r="G1365" i="1"/>
  <c r="A1365" i="1"/>
  <c r="H1364" i="1"/>
  <c r="G1364" i="1"/>
  <c r="A1364" i="1"/>
  <c r="H1363" i="1"/>
  <c r="G1363" i="1"/>
  <c r="A1363" i="1"/>
  <c r="H1362" i="1"/>
  <c r="G1362" i="1"/>
  <c r="A1362" i="1"/>
  <c r="H1361" i="1"/>
  <c r="G1361" i="1"/>
  <c r="A1361" i="1"/>
  <c r="H1360" i="1"/>
  <c r="G1360" i="1"/>
  <c r="A1360" i="1"/>
  <c r="H1359" i="1"/>
  <c r="G1359" i="1"/>
  <c r="A1359" i="1"/>
  <c r="H1358" i="1"/>
  <c r="G1358" i="1"/>
  <c r="A1358" i="1"/>
  <c r="H1357" i="1"/>
  <c r="G1357" i="1"/>
  <c r="A1357" i="1"/>
  <c r="H1356" i="1"/>
  <c r="G1356" i="1"/>
  <c r="A1356" i="1"/>
  <c r="H1355" i="1"/>
  <c r="G1355" i="1"/>
  <c r="A1355" i="1"/>
  <c r="H1354" i="1"/>
  <c r="G1354" i="1"/>
  <c r="A1354" i="1"/>
  <c r="H1353" i="1"/>
  <c r="G1353" i="1"/>
  <c r="A1353" i="1"/>
  <c r="H1352" i="1"/>
  <c r="G1352" i="1"/>
  <c r="A1352" i="1"/>
  <c r="H1351" i="1"/>
  <c r="G1351" i="1"/>
  <c r="A1351" i="1"/>
  <c r="H1350" i="1"/>
  <c r="G1350" i="1"/>
  <c r="A1350" i="1"/>
  <c r="H1349" i="1"/>
  <c r="G1349" i="1"/>
  <c r="A1349" i="1"/>
  <c r="H1348" i="1"/>
  <c r="G1348" i="1"/>
  <c r="A1348" i="1"/>
  <c r="H1347" i="1"/>
  <c r="G1347" i="1"/>
  <c r="A1347" i="1"/>
  <c r="H1346" i="1"/>
  <c r="G1346" i="1"/>
  <c r="A1346" i="1"/>
  <c r="H1345" i="1"/>
  <c r="G1345" i="1"/>
  <c r="A1345" i="1"/>
  <c r="H1344" i="1"/>
  <c r="G1344" i="1"/>
  <c r="A1344" i="1"/>
  <c r="H1343" i="1"/>
  <c r="G1343" i="1"/>
  <c r="A1343" i="1"/>
  <c r="H1342" i="1"/>
  <c r="G1342" i="1"/>
  <c r="A1342" i="1"/>
  <c r="H1341" i="1"/>
  <c r="G1341" i="1"/>
  <c r="A1341" i="1"/>
  <c r="H1340" i="1"/>
  <c r="G1340" i="1"/>
  <c r="A1340" i="1"/>
  <c r="H1339" i="1"/>
  <c r="G1339" i="1"/>
  <c r="A1339" i="1"/>
  <c r="H1338" i="1"/>
  <c r="G1338" i="1"/>
  <c r="A1338" i="1"/>
  <c r="H1337" i="1"/>
  <c r="G1337" i="1"/>
  <c r="A1337" i="1"/>
  <c r="H1336" i="1"/>
  <c r="G1336" i="1"/>
  <c r="A1336" i="1"/>
  <c r="H1335" i="1"/>
  <c r="G1335" i="1"/>
  <c r="A1335" i="1"/>
  <c r="H1334" i="1"/>
  <c r="G1334" i="1"/>
  <c r="A1334" i="1"/>
  <c r="H1333" i="1"/>
  <c r="G1333" i="1"/>
  <c r="A1333" i="1"/>
  <c r="H1332" i="1"/>
  <c r="G1332" i="1"/>
  <c r="A1332" i="1"/>
  <c r="H1331" i="1"/>
  <c r="G1331" i="1"/>
  <c r="A1331" i="1"/>
  <c r="H1330" i="1"/>
  <c r="G1330" i="1"/>
  <c r="A1330" i="1"/>
  <c r="H1329" i="1"/>
  <c r="G1329" i="1"/>
  <c r="A1329" i="1"/>
  <c r="H1328" i="1"/>
  <c r="G1328" i="1"/>
  <c r="A1328" i="1"/>
  <c r="H1327" i="1"/>
  <c r="G1327" i="1"/>
  <c r="A1327" i="1"/>
  <c r="H1326" i="1"/>
  <c r="G1326" i="1"/>
  <c r="A1326" i="1"/>
  <c r="H1325" i="1"/>
  <c r="G1325" i="1"/>
  <c r="A1325" i="1"/>
  <c r="H1324" i="1"/>
  <c r="G1324" i="1"/>
  <c r="A1324" i="1"/>
  <c r="H1323" i="1"/>
  <c r="G1323" i="1"/>
  <c r="A1323" i="1"/>
  <c r="H1322" i="1"/>
  <c r="G1322" i="1"/>
  <c r="A1322" i="1"/>
  <c r="H1321" i="1"/>
  <c r="G1321" i="1"/>
  <c r="A1321" i="1"/>
  <c r="H1320" i="1"/>
  <c r="G1320" i="1"/>
  <c r="A1320" i="1"/>
  <c r="H1319" i="1"/>
  <c r="G1319" i="1"/>
  <c r="A1319" i="1"/>
  <c r="H1318" i="1"/>
  <c r="G1318" i="1"/>
  <c r="A1318" i="1"/>
  <c r="H1317" i="1"/>
  <c r="G1317" i="1"/>
  <c r="A1317" i="1"/>
  <c r="H1316" i="1"/>
  <c r="G1316" i="1"/>
  <c r="A1316" i="1"/>
  <c r="H1315" i="1"/>
  <c r="G1315" i="1"/>
  <c r="A1315" i="1"/>
  <c r="H1314" i="1"/>
  <c r="G1314" i="1"/>
  <c r="A1314" i="1"/>
  <c r="H1313" i="1"/>
  <c r="G1313" i="1"/>
  <c r="A1313" i="1"/>
  <c r="H1312" i="1"/>
  <c r="G1312" i="1"/>
  <c r="A1312" i="1"/>
  <c r="H1311" i="1"/>
  <c r="G1311" i="1"/>
  <c r="A1311" i="1"/>
  <c r="H1310" i="1"/>
  <c r="G1310" i="1"/>
  <c r="A1310" i="1"/>
  <c r="H1309" i="1"/>
  <c r="G1309" i="1"/>
  <c r="A1309" i="1"/>
  <c r="H1308" i="1"/>
  <c r="G1308" i="1"/>
  <c r="A1308" i="1"/>
  <c r="H1307" i="1"/>
  <c r="G1307" i="1"/>
  <c r="A1307" i="1"/>
  <c r="H1306" i="1"/>
  <c r="G1306" i="1"/>
  <c r="A1306" i="1"/>
  <c r="H1305" i="1"/>
  <c r="G1305" i="1"/>
  <c r="A1305" i="1"/>
  <c r="H1304" i="1"/>
  <c r="G1304" i="1"/>
  <c r="A1304" i="1"/>
  <c r="H1303" i="1"/>
  <c r="G1303" i="1"/>
  <c r="A1303" i="1"/>
  <c r="H1302" i="1"/>
  <c r="G1302" i="1"/>
  <c r="A1302" i="1"/>
  <c r="H1301" i="1"/>
  <c r="G1301" i="1"/>
  <c r="A1301" i="1"/>
  <c r="H1300" i="1"/>
  <c r="G1300" i="1"/>
  <c r="A1300" i="1"/>
  <c r="H1299" i="1"/>
  <c r="G1299" i="1"/>
  <c r="A1299" i="1"/>
  <c r="H1298" i="1"/>
  <c r="G1298" i="1"/>
  <c r="A1298" i="1"/>
  <c r="H1297" i="1"/>
  <c r="G1297" i="1"/>
  <c r="A1297" i="1"/>
  <c r="H1296" i="1"/>
  <c r="G1296" i="1"/>
  <c r="A1296" i="1"/>
  <c r="H1295" i="1"/>
  <c r="G1295" i="1"/>
  <c r="A1295" i="1"/>
  <c r="H1294" i="1"/>
  <c r="G1294" i="1"/>
  <c r="A1294" i="1"/>
  <c r="H1293" i="1"/>
  <c r="G1293" i="1"/>
  <c r="A1293" i="1"/>
  <c r="H1292" i="1"/>
  <c r="G1292" i="1"/>
  <c r="A1292" i="1"/>
  <c r="H1291" i="1"/>
  <c r="G1291" i="1"/>
  <c r="A1291" i="1"/>
  <c r="H1290" i="1"/>
  <c r="G1290" i="1"/>
  <c r="A1290" i="1"/>
  <c r="H1289" i="1"/>
  <c r="G1289" i="1"/>
  <c r="A1289" i="1"/>
  <c r="H1288" i="1"/>
  <c r="G1288" i="1"/>
  <c r="A1288" i="1"/>
  <c r="H1287" i="1"/>
  <c r="G1287" i="1"/>
  <c r="A1287" i="1"/>
  <c r="H1286" i="1"/>
  <c r="G1286" i="1"/>
  <c r="A1286" i="1"/>
  <c r="H1285" i="1"/>
  <c r="G1285" i="1"/>
  <c r="A1285" i="1"/>
  <c r="H1284" i="1"/>
  <c r="G1284" i="1"/>
  <c r="A1284" i="1"/>
  <c r="H1283" i="1"/>
  <c r="G1283" i="1"/>
  <c r="A1283" i="1"/>
  <c r="H1282" i="1"/>
  <c r="G1282" i="1"/>
  <c r="A1282" i="1"/>
  <c r="H1281" i="1"/>
  <c r="G1281" i="1"/>
  <c r="A1281" i="1"/>
  <c r="H1280" i="1"/>
  <c r="G1280" i="1"/>
  <c r="A1280" i="1"/>
  <c r="H1279" i="1"/>
  <c r="G1279" i="1"/>
  <c r="A1279" i="1"/>
  <c r="H1278" i="1"/>
  <c r="G1278" i="1"/>
  <c r="A1278" i="1"/>
  <c r="H1277" i="1"/>
  <c r="G1277" i="1"/>
  <c r="A1277" i="1"/>
  <c r="H1276" i="1"/>
  <c r="G1276" i="1"/>
  <c r="A1276" i="1"/>
  <c r="H1275" i="1"/>
  <c r="G1275" i="1"/>
  <c r="A1275" i="1"/>
  <c r="H1274" i="1"/>
  <c r="G1274" i="1"/>
  <c r="A1274" i="1"/>
  <c r="H1273" i="1"/>
  <c r="G1273" i="1"/>
  <c r="A1273" i="1"/>
  <c r="H1272" i="1"/>
  <c r="G1272" i="1"/>
  <c r="A1272" i="1"/>
  <c r="H1271" i="1"/>
  <c r="G1271" i="1"/>
  <c r="A1271" i="1"/>
  <c r="H1270" i="1"/>
  <c r="G1270" i="1"/>
  <c r="A1270" i="1"/>
  <c r="H1269" i="1"/>
  <c r="G1269" i="1"/>
  <c r="A1269" i="1"/>
  <c r="H1268" i="1"/>
  <c r="G1268" i="1"/>
  <c r="A1268" i="1"/>
  <c r="H1267" i="1"/>
  <c r="G1267" i="1"/>
  <c r="A1267" i="1"/>
  <c r="H1266" i="1"/>
  <c r="G1266" i="1"/>
  <c r="A1266" i="1"/>
  <c r="H1265" i="1"/>
  <c r="G1265" i="1"/>
  <c r="A1265" i="1"/>
  <c r="H1264" i="1"/>
  <c r="G1264" i="1"/>
  <c r="A1264" i="1"/>
  <c r="H1263" i="1"/>
  <c r="G1263" i="1"/>
  <c r="A1263" i="1"/>
  <c r="H1262" i="1"/>
  <c r="G1262" i="1"/>
  <c r="A1262" i="1"/>
  <c r="H1261" i="1"/>
  <c r="G1261" i="1"/>
  <c r="A1261" i="1"/>
  <c r="H1260" i="1"/>
  <c r="G1260" i="1"/>
  <c r="A1260" i="1"/>
  <c r="H1259" i="1"/>
  <c r="G1259" i="1"/>
  <c r="A1259" i="1"/>
  <c r="H1258" i="1"/>
  <c r="G1258" i="1"/>
  <c r="A1258" i="1"/>
  <c r="H1257" i="1"/>
  <c r="G1257" i="1"/>
  <c r="A1257" i="1"/>
  <c r="H1256" i="1"/>
  <c r="G1256" i="1"/>
  <c r="A1256" i="1"/>
  <c r="H1255" i="1"/>
  <c r="G1255" i="1"/>
  <c r="A1255" i="1"/>
  <c r="H1254" i="1"/>
  <c r="G1254" i="1"/>
  <c r="A1254" i="1"/>
  <c r="H1253" i="1"/>
  <c r="G1253" i="1"/>
  <c r="A1253" i="1"/>
  <c r="H1252" i="1"/>
  <c r="G1252" i="1"/>
  <c r="A1252" i="1"/>
  <c r="H1251" i="1"/>
  <c r="G1251" i="1"/>
  <c r="A1251" i="1"/>
  <c r="H1250" i="1"/>
  <c r="G1250" i="1"/>
  <c r="A1250" i="1"/>
  <c r="H1249" i="1"/>
  <c r="G1249" i="1"/>
  <c r="A1249" i="1"/>
  <c r="H1248" i="1"/>
  <c r="G1248" i="1"/>
  <c r="A1248" i="1"/>
  <c r="H1247" i="1"/>
  <c r="G1247" i="1"/>
  <c r="A1247" i="1"/>
  <c r="H1246" i="1"/>
  <c r="G1246" i="1"/>
  <c r="A1246" i="1"/>
  <c r="H1245" i="1"/>
  <c r="G1245" i="1"/>
  <c r="A1245" i="1"/>
  <c r="H1244" i="1"/>
  <c r="G1244" i="1"/>
  <c r="A1244" i="1"/>
  <c r="H1243" i="1"/>
  <c r="G1243" i="1"/>
  <c r="A1243" i="1"/>
  <c r="H1242" i="1"/>
  <c r="G1242" i="1"/>
  <c r="A1242" i="1"/>
  <c r="H1241" i="1"/>
  <c r="G1241" i="1"/>
  <c r="A1241" i="1"/>
  <c r="H1240" i="1"/>
  <c r="G1240" i="1"/>
  <c r="A1240" i="1"/>
  <c r="H1239" i="1"/>
  <c r="G1239" i="1"/>
  <c r="A1239" i="1"/>
  <c r="H1238" i="1"/>
  <c r="G1238" i="1"/>
  <c r="A1238" i="1"/>
  <c r="H1237" i="1"/>
  <c r="G1237" i="1"/>
  <c r="A1237" i="1"/>
  <c r="H1236" i="1"/>
  <c r="G1236" i="1"/>
  <c r="A1236" i="1"/>
  <c r="H1235" i="1"/>
  <c r="G1235" i="1"/>
  <c r="A1235" i="1"/>
  <c r="H1234" i="1"/>
  <c r="G1234" i="1"/>
  <c r="A1234" i="1"/>
  <c r="H1233" i="1"/>
  <c r="G1233" i="1"/>
  <c r="A1233" i="1"/>
  <c r="H1232" i="1"/>
  <c r="G1232" i="1"/>
  <c r="A1232" i="1"/>
  <c r="H1231" i="1"/>
  <c r="G1231" i="1"/>
  <c r="A1231" i="1"/>
  <c r="H1230" i="1"/>
  <c r="G1230" i="1"/>
  <c r="A1230" i="1"/>
  <c r="H1229" i="1"/>
  <c r="G1229" i="1"/>
  <c r="A1229" i="1"/>
  <c r="H1228" i="1"/>
  <c r="G1228" i="1"/>
  <c r="A1228" i="1"/>
  <c r="H1227" i="1"/>
  <c r="G1227" i="1"/>
  <c r="A1227" i="1"/>
  <c r="H1226" i="1"/>
  <c r="G1226" i="1"/>
  <c r="A1226" i="1"/>
  <c r="H1225" i="1"/>
  <c r="G1225" i="1"/>
  <c r="A1225" i="1"/>
  <c r="H1224" i="1"/>
  <c r="G1224" i="1"/>
  <c r="A1224" i="1"/>
  <c r="H1223" i="1"/>
  <c r="G1223" i="1"/>
  <c r="A1223" i="1"/>
  <c r="H1222" i="1"/>
  <c r="G1222" i="1"/>
  <c r="A1222" i="1"/>
  <c r="H1221" i="1"/>
  <c r="G1221" i="1"/>
  <c r="A1221" i="1"/>
  <c r="H1220" i="1"/>
  <c r="G1220" i="1"/>
  <c r="A1220" i="1"/>
  <c r="H1219" i="1"/>
  <c r="G1219" i="1"/>
  <c r="A1219" i="1"/>
  <c r="H1218" i="1"/>
  <c r="G1218" i="1"/>
  <c r="A1218" i="1"/>
  <c r="H1217" i="1"/>
  <c r="G1217" i="1"/>
  <c r="A1217" i="1"/>
  <c r="H1216" i="1"/>
  <c r="G1216" i="1"/>
  <c r="A1216" i="1"/>
  <c r="H1215" i="1"/>
  <c r="G1215" i="1"/>
  <c r="A1215" i="1"/>
  <c r="H1214" i="1"/>
  <c r="G1214" i="1"/>
  <c r="A1214" i="1"/>
  <c r="H1213" i="1"/>
  <c r="G1213" i="1"/>
  <c r="A1213" i="1"/>
  <c r="H1212" i="1"/>
  <c r="G1212" i="1"/>
  <c r="A1212" i="1"/>
  <c r="H1211" i="1"/>
  <c r="G1211" i="1"/>
  <c r="A1211" i="1"/>
  <c r="H1210" i="1"/>
  <c r="G1210" i="1"/>
  <c r="A1210" i="1"/>
  <c r="H1209" i="1"/>
  <c r="G1209" i="1"/>
  <c r="A1209" i="1"/>
  <c r="H1208" i="1"/>
  <c r="G1208" i="1"/>
  <c r="A1208" i="1"/>
  <c r="H1207" i="1"/>
  <c r="G1207" i="1"/>
  <c r="A1207" i="1"/>
  <c r="H1206" i="1"/>
  <c r="G1206" i="1"/>
  <c r="A1206" i="1"/>
  <c r="H1205" i="1"/>
  <c r="G1205" i="1"/>
  <c r="A1205" i="1"/>
  <c r="H1204" i="1"/>
  <c r="G1204" i="1"/>
  <c r="A1204" i="1"/>
  <c r="H1203" i="1"/>
  <c r="G1203" i="1"/>
  <c r="A1203" i="1"/>
  <c r="H1202" i="1"/>
  <c r="G1202" i="1"/>
  <c r="A1202" i="1"/>
  <c r="H1201" i="1"/>
  <c r="G1201" i="1"/>
  <c r="A1201" i="1"/>
  <c r="H1200" i="1"/>
  <c r="G1200" i="1"/>
  <c r="A1200" i="1"/>
  <c r="H1199" i="1"/>
  <c r="G1199" i="1"/>
  <c r="A1199" i="1"/>
  <c r="H1198" i="1"/>
  <c r="G1198" i="1"/>
  <c r="A1198" i="1"/>
  <c r="H1197" i="1"/>
  <c r="G1197" i="1"/>
  <c r="A1197" i="1"/>
  <c r="H1196" i="1"/>
  <c r="G1196" i="1"/>
  <c r="A1196" i="1"/>
  <c r="H1195" i="1"/>
  <c r="G1195" i="1"/>
  <c r="A1195" i="1"/>
  <c r="H1194" i="1"/>
  <c r="G1194" i="1"/>
  <c r="A1194" i="1"/>
  <c r="H1193" i="1"/>
  <c r="G1193" i="1"/>
  <c r="A1193" i="1"/>
  <c r="H1192" i="1"/>
  <c r="G1192" i="1"/>
  <c r="A1192" i="1"/>
  <c r="H1191" i="1"/>
  <c r="G1191" i="1"/>
  <c r="A1191" i="1"/>
  <c r="H1190" i="1"/>
  <c r="G1190" i="1"/>
  <c r="A1190" i="1"/>
  <c r="H1189" i="1"/>
  <c r="G1189" i="1"/>
  <c r="A1189" i="1"/>
  <c r="H1188" i="1"/>
  <c r="G1188" i="1"/>
  <c r="A1188" i="1"/>
  <c r="H1187" i="1"/>
  <c r="G1187" i="1"/>
  <c r="A1187" i="1"/>
  <c r="H1186" i="1"/>
  <c r="G1186" i="1"/>
  <c r="A1186" i="1"/>
  <c r="H1185" i="1"/>
  <c r="G1185" i="1"/>
  <c r="A1185" i="1"/>
  <c r="H1184" i="1"/>
  <c r="G1184" i="1"/>
  <c r="A1184" i="1"/>
  <c r="H1183" i="1"/>
  <c r="G1183" i="1"/>
  <c r="A1183" i="1"/>
  <c r="H1182" i="1"/>
  <c r="G1182" i="1"/>
  <c r="A1182" i="1"/>
  <c r="H1181" i="1"/>
  <c r="G1181" i="1"/>
  <c r="A1181" i="1"/>
  <c r="H1180" i="1"/>
  <c r="G1180" i="1"/>
  <c r="A1180" i="1"/>
  <c r="H1179" i="1"/>
  <c r="G1179" i="1"/>
  <c r="A1179" i="1"/>
  <c r="H1178" i="1"/>
  <c r="G1178" i="1"/>
  <c r="A1178" i="1"/>
  <c r="H1177" i="1"/>
  <c r="G1177" i="1"/>
  <c r="A1177" i="1"/>
  <c r="H1176" i="1"/>
  <c r="G1176" i="1"/>
  <c r="A1176" i="1"/>
  <c r="H1175" i="1"/>
  <c r="G1175" i="1"/>
  <c r="A1175" i="1"/>
  <c r="H1174" i="1"/>
  <c r="A1174" i="1"/>
  <c r="H1173" i="1"/>
  <c r="A1173" i="1"/>
  <c r="H1172" i="1"/>
  <c r="A1172" i="1"/>
  <c r="H1171" i="1"/>
  <c r="G1171" i="1"/>
  <c r="A1171" i="1"/>
  <c r="H1170" i="1"/>
  <c r="G1170" i="1"/>
  <c r="A1170" i="1"/>
  <c r="H1169" i="1"/>
  <c r="G1169" i="1"/>
  <c r="A1169" i="1"/>
  <c r="H1168" i="1"/>
  <c r="G1168" i="1"/>
  <c r="A1168" i="1"/>
  <c r="H1167" i="1"/>
  <c r="G1167" i="1"/>
  <c r="A1167" i="1"/>
  <c r="H1166" i="1"/>
  <c r="G1166" i="1"/>
  <c r="A1166" i="1"/>
  <c r="H1165" i="1"/>
  <c r="G1165" i="1"/>
  <c r="A1165" i="1"/>
  <c r="H1164" i="1"/>
  <c r="G1164" i="1"/>
  <c r="A1164" i="1"/>
  <c r="H1163" i="1"/>
  <c r="G1163" i="1"/>
  <c r="A1163" i="1"/>
  <c r="H1162" i="1"/>
  <c r="G1162" i="1"/>
  <c r="A1162" i="1"/>
  <c r="H1161" i="1"/>
  <c r="G1161" i="1"/>
  <c r="A1161" i="1"/>
  <c r="H1160" i="1"/>
  <c r="G1160" i="1"/>
  <c r="A1160" i="1"/>
  <c r="H1159" i="1"/>
  <c r="G1159" i="1"/>
  <c r="A1159" i="1"/>
  <c r="H1158" i="1"/>
  <c r="G1158" i="1"/>
  <c r="A1158" i="1"/>
  <c r="H1157" i="1"/>
  <c r="G1157" i="1"/>
  <c r="A1157" i="1"/>
  <c r="H1156" i="1"/>
  <c r="G1156" i="1"/>
  <c r="A1156" i="1"/>
  <c r="H1155" i="1"/>
  <c r="G1155" i="1"/>
  <c r="A1155" i="1"/>
  <c r="H1154" i="1"/>
  <c r="G1154" i="1"/>
  <c r="A1154" i="1"/>
  <c r="H1153" i="1"/>
  <c r="G1153" i="1"/>
  <c r="A1153" i="1"/>
  <c r="H1152" i="1"/>
  <c r="G1152" i="1"/>
  <c r="A1152" i="1"/>
  <c r="H1151" i="1"/>
  <c r="G1151" i="1"/>
  <c r="A1151" i="1"/>
  <c r="H1150" i="1"/>
  <c r="G1150" i="1"/>
  <c r="A1150" i="1"/>
  <c r="H1149" i="1"/>
  <c r="G1149" i="1"/>
  <c r="A1149" i="1"/>
  <c r="H1148" i="1"/>
  <c r="G1148" i="1"/>
  <c r="A1148" i="1"/>
  <c r="H1147" i="1"/>
  <c r="G1147" i="1"/>
  <c r="A1147" i="1"/>
  <c r="H1146" i="1"/>
  <c r="G1146" i="1"/>
  <c r="A1146" i="1"/>
  <c r="H1145" i="1"/>
  <c r="G1145" i="1"/>
  <c r="A1145" i="1"/>
  <c r="H1144" i="1"/>
  <c r="G1144" i="1"/>
  <c r="A1144" i="1"/>
  <c r="H1143" i="1"/>
  <c r="G1143" i="1"/>
  <c r="A1143" i="1"/>
  <c r="H1142" i="1"/>
  <c r="G1142" i="1"/>
  <c r="A1142" i="1"/>
  <c r="H1141" i="1"/>
  <c r="G1141" i="1"/>
  <c r="A1141" i="1"/>
  <c r="H1140" i="1"/>
  <c r="G1140" i="1"/>
  <c r="A1140" i="1"/>
  <c r="H1139" i="1"/>
  <c r="G1139" i="1"/>
  <c r="A1139" i="1"/>
  <c r="H1138" i="1"/>
  <c r="G1138" i="1"/>
  <c r="A1138" i="1"/>
  <c r="H1137" i="1"/>
  <c r="G1137" i="1"/>
  <c r="A1137" i="1"/>
  <c r="H1136" i="1"/>
  <c r="G1136" i="1"/>
  <c r="A1136" i="1"/>
  <c r="H1135" i="1"/>
  <c r="G1135" i="1"/>
  <c r="A1135" i="1"/>
  <c r="H1134" i="1"/>
  <c r="G1134" i="1"/>
  <c r="A1134" i="1"/>
  <c r="H1133" i="1"/>
  <c r="G1133" i="1"/>
  <c r="A1133" i="1"/>
  <c r="H1132" i="1"/>
  <c r="G1132" i="1"/>
  <c r="A1132" i="1"/>
  <c r="H1131" i="1"/>
  <c r="G1131" i="1"/>
  <c r="A1131" i="1"/>
  <c r="H1130" i="1"/>
  <c r="G1130" i="1"/>
  <c r="A1130" i="1"/>
  <c r="H1129" i="1"/>
  <c r="G1129" i="1"/>
  <c r="A1129" i="1"/>
  <c r="H1128" i="1"/>
  <c r="G1128" i="1"/>
  <c r="A1128" i="1"/>
  <c r="H1127" i="1"/>
  <c r="G1127" i="1"/>
  <c r="A1127" i="1"/>
  <c r="H1126" i="1"/>
  <c r="G1126" i="1"/>
  <c r="A1126" i="1"/>
  <c r="H1125" i="1"/>
  <c r="G1125" i="1"/>
  <c r="A1125" i="1"/>
  <c r="H1124" i="1"/>
  <c r="G1124" i="1"/>
  <c r="A1124" i="1"/>
  <c r="H1123" i="1"/>
  <c r="G1123" i="1"/>
  <c r="A1123" i="1"/>
  <c r="H1122" i="1"/>
  <c r="G1122" i="1"/>
  <c r="A1122" i="1"/>
  <c r="H1121" i="1"/>
  <c r="G1121" i="1"/>
  <c r="A1121" i="1"/>
  <c r="H1120" i="1"/>
  <c r="G1120" i="1"/>
  <c r="A1120" i="1"/>
  <c r="H1119" i="1"/>
  <c r="G1119" i="1"/>
  <c r="A1119" i="1"/>
  <c r="H1118" i="1"/>
  <c r="G1118" i="1"/>
  <c r="A1118" i="1"/>
  <c r="H1117" i="1"/>
  <c r="G1117" i="1"/>
  <c r="A1117" i="1"/>
  <c r="H1116" i="1"/>
  <c r="G1116" i="1"/>
  <c r="A1116" i="1"/>
  <c r="H1115" i="1"/>
  <c r="G1115" i="1"/>
  <c r="A1115" i="1"/>
  <c r="H1114" i="1"/>
  <c r="G1114" i="1"/>
  <c r="A1114" i="1"/>
  <c r="H1113" i="1"/>
  <c r="G1113" i="1"/>
  <c r="A1113" i="1"/>
  <c r="H1112" i="1"/>
  <c r="G1112" i="1"/>
  <c r="A1112" i="1"/>
  <c r="H1111" i="1"/>
  <c r="G1111" i="1"/>
  <c r="A1111" i="1"/>
  <c r="H1110" i="1"/>
  <c r="G1110" i="1"/>
  <c r="A1110" i="1"/>
  <c r="H1109" i="1"/>
  <c r="G1109" i="1"/>
  <c r="A1109" i="1"/>
  <c r="H1108" i="1"/>
  <c r="G1108" i="1"/>
  <c r="A1108" i="1"/>
  <c r="H1107" i="1"/>
  <c r="G1107" i="1"/>
  <c r="A1107" i="1"/>
  <c r="H1106" i="1"/>
  <c r="G1106" i="1"/>
  <c r="A1106" i="1"/>
  <c r="H1105" i="1"/>
  <c r="A1105" i="1"/>
  <c r="H1104" i="1"/>
  <c r="A1104" i="1"/>
  <c r="H1103" i="1"/>
  <c r="A1103" i="1"/>
  <c r="H1102" i="1"/>
  <c r="G1102" i="1"/>
  <c r="A1102" i="1"/>
  <c r="H1101" i="1"/>
  <c r="G1101" i="1"/>
  <c r="A1101" i="1"/>
  <c r="H1100" i="1"/>
  <c r="G1100" i="1"/>
  <c r="A1100" i="1"/>
  <c r="H1099" i="1"/>
  <c r="G1099" i="1"/>
  <c r="A1099" i="1"/>
  <c r="H1098" i="1"/>
  <c r="G1098" i="1"/>
  <c r="A1098" i="1"/>
  <c r="H1097" i="1"/>
  <c r="G1097" i="1"/>
  <c r="A1097" i="1"/>
  <c r="H1096" i="1"/>
  <c r="G1096" i="1"/>
  <c r="A1096" i="1"/>
  <c r="H1095" i="1"/>
  <c r="G1095" i="1"/>
  <c r="A1095" i="1"/>
  <c r="H1094" i="1"/>
  <c r="G1094" i="1"/>
  <c r="A1094" i="1"/>
  <c r="H1093" i="1"/>
  <c r="A1093" i="1"/>
  <c r="H1092" i="1"/>
  <c r="A1092" i="1"/>
  <c r="H1091" i="1"/>
  <c r="A1091" i="1"/>
  <c r="H1090" i="1"/>
  <c r="G1090" i="1"/>
  <c r="A1090" i="1"/>
  <c r="H1089" i="1"/>
  <c r="G1089" i="1"/>
  <c r="A1089" i="1"/>
  <c r="H1088" i="1"/>
  <c r="G1088" i="1"/>
  <c r="A1088" i="1"/>
  <c r="H1087" i="1"/>
  <c r="G1087" i="1"/>
  <c r="A1087" i="1"/>
  <c r="H1086" i="1"/>
  <c r="G1086" i="1"/>
  <c r="A1086" i="1"/>
  <c r="H1085" i="1"/>
  <c r="G1085" i="1"/>
  <c r="A1085" i="1"/>
  <c r="H1084" i="1"/>
  <c r="G1084" i="1"/>
  <c r="A1084" i="1"/>
  <c r="H1083" i="1"/>
  <c r="G1083" i="1"/>
  <c r="A1083" i="1"/>
  <c r="H1082" i="1"/>
  <c r="G1082" i="1"/>
  <c r="A1082" i="1"/>
  <c r="H1081" i="1"/>
  <c r="G1081" i="1"/>
  <c r="A1081" i="1"/>
  <c r="H1080" i="1"/>
  <c r="G1080" i="1"/>
  <c r="A1080" i="1"/>
  <c r="H1079" i="1"/>
  <c r="G1079" i="1"/>
  <c r="A1079" i="1"/>
  <c r="H1078" i="1"/>
  <c r="G1078" i="1"/>
  <c r="A1078" i="1"/>
  <c r="H1077" i="1"/>
  <c r="G1077" i="1"/>
  <c r="A1077" i="1"/>
  <c r="H1076" i="1"/>
  <c r="G1076" i="1"/>
  <c r="A1076" i="1"/>
  <c r="H1075" i="1"/>
  <c r="G1075" i="1"/>
  <c r="A1075" i="1"/>
  <c r="H1074" i="1"/>
  <c r="G1074" i="1"/>
  <c r="A1074" i="1"/>
  <c r="H1073" i="1"/>
  <c r="G1073" i="1"/>
  <c r="A1073" i="1"/>
  <c r="H1072" i="1"/>
  <c r="G1072" i="1"/>
  <c r="A1072" i="1"/>
  <c r="H1071" i="1"/>
  <c r="G1071" i="1"/>
  <c r="A1071" i="1"/>
  <c r="H1070" i="1"/>
  <c r="G1070" i="1"/>
  <c r="A1070" i="1"/>
  <c r="H1069" i="1"/>
  <c r="G1069" i="1"/>
  <c r="A1069" i="1"/>
  <c r="H1068" i="1"/>
  <c r="G1068" i="1"/>
  <c r="A1068" i="1"/>
  <c r="H1067" i="1"/>
  <c r="G1067" i="1"/>
  <c r="A1067" i="1"/>
  <c r="H1066" i="1"/>
  <c r="G1066" i="1"/>
  <c r="A1066" i="1"/>
  <c r="H1065" i="1"/>
  <c r="G1065" i="1"/>
  <c r="A1065" i="1"/>
  <c r="H1064" i="1"/>
  <c r="G1064" i="1"/>
  <c r="A1064" i="1"/>
  <c r="H1063" i="1"/>
  <c r="G1063" i="1"/>
  <c r="A1063" i="1"/>
  <c r="H1062" i="1"/>
  <c r="G1062" i="1"/>
  <c r="A1062" i="1"/>
  <c r="H1061" i="1"/>
  <c r="G1061" i="1"/>
  <c r="A1061" i="1"/>
  <c r="H1060" i="1"/>
  <c r="G1060" i="1"/>
  <c r="A1060" i="1"/>
  <c r="H1059" i="1"/>
  <c r="G1059" i="1"/>
  <c r="A1059" i="1"/>
  <c r="H1058" i="1"/>
  <c r="G1058" i="1"/>
  <c r="A1058" i="1"/>
  <c r="H1057" i="1"/>
  <c r="G1057" i="1"/>
  <c r="A1057" i="1"/>
  <c r="H1056" i="1"/>
  <c r="G1056" i="1"/>
  <c r="A1056" i="1"/>
  <c r="H1055" i="1"/>
  <c r="G1055" i="1"/>
  <c r="A1055" i="1"/>
  <c r="H1054" i="1"/>
  <c r="G1054" i="1"/>
  <c r="A1054" i="1"/>
  <c r="H1053" i="1"/>
  <c r="G1053" i="1"/>
  <c r="A1053" i="1"/>
  <c r="H1052" i="1"/>
  <c r="G1052" i="1"/>
  <c r="A1052" i="1"/>
  <c r="H1051" i="1"/>
  <c r="G1051" i="1"/>
  <c r="A1051" i="1"/>
  <c r="H1050" i="1"/>
  <c r="G1050" i="1"/>
  <c r="A1050" i="1"/>
  <c r="H1049" i="1"/>
  <c r="G1049" i="1"/>
  <c r="A1049" i="1"/>
  <c r="H1048" i="1"/>
  <c r="G1048" i="1"/>
  <c r="A1048" i="1"/>
  <c r="H1047" i="1"/>
  <c r="G1047" i="1"/>
  <c r="A1047" i="1"/>
  <c r="H1046" i="1"/>
  <c r="G1046" i="1"/>
  <c r="A1046" i="1"/>
  <c r="H1045" i="1"/>
  <c r="G1045" i="1"/>
  <c r="A1045" i="1"/>
  <c r="H1044" i="1"/>
  <c r="G1044" i="1"/>
  <c r="A1044" i="1"/>
  <c r="H1043" i="1"/>
  <c r="G1043" i="1"/>
  <c r="A1043" i="1"/>
  <c r="H1042" i="1"/>
  <c r="G1042" i="1"/>
  <c r="A1042" i="1"/>
  <c r="H1041" i="1"/>
  <c r="G1041" i="1"/>
  <c r="A1041" i="1"/>
  <c r="H1040" i="1"/>
  <c r="A1040" i="1"/>
  <c r="H1039" i="1"/>
  <c r="A1039" i="1"/>
  <c r="H1038" i="1"/>
  <c r="A1038" i="1"/>
  <c r="H1037" i="1"/>
  <c r="G1037" i="1"/>
  <c r="A1037" i="1"/>
  <c r="H1036" i="1"/>
  <c r="G1036" i="1"/>
  <c r="A1036" i="1"/>
  <c r="H1035" i="1"/>
  <c r="G1035" i="1"/>
  <c r="A1035" i="1"/>
  <c r="H1034" i="1"/>
  <c r="G1034" i="1"/>
  <c r="A1034" i="1"/>
  <c r="H1033" i="1"/>
  <c r="G1033" i="1"/>
  <c r="A1033" i="1"/>
  <c r="H1032" i="1"/>
  <c r="G1032" i="1"/>
  <c r="A1032" i="1"/>
  <c r="H1031" i="1"/>
  <c r="G1031" i="1"/>
  <c r="A1031" i="1"/>
  <c r="H1030" i="1"/>
  <c r="G1030" i="1"/>
  <c r="A1030" i="1"/>
  <c r="H1029" i="1"/>
  <c r="G1029" i="1"/>
  <c r="A1029" i="1"/>
  <c r="H1028" i="1"/>
  <c r="G1028" i="1"/>
  <c r="A1028" i="1"/>
  <c r="H1027" i="1"/>
  <c r="G1027" i="1"/>
  <c r="A1027" i="1"/>
  <c r="H1026" i="1"/>
  <c r="G1026" i="1"/>
  <c r="A1026" i="1"/>
  <c r="H1025" i="1"/>
  <c r="G1025" i="1"/>
  <c r="A1025" i="1"/>
  <c r="H1024" i="1"/>
  <c r="G1024" i="1"/>
  <c r="A1024" i="1"/>
  <c r="H1023" i="1"/>
  <c r="G1023" i="1"/>
  <c r="A1023" i="1"/>
  <c r="H1022" i="1"/>
  <c r="G1022" i="1"/>
  <c r="A1022" i="1"/>
  <c r="H1021" i="1"/>
  <c r="G1021" i="1"/>
  <c r="A1021" i="1"/>
  <c r="H1020" i="1"/>
  <c r="G1020" i="1"/>
  <c r="A1020" i="1"/>
  <c r="H1019" i="1"/>
  <c r="G1019" i="1"/>
  <c r="A1019" i="1"/>
  <c r="H1018" i="1"/>
  <c r="G1018" i="1"/>
  <c r="A1018" i="1"/>
  <c r="H1017" i="1"/>
  <c r="G1017" i="1"/>
  <c r="A1017" i="1"/>
  <c r="H1016" i="1"/>
  <c r="G1016" i="1"/>
  <c r="A1016" i="1"/>
  <c r="H1015" i="1"/>
  <c r="G1015" i="1"/>
  <c r="A1015" i="1"/>
  <c r="H1014" i="1"/>
  <c r="G1014" i="1"/>
  <c r="A1014" i="1"/>
  <c r="H1013" i="1"/>
  <c r="G1013" i="1"/>
  <c r="A1013" i="1"/>
  <c r="H1012" i="1"/>
  <c r="G1012" i="1"/>
  <c r="A1012" i="1"/>
  <c r="H1011" i="1"/>
  <c r="G1011" i="1"/>
  <c r="A1011" i="1"/>
  <c r="H1010" i="1"/>
  <c r="G1010" i="1"/>
  <c r="A1010" i="1"/>
  <c r="H1009" i="1"/>
  <c r="G1009" i="1"/>
  <c r="A1009" i="1"/>
  <c r="H1008" i="1"/>
  <c r="G1008" i="1"/>
  <c r="A1008" i="1"/>
  <c r="H1007" i="1"/>
  <c r="G1007" i="1"/>
  <c r="A1007" i="1"/>
  <c r="H1006" i="1"/>
  <c r="G1006" i="1"/>
  <c r="A1006" i="1"/>
  <c r="H1005" i="1"/>
  <c r="G1005" i="1"/>
  <c r="A1005" i="1"/>
  <c r="H1004" i="1"/>
  <c r="G1004" i="1"/>
  <c r="A1004" i="1"/>
  <c r="H1003" i="1"/>
  <c r="G1003" i="1"/>
  <c r="A1003" i="1"/>
  <c r="H1002" i="1"/>
  <c r="G1002" i="1"/>
  <c r="A1002" i="1"/>
  <c r="H1001" i="1"/>
  <c r="G1001" i="1"/>
  <c r="A1001" i="1"/>
  <c r="H1000" i="1"/>
  <c r="G1000" i="1"/>
  <c r="A1000" i="1"/>
  <c r="H999" i="1"/>
  <c r="G999" i="1"/>
  <c r="A999" i="1"/>
  <c r="H998" i="1"/>
  <c r="G998" i="1"/>
  <c r="A998" i="1"/>
  <c r="H997" i="1"/>
  <c r="G997" i="1"/>
  <c r="A997" i="1"/>
  <c r="H996" i="1"/>
  <c r="H995" i="1"/>
  <c r="G995" i="1"/>
  <c r="A995" i="1"/>
  <c r="H994" i="1"/>
  <c r="G994" i="1"/>
  <c r="A994" i="1"/>
  <c r="H993" i="1"/>
  <c r="G993" i="1"/>
  <c r="A993" i="1"/>
  <c r="H992" i="1"/>
  <c r="G992" i="1"/>
  <c r="A992" i="1"/>
  <c r="H991" i="1"/>
  <c r="G991" i="1"/>
  <c r="A991" i="1"/>
  <c r="H990" i="1"/>
  <c r="G990" i="1"/>
  <c r="A990" i="1"/>
  <c r="H989" i="1"/>
  <c r="G989" i="1"/>
  <c r="A989" i="1"/>
  <c r="H988" i="1"/>
  <c r="G988" i="1"/>
  <c r="A988" i="1"/>
  <c r="H987" i="1"/>
  <c r="G987" i="1"/>
  <c r="A987" i="1"/>
  <c r="H986" i="1"/>
  <c r="G986" i="1"/>
  <c r="A986" i="1"/>
  <c r="H985" i="1"/>
  <c r="G985" i="1"/>
  <c r="A985" i="1"/>
  <c r="H984" i="1"/>
  <c r="G984" i="1"/>
  <c r="A984" i="1"/>
  <c r="H983" i="1"/>
  <c r="G983" i="1"/>
  <c r="A983" i="1"/>
  <c r="H982" i="1"/>
  <c r="G982" i="1"/>
  <c r="A982" i="1"/>
  <c r="H981" i="1"/>
  <c r="G981" i="1"/>
  <c r="A981" i="1"/>
  <c r="H980" i="1"/>
  <c r="G980" i="1"/>
  <c r="A980" i="1"/>
  <c r="H979" i="1"/>
  <c r="H978" i="1"/>
  <c r="G978" i="1"/>
  <c r="A978" i="1"/>
  <c r="H977" i="1"/>
  <c r="G977" i="1"/>
  <c r="A977" i="1"/>
  <c r="H976" i="1"/>
  <c r="G976" i="1"/>
  <c r="A976" i="1"/>
  <c r="H975" i="1"/>
  <c r="G975" i="1"/>
  <c r="A975" i="1"/>
  <c r="H974" i="1"/>
  <c r="G974" i="1"/>
  <c r="A974" i="1"/>
  <c r="H973" i="1"/>
  <c r="G973" i="1"/>
  <c r="A973" i="1"/>
  <c r="H972" i="1"/>
  <c r="G972" i="1"/>
  <c r="A972" i="1"/>
  <c r="H971" i="1"/>
  <c r="G971" i="1"/>
  <c r="A971" i="1"/>
  <c r="H970" i="1"/>
  <c r="G970" i="1"/>
  <c r="A970" i="1"/>
  <c r="H969" i="1"/>
  <c r="G969" i="1"/>
  <c r="A969" i="1"/>
  <c r="H968" i="1"/>
  <c r="G968" i="1"/>
  <c r="A968" i="1"/>
  <c r="H967" i="1"/>
  <c r="G967" i="1"/>
  <c r="A967" i="1"/>
  <c r="H966" i="1"/>
  <c r="G966" i="1"/>
  <c r="A966" i="1"/>
  <c r="H965" i="1"/>
  <c r="G965" i="1"/>
  <c r="A965" i="1"/>
  <c r="H964" i="1"/>
  <c r="G964" i="1"/>
  <c r="A964" i="1"/>
  <c r="H963" i="1"/>
  <c r="G963" i="1"/>
  <c r="A963" i="1"/>
  <c r="H962" i="1"/>
  <c r="G962" i="1"/>
  <c r="A962" i="1"/>
  <c r="H961" i="1"/>
  <c r="G961" i="1"/>
  <c r="A961" i="1"/>
  <c r="H960" i="1"/>
  <c r="G960" i="1"/>
  <c r="A960" i="1"/>
  <c r="H959" i="1"/>
  <c r="G959" i="1"/>
  <c r="A959" i="1"/>
  <c r="H958" i="1"/>
  <c r="G958" i="1"/>
  <c r="A958" i="1"/>
  <c r="H957" i="1"/>
  <c r="G957" i="1"/>
  <c r="A957" i="1"/>
  <c r="H956" i="1"/>
  <c r="G956" i="1"/>
  <c r="A956" i="1"/>
  <c r="H955" i="1"/>
  <c r="G955" i="1"/>
  <c r="A955" i="1"/>
  <c r="H954" i="1"/>
  <c r="G954" i="1"/>
  <c r="A954" i="1"/>
  <c r="H953" i="1"/>
  <c r="G953" i="1"/>
  <c r="A953" i="1"/>
  <c r="H952" i="1"/>
  <c r="G952" i="1"/>
  <c r="A952" i="1"/>
  <c r="H951" i="1"/>
  <c r="G951" i="1"/>
  <c r="A951" i="1"/>
  <c r="H950" i="1"/>
  <c r="G950" i="1"/>
  <c r="A950" i="1"/>
  <c r="H949" i="1"/>
  <c r="G949" i="1"/>
  <c r="A949" i="1"/>
  <c r="H948" i="1"/>
  <c r="G948" i="1"/>
  <c r="A948" i="1"/>
  <c r="H947" i="1"/>
  <c r="G947" i="1"/>
  <c r="A947" i="1"/>
  <c r="H946" i="1"/>
  <c r="G946" i="1"/>
  <c r="A946" i="1"/>
  <c r="H945" i="1"/>
  <c r="G945" i="1"/>
  <c r="A945" i="1"/>
  <c r="H944" i="1"/>
  <c r="G944" i="1"/>
  <c r="A944" i="1"/>
  <c r="H943" i="1"/>
  <c r="G943" i="1"/>
  <c r="A943" i="1"/>
  <c r="H942" i="1"/>
  <c r="G942" i="1"/>
  <c r="A942" i="1"/>
  <c r="H941" i="1"/>
  <c r="G941" i="1"/>
  <c r="A941" i="1"/>
  <c r="H940" i="1"/>
  <c r="G940" i="1"/>
  <c r="A940" i="1"/>
  <c r="H939" i="1"/>
  <c r="G939" i="1"/>
  <c r="A939" i="1"/>
  <c r="H938" i="1"/>
  <c r="G938" i="1"/>
  <c r="A938" i="1"/>
  <c r="H937" i="1"/>
  <c r="G937" i="1"/>
  <c r="A937" i="1"/>
  <c r="H936" i="1"/>
  <c r="G936" i="1"/>
  <c r="A936" i="1"/>
  <c r="H935" i="1"/>
  <c r="G935" i="1"/>
  <c r="A935" i="1"/>
  <c r="H934" i="1"/>
  <c r="G934" i="1"/>
  <c r="A934" i="1"/>
  <c r="H933" i="1"/>
  <c r="G933" i="1"/>
  <c r="A933" i="1"/>
  <c r="H932" i="1"/>
  <c r="G932" i="1"/>
  <c r="A932" i="1"/>
  <c r="H931" i="1"/>
  <c r="G931" i="1"/>
  <c r="A931" i="1"/>
  <c r="H930" i="1"/>
  <c r="G930" i="1"/>
  <c r="A930" i="1"/>
  <c r="H929" i="1"/>
  <c r="G929" i="1"/>
  <c r="A929" i="1"/>
  <c r="H928" i="1"/>
  <c r="G928" i="1"/>
  <c r="A928" i="1"/>
  <c r="H927" i="1"/>
  <c r="G927" i="1"/>
  <c r="A927" i="1"/>
  <c r="H926" i="1"/>
  <c r="G926" i="1"/>
  <c r="A926" i="1"/>
  <c r="H925" i="1"/>
  <c r="G925" i="1"/>
  <c r="A925" i="1"/>
  <c r="H924" i="1"/>
  <c r="G924" i="1"/>
  <c r="A924" i="1"/>
  <c r="H923" i="1"/>
  <c r="G923" i="1"/>
  <c r="A923" i="1"/>
  <c r="H922" i="1"/>
  <c r="G922" i="1"/>
  <c r="A922" i="1"/>
  <c r="H921" i="1"/>
  <c r="G921" i="1"/>
  <c r="A921" i="1"/>
  <c r="H920" i="1"/>
  <c r="G920" i="1"/>
  <c r="A920" i="1"/>
  <c r="H919" i="1"/>
  <c r="G919" i="1"/>
  <c r="A919" i="1"/>
  <c r="H918" i="1"/>
  <c r="G918" i="1"/>
  <c r="A918" i="1"/>
  <c r="H917" i="1"/>
  <c r="G917" i="1"/>
  <c r="A917" i="1"/>
  <c r="H916" i="1"/>
  <c r="G916" i="1"/>
  <c r="A916" i="1"/>
  <c r="H915" i="1"/>
  <c r="G915" i="1"/>
  <c r="A915" i="1"/>
  <c r="H914" i="1"/>
  <c r="G914" i="1"/>
  <c r="A914" i="1"/>
  <c r="H913" i="1"/>
  <c r="G913" i="1"/>
  <c r="A913" i="1"/>
  <c r="H912" i="1"/>
  <c r="G912" i="1"/>
  <c r="A912" i="1"/>
  <c r="H911" i="1"/>
  <c r="G911" i="1"/>
  <c r="A911" i="1"/>
  <c r="H910" i="1"/>
  <c r="G910" i="1"/>
  <c r="A910" i="1"/>
  <c r="H909" i="1"/>
  <c r="G909" i="1"/>
  <c r="A909" i="1"/>
  <c r="H908" i="1"/>
  <c r="G908" i="1"/>
  <c r="A908" i="1"/>
  <c r="H907" i="1"/>
  <c r="G907" i="1"/>
  <c r="A907" i="1"/>
  <c r="H906" i="1"/>
  <c r="G906" i="1"/>
  <c r="A906" i="1"/>
  <c r="H905" i="1"/>
  <c r="G905" i="1"/>
  <c r="A905" i="1"/>
  <c r="H904" i="1"/>
  <c r="G904" i="1"/>
  <c r="A904" i="1"/>
  <c r="H903" i="1"/>
  <c r="G903" i="1"/>
  <c r="A903" i="1"/>
  <c r="H902" i="1"/>
  <c r="G902" i="1"/>
  <c r="A902" i="1"/>
  <c r="H901" i="1"/>
  <c r="G901" i="1"/>
  <c r="A901" i="1"/>
  <c r="H900" i="1"/>
  <c r="G900" i="1"/>
  <c r="A900" i="1"/>
  <c r="H899" i="1"/>
  <c r="G899" i="1"/>
  <c r="A899" i="1"/>
  <c r="H898" i="1"/>
  <c r="G898" i="1"/>
  <c r="A898" i="1"/>
  <c r="H897" i="1"/>
  <c r="G897" i="1"/>
  <c r="A897" i="1"/>
  <c r="H896" i="1"/>
  <c r="G896" i="1"/>
  <c r="A896" i="1"/>
  <c r="H895" i="1"/>
  <c r="G895" i="1"/>
  <c r="A895" i="1"/>
  <c r="H894" i="1"/>
  <c r="G894" i="1"/>
  <c r="A894" i="1"/>
  <c r="H893" i="1"/>
  <c r="G893" i="1"/>
  <c r="A893" i="1"/>
  <c r="H892" i="1"/>
  <c r="G892" i="1"/>
  <c r="A892" i="1"/>
  <c r="H891" i="1"/>
  <c r="G891" i="1"/>
  <c r="A891" i="1"/>
  <c r="H890" i="1"/>
  <c r="G890" i="1"/>
  <c r="A890" i="1"/>
  <c r="H889" i="1"/>
  <c r="G889" i="1"/>
  <c r="A889" i="1"/>
  <c r="H888" i="1"/>
  <c r="G888" i="1"/>
  <c r="A888" i="1"/>
  <c r="H887" i="1"/>
  <c r="G887" i="1"/>
  <c r="A887" i="1"/>
  <c r="H886" i="1"/>
  <c r="G886" i="1"/>
  <c r="A886" i="1"/>
  <c r="H885" i="1"/>
  <c r="G885" i="1"/>
  <c r="A885" i="1"/>
  <c r="H884" i="1"/>
  <c r="G884" i="1"/>
  <c r="A884" i="1"/>
  <c r="H883" i="1"/>
  <c r="G883" i="1"/>
  <c r="A883" i="1"/>
  <c r="H882" i="1"/>
  <c r="G882" i="1"/>
  <c r="A882" i="1"/>
  <c r="H881" i="1"/>
  <c r="G881" i="1"/>
  <c r="A881" i="1"/>
  <c r="H880" i="1"/>
  <c r="G880" i="1"/>
  <c r="A880" i="1"/>
  <c r="H879" i="1"/>
  <c r="G879" i="1"/>
  <c r="A879" i="1"/>
  <c r="H878" i="1"/>
  <c r="G878" i="1"/>
  <c r="A878" i="1"/>
  <c r="H877" i="1"/>
  <c r="G877" i="1"/>
  <c r="A877" i="1"/>
  <c r="H876" i="1"/>
  <c r="G876" i="1"/>
  <c r="A876" i="1"/>
  <c r="H875" i="1"/>
  <c r="G875" i="1"/>
  <c r="A875" i="1"/>
  <c r="H874" i="1"/>
  <c r="G874" i="1"/>
  <c r="A874" i="1"/>
  <c r="H873" i="1"/>
  <c r="G873" i="1"/>
  <c r="A873" i="1"/>
  <c r="H872" i="1"/>
  <c r="G872" i="1"/>
  <c r="A872" i="1"/>
  <c r="H871" i="1"/>
  <c r="G871" i="1"/>
  <c r="A871" i="1"/>
  <c r="H870" i="1"/>
  <c r="G870" i="1"/>
  <c r="A870" i="1"/>
  <c r="H869" i="1"/>
  <c r="G869" i="1"/>
  <c r="A869" i="1"/>
  <c r="H868" i="1"/>
  <c r="G868" i="1"/>
  <c r="A868" i="1"/>
  <c r="H867" i="1"/>
  <c r="G867" i="1"/>
  <c r="A867" i="1"/>
  <c r="H866" i="1"/>
  <c r="G866" i="1"/>
  <c r="A866" i="1"/>
  <c r="H865" i="1"/>
  <c r="G865" i="1"/>
  <c r="A865" i="1"/>
  <c r="H864" i="1"/>
  <c r="G864" i="1"/>
  <c r="A864" i="1"/>
  <c r="H863" i="1"/>
  <c r="G863" i="1"/>
  <c r="A863" i="1"/>
  <c r="H862" i="1"/>
  <c r="G862" i="1"/>
  <c r="A862" i="1"/>
  <c r="H861" i="1"/>
  <c r="G861" i="1"/>
  <c r="A861" i="1"/>
  <c r="H860" i="1"/>
  <c r="G860" i="1"/>
  <c r="A860" i="1"/>
  <c r="H859" i="1"/>
  <c r="G859" i="1"/>
  <c r="A859" i="1"/>
  <c r="H858" i="1"/>
  <c r="G858" i="1"/>
  <c r="A858" i="1"/>
  <c r="H857" i="1"/>
  <c r="G857" i="1"/>
  <c r="A857" i="1"/>
  <c r="H856" i="1"/>
  <c r="G856" i="1"/>
  <c r="A856" i="1"/>
  <c r="H855" i="1"/>
  <c r="G855" i="1"/>
  <c r="A855" i="1"/>
  <c r="H854" i="1"/>
  <c r="G854" i="1"/>
  <c r="A854" i="1"/>
  <c r="H853" i="1"/>
  <c r="G853" i="1"/>
  <c r="A853" i="1"/>
  <c r="H852" i="1"/>
  <c r="G852" i="1"/>
  <c r="A852" i="1"/>
  <c r="H851" i="1"/>
  <c r="G851" i="1"/>
  <c r="A851" i="1"/>
  <c r="H850" i="1"/>
  <c r="G850" i="1"/>
  <c r="A850" i="1"/>
  <c r="H849" i="1"/>
  <c r="G849" i="1"/>
  <c r="A849" i="1"/>
  <c r="H848" i="1"/>
  <c r="G848" i="1"/>
  <c r="A848" i="1"/>
  <c r="H847" i="1"/>
  <c r="G847" i="1"/>
  <c r="A847" i="1"/>
  <c r="H846" i="1"/>
  <c r="G846" i="1"/>
  <c r="A846" i="1"/>
  <c r="H845" i="1"/>
  <c r="G845" i="1"/>
  <c r="A845" i="1"/>
  <c r="H844" i="1"/>
  <c r="G844" i="1"/>
  <c r="A844" i="1"/>
  <c r="H843" i="1"/>
  <c r="G843" i="1"/>
  <c r="A843" i="1"/>
  <c r="H842" i="1"/>
  <c r="G842" i="1"/>
  <c r="A842" i="1"/>
  <c r="H841" i="1"/>
  <c r="G841" i="1"/>
  <c r="A841" i="1"/>
  <c r="H840" i="1"/>
  <c r="G840" i="1"/>
  <c r="A840" i="1"/>
  <c r="H839" i="1"/>
  <c r="G839" i="1"/>
  <c r="A839" i="1"/>
  <c r="H838" i="1"/>
  <c r="G838" i="1"/>
  <c r="A838" i="1"/>
  <c r="H837" i="1"/>
  <c r="G837" i="1"/>
  <c r="A837" i="1"/>
  <c r="H836" i="1"/>
  <c r="G836" i="1"/>
  <c r="A836" i="1"/>
  <c r="H835" i="1"/>
  <c r="A835" i="1"/>
  <c r="H834" i="1"/>
  <c r="A834" i="1"/>
  <c r="H833" i="1"/>
  <c r="A833" i="1"/>
  <c r="H832" i="1"/>
  <c r="G832" i="1"/>
  <c r="A832" i="1"/>
  <c r="H831" i="1"/>
  <c r="G831" i="1"/>
  <c r="A831" i="1"/>
  <c r="H830" i="1"/>
  <c r="G830" i="1"/>
  <c r="A830" i="1"/>
  <c r="H829" i="1"/>
  <c r="G829" i="1"/>
  <c r="A829" i="1"/>
  <c r="H828" i="1"/>
  <c r="G828" i="1"/>
  <c r="A828" i="1"/>
  <c r="H827" i="1"/>
  <c r="G827" i="1"/>
  <c r="A827" i="1"/>
  <c r="H826" i="1"/>
  <c r="G826" i="1"/>
  <c r="A826" i="1"/>
  <c r="H825" i="1"/>
  <c r="G825" i="1"/>
  <c r="A825" i="1"/>
  <c r="H824" i="1"/>
  <c r="G824" i="1"/>
  <c r="A824" i="1"/>
  <c r="H823" i="1"/>
  <c r="G823" i="1"/>
  <c r="A823" i="1"/>
  <c r="H822" i="1"/>
  <c r="G822" i="1"/>
  <c r="A822" i="1"/>
  <c r="H821" i="1"/>
  <c r="G821" i="1"/>
  <c r="A821" i="1"/>
  <c r="H820" i="1"/>
  <c r="G820" i="1"/>
  <c r="A820" i="1"/>
  <c r="H819" i="1"/>
  <c r="G819" i="1"/>
  <c r="A819" i="1"/>
  <c r="H818" i="1"/>
  <c r="G818" i="1"/>
  <c r="A818" i="1"/>
  <c r="H817" i="1"/>
  <c r="G817" i="1"/>
  <c r="A817" i="1"/>
  <c r="H816" i="1"/>
  <c r="G816" i="1"/>
  <c r="A816" i="1"/>
  <c r="H815" i="1"/>
  <c r="G815" i="1"/>
  <c r="A815" i="1"/>
  <c r="H814" i="1"/>
  <c r="G814" i="1"/>
  <c r="A814" i="1"/>
  <c r="H813" i="1"/>
  <c r="G813" i="1"/>
  <c r="A813" i="1"/>
  <c r="H812" i="1"/>
  <c r="G812" i="1"/>
  <c r="A812" i="1"/>
  <c r="H811" i="1"/>
  <c r="G811" i="1"/>
  <c r="A811" i="1"/>
  <c r="H810" i="1"/>
  <c r="G810" i="1"/>
  <c r="A810" i="1"/>
  <c r="H809" i="1"/>
  <c r="G809" i="1"/>
  <c r="A809" i="1"/>
  <c r="H808" i="1"/>
  <c r="G808" i="1"/>
  <c r="A808" i="1"/>
  <c r="H807" i="1"/>
  <c r="H806" i="1"/>
  <c r="G806" i="1"/>
  <c r="A806" i="1"/>
  <c r="H805" i="1"/>
  <c r="H804" i="1"/>
  <c r="G804" i="1"/>
  <c r="A804" i="1"/>
  <c r="H803" i="1"/>
  <c r="G803" i="1"/>
  <c r="A803" i="1"/>
  <c r="H802" i="1"/>
  <c r="G802" i="1"/>
  <c r="A802" i="1"/>
  <c r="H801" i="1"/>
  <c r="G801" i="1"/>
  <c r="A801" i="1"/>
  <c r="H800" i="1"/>
  <c r="G800" i="1"/>
  <c r="A800" i="1"/>
  <c r="H799" i="1"/>
  <c r="G799" i="1"/>
  <c r="A799" i="1"/>
  <c r="H798" i="1"/>
  <c r="G798" i="1"/>
  <c r="A798" i="1"/>
  <c r="H797" i="1"/>
  <c r="G797" i="1"/>
  <c r="A797" i="1"/>
  <c r="H796" i="1"/>
  <c r="H795" i="1"/>
  <c r="G795" i="1"/>
  <c r="A795" i="1"/>
  <c r="H794" i="1"/>
  <c r="H793" i="1"/>
  <c r="G793" i="1"/>
  <c r="A793" i="1"/>
  <c r="H792" i="1"/>
  <c r="G792" i="1"/>
  <c r="A792" i="1"/>
  <c r="H791" i="1"/>
  <c r="G791" i="1"/>
  <c r="A791" i="1"/>
  <c r="H790" i="1"/>
  <c r="G790" i="1"/>
  <c r="A790" i="1"/>
  <c r="H789" i="1"/>
  <c r="G789" i="1"/>
  <c r="A789" i="1"/>
  <c r="H788" i="1"/>
  <c r="G788" i="1"/>
  <c r="A788" i="1"/>
  <c r="H787" i="1"/>
  <c r="G787" i="1"/>
  <c r="A787" i="1"/>
  <c r="H786" i="1"/>
  <c r="G786" i="1"/>
  <c r="A786" i="1"/>
  <c r="A785" i="1"/>
  <c r="H784" i="1"/>
  <c r="G784" i="1"/>
  <c r="A784" i="1"/>
  <c r="A783" i="1"/>
  <c r="H782" i="1"/>
  <c r="G782" i="1"/>
  <c r="A782" i="1"/>
  <c r="H781" i="1"/>
  <c r="G781" i="1"/>
  <c r="A781" i="1"/>
  <c r="H780" i="1"/>
  <c r="G780" i="1"/>
  <c r="A780" i="1"/>
  <c r="H779" i="1"/>
  <c r="G779" i="1"/>
  <c r="A779" i="1"/>
  <c r="H778" i="1"/>
  <c r="G778" i="1"/>
  <c r="A778" i="1"/>
  <c r="H777" i="1"/>
  <c r="G777" i="1"/>
  <c r="A777" i="1"/>
  <c r="H776" i="1"/>
  <c r="G776" i="1"/>
  <c r="A776" i="1"/>
  <c r="H775" i="1"/>
  <c r="G775" i="1"/>
  <c r="A775" i="1"/>
  <c r="H774" i="1"/>
  <c r="A774" i="1"/>
  <c r="H773" i="1"/>
  <c r="G773" i="1"/>
  <c r="A773" i="1"/>
  <c r="H772" i="1"/>
  <c r="A772" i="1"/>
  <c r="H771" i="1"/>
  <c r="G771" i="1"/>
  <c r="A771" i="1"/>
  <c r="H770" i="1"/>
  <c r="G770" i="1"/>
  <c r="A770" i="1"/>
  <c r="H769" i="1"/>
  <c r="G769" i="1"/>
  <c r="A769" i="1"/>
  <c r="H768" i="1"/>
  <c r="G768" i="1"/>
  <c r="A768" i="1"/>
  <c r="H767" i="1"/>
  <c r="G767" i="1"/>
  <c r="A767" i="1"/>
  <c r="H766" i="1"/>
  <c r="G766" i="1"/>
  <c r="A766" i="1"/>
  <c r="H765" i="1"/>
  <c r="G765" i="1"/>
  <c r="A765" i="1"/>
  <c r="H764" i="1"/>
  <c r="G764" i="1"/>
  <c r="A764" i="1"/>
  <c r="H763" i="1"/>
  <c r="A763" i="1"/>
  <c r="H762" i="1"/>
  <c r="G762" i="1"/>
  <c r="A762" i="1"/>
  <c r="H761" i="1"/>
  <c r="A761" i="1"/>
  <c r="H760" i="1"/>
  <c r="G760" i="1"/>
  <c r="A760" i="1"/>
  <c r="H759" i="1"/>
  <c r="G759" i="1"/>
  <c r="A759" i="1"/>
  <c r="H758" i="1"/>
  <c r="G758" i="1"/>
  <c r="A758" i="1"/>
  <c r="H757" i="1"/>
  <c r="G757" i="1"/>
  <c r="A757" i="1"/>
  <c r="H756" i="1"/>
  <c r="G756" i="1"/>
  <c r="A756" i="1"/>
  <c r="H755" i="1"/>
  <c r="G755" i="1"/>
  <c r="A755" i="1"/>
  <c r="H754" i="1"/>
  <c r="A754" i="1"/>
  <c r="H753" i="1"/>
  <c r="G753" i="1"/>
  <c r="A753" i="1"/>
  <c r="H752" i="1"/>
  <c r="G752" i="1"/>
  <c r="A752" i="1"/>
  <c r="H751" i="1"/>
  <c r="A751" i="1"/>
  <c r="H750" i="1"/>
  <c r="G750" i="1"/>
  <c r="A750" i="1"/>
  <c r="H749" i="1"/>
  <c r="G749" i="1"/>
  <c r="A749" i="1"/>
  <c r="H748" i="1"/>
  <c r="G748" i="1"/>
  <c r="A748" i="1"/>
  <c r="H747" i="1"/>
  <c r="G747" i="1"/>
  <c r="A747" i="1"/>
  <c r="H746" i="1"/>
  <c r="G746" i="1"/>
  <c r="A746" i="1"/>
  <c r="H745" i="1"/>
  <c r="G745" i="1"/>
  <c r="A745" i="1"/>
  <c r="A744" i="1"/>
  <c r="H743" i="1"/>
  <c r="G743" i="1"/>
  <c r="A743" i="1"/>
  <c r="G742" i="1"/>
  <c r="A742" i="1"/>
  <c r="A741" i="1"/>
  <c r="G740" i="1"/>
  <c r="A740" i="1"/>
  <c r="G739" i="1"/>
  <c r="A739" i="1"/>
  <c r="G738" i="1"/>
  <c r="A738" i="1"/>
  <c r="G737" i="1"/>
  <c r="A737" i="1"/>
  <c r="G736" i="1"/>
  <c r="A736" i="1"/>
  <c r="G735" i="1"/>
  <c r="A735" i="1"/>
  <c r="A734" i="1"/>
  <c r="G733" i="1"/>
  <c r="A733" i="1"/>
  <c r="G732" i="1"/>
  <c r="A732" i="1"/>
  <c r="G731" i="1"/>
  <c r="A731" i="1"/>
  <c r="G730" i="1"/>
  <c r="A730" i="1"/>
  <c r="G729" i="1"/>
  <c r="A729" i="1"/>
  <c r="A728" i="1"/>
  <c r="G727" i="1"/>
  <c r="A727" i="1"/>
  <c r="G726" i="1"/>
  <c r="A726" i="1"/>
  <c r="G725" i="1"/>
  <c r="A725" i="1"/>
  <c r="G724" i="1"/>
  <c r="A724" i="1"/>
  <c r="A723" i="1"/>
  <c r="A722" i="1"/>
  <c r="A721" i="1"/>
  <c r="G720" i="1"/>
  <c r="A720" i="1"/>
  <c r="G719" i="1"/>
  <c r="A719" i="1"/>
  <c r="G718" i="1"/>
  <c r="A718" i="1"/>
  <c r="G717" i="1"/>
  <c r="A717" i="1"/>
  <c r="G716" i="1"/>
  <c r="A716" i="1"/>
  <c r="G715" i="1"/>
  <c r="A715" i="1"/>
  <c r="G714" i="1"/>
  <c r="A714" i="1"/>
  <c r="G713" i="1"/>
  <c r="A713" i="1"/>
  <c r="G712" i="1"/>
  <c r="A712" i="1"/>
  <c r="G711" i="1"/>
  <c r="A711" i="1"/>
  <c r="G710" i="1"/>
  <c r="A710" i="1"/>
  <c r="G709" i="1"/>
  <c r="G708" i="1"/>
  <c r="G707" i="1"/>
  <c r="G706" i="1"/>
  <c r="G705" i="1"/>
  <c r="G704" i="1"/>
  <c r="G703" i="1"/>
  <c r="G702" i="1"/>
  <c r="A702" i="1"/>
  <c r="G701" i="1"/>
  <c r="A701" i="1"/>
  <c r="G700" i="1"/>
  <c r="A700" i="1"/>
  <c r="G699" i="1"/>
  <c r="A699" i="1"/>
  <c r="G698" i="1"/>
  <c r="A698" i="1"/>
  <c r="G697" i="1"/>
  <c r="A697" i="1"/>
  <c r="G696" i="1"/>
  <c r="A696" i="1"/>
  <c r="G695" i="1"/>
  <c r="A695" i="1"/>
  <c r="G694" i="1"/>
  <c r="A694" i="1"/>
  <c r="G693" i="1"/>
  <c r="A693" i="1"/>
  <c r="G692" i="1"/>
  <c r="A692" i="1"/>
  <c r="G691" i="1"/>
  <c r="A691" i="1"/>
  <c r="G690" i="1"/>
  <c r="A690" i="1"/>
  <c r="G689" i="1"/>
  <c r="A689" i="1"/>
  <c r="G688" i="1"/>
  <c r="A688" i="1"/>
  <c r="G687" i="1"/>
  <c r="G686" i="1"/>
  <c r="G685" i="1"/>
  <c r="G684" i="1"/>
  <c r="G683" i="1"/>
  <c r="G682" i="1"/>
  <c r="G681" i="1"/>
  <c r="G680" i="1"/>
  <c r="G679" i="1"/>
  <c r="A679" i="1"/>
  <c r="G678" i="1"/>
  <c r="A678" i="1"/>
  <c r="G677" i="1"/>
  <c r="A677" i="1"/>
  <c r="G676" i="1"/>
  <c r="A676" i="1"/>
  <c r="G675" i="1"/>
  <c r="A675" i="1"/>
  <c r="A674" i="1"/>
  <c r="G673" i="1"/>
  <c r="A673" i="1"/>
  <c r="G672" i="1"/>
  <c r="A672" i="1"/>
  <c r="G671" i="1"/>
  <c r="A671" i="1"/>
  <c r="G670" i="1"/>
  <c r="A670" i="1"/>
  <c r="G669" i="1"/>
  <c r="A669" i="1"/>
  <c r="G668" i="1"/>
  <c r="A668" i="1"/>
  <c r="G667" i="1"/>
  <c r="A667" i="1"/>
  <c r="A666" i="1"/>
  <c r="G665" i="1"/>
  <c r="A665" i="1"/>
  <c r="G664" i="1"/>
  <c r="A664" i="1"/>
  <c r="G663" i="1"/>
  <c r="A663" i="1"/>
  <c r="G662" i="1"/>
  <c r="A662" i="1"/>
  <c r="G661" i="1"/>
  <c r="A661" i="1"/>
  <c r="G660" i="1"/>
  <c r="A660" i="1"/>
  <c r="G659" i="1"/>
  <c r="A659" i="1"/>
  <c r="G658" i="1"/>
  <c r="A658" i="1"/>
  <c r="G657" i="1"/>
  <c r="A657" i="1"/>
  <c r="G656" i="1"/>
  <c r="A656" i="1"/>
  <c r="G655" i="1"/>
  <c r="A655" i="1"/>
  <c r="A654" i="1"/>
  <c r="G653" i="1"/>
  <c r="A653" i="1"/>
  <c r="G652" i="1"/>
  <c r="A652" i="1"/>
  <c r="G651" i="1"/>
  <c r="A651" i="1"/>
  <c r="G650" i="1"/>
  <c r="A650" i="1"/>
  <c r="G649" i="1"/>
  <c r="A649" i="1"/>
  <c r="G648" i="1"/>
  <c r="A648" i="1"/>
  <c r="G647" i="1"/>
  <c r="A647" i="1"/>
  <c r="G646" i="1"/>
  <c r="A646" i="1"/>
  <c r="G645" i="1"/>
  <c r="A645" i="1"/>
  <c r="G644" i="1"/>
  <c r="A644" i="1"/>
  <c r="G643" i="1"/>
  <c r="A643" i="1"/>
  <c r="G642" i="1"/>
  <c r="A642" i="1"/>
  <c r="G641" i="1"/>
  <c r="A639" i="1"/>
  <c r="G638" i="1"/>
  <c r="A638" i="1"/>
  <c r="G637" i="1"/>
  <c r="A637" i="1"/>
  <c r="G636" i="1"/>
  <c r="A636" i="1"/>
  <c r="G635" i="1"/>
  <c r="G634" i="1"/>
  <c r="G633" i="1"/>
  <c r="G632" i="1"/>
  <c r="G631" i="1"/>
  <c r="G630" i="1"/>
  <c r="G629" i="1"/>
  <c r="G628" i="1"/>
  <c r="G627" i="1"/>
  <c r="G626" i="1"/>
  <c r="G625" i="1"/>
  <c r="A625" i="1"/>
  <c r="G624" i="1"/>
  <c r="A624" i="1"/>
  <c r="G623" i="1"/>
  <c r="A623" i="1"/>
  <c r="G622" i="1"/>
  <c r="A622" i="1"/>
  <c r="G621" i="1"/>
  <c r="A621" i="1"/>
  <c r="G620" i="1"/>
  <c r="A620" i="1"/>
  <c r="G619" i="1"/>
  <c r="A619" i="1"/>
  <c r="G618" i="1"/>
  <c r="A618" i="1"/>
  <c r="G617" i="1"/>
  <c r="A617" i="1"/>
  <c r="G616" i="1"/>
  <c r="A616" i="1"/>
  <c r="G615" i="1"/>
  <c r="A615" i="1"/>
  <c r="G614" i="1"/>
  <c r="A614" i="1"/>
  <c r="G613" i="1"/>
  <c r="A613" i="1"/>
  <c r="G612" i="1"/>
  <c r="A612" i="1"/>
  <c r="G611" i="1"/>
  <c r="A611" i="1"/>
  <c r="G610" i="1"/>
  <c r="A610" i="1"/>
  <c r="G609" i="1"/>
  <c r="A609" i="1"/>
  <c r="G608" i="1"/>
  <c r="A608" i="1"/>
  <c r="G607" i="1"/>
  <c r="A607" i="1"/>
  <c r="G606" i="1"/>
  <c r="A606" i="1"/>
  <c r="G605" i="1"/>
  <c r="A605" i="1"/>
  <c r="G604" i="1"/>
  <c r="A604" i="1"/>
  <c r="G603" i="1"/>
  <c r="A603" i="1"/>
  <c r="G602" i="1"/>
  <c r="A602" i="1"/>
  <c r="G601" i="1"/>
  <c r="A601" i="1"/>
  <c r="G600" i="1"/>
  <c r="A600" i="1"/>
  <c r="G599" i="1"/>
  <c r="A599" i="1"/>
  <c r="G598" i="1"/>
  <c r="A598" i="1"/>
  <c r="G597" i="1"/>
  <c r="A597" i="1"/>
  <c r="G596" i="1"/>
  <c r="A596" i="1"/>
  <c r="G595" i="1"/>
  <c r="A595" i="1"/>
  <c r="G594" i="1"/>
  <c r="A594" i="1"/>
  <c r="G593" i="1"/>
  <c r="A593" i="1"/>
  <c r="G592" i="1"/>
  <c r="A592" i="1"/>
  <c r="G591" i="1"/>
  <c r="G590" i="1"/>
  <c r="G589" i="1"/>
  <c r="G588" i="1"/>
  <c r="G587" i="1"/>
  <c r="G586" i="1"/>
  <c r="G585" i="1"/>
  <c r="G584" i="1"/>
  <c r="G583" i="1"/>
  <c r="A583" i="1"/>
  <c r="G582" i="1"/>
  <c r="A582" i="1"/>
  <c r="G581" i="1"/>
  <c r="A581" i="1"/>
  <c r="G580" i="1"/>
  <c r="A580" i="1"/>
  <c r="G579" i="1"/>
  <c r="A579" i="1"/>
  <c r="G578" i="1"/>
  <c r="A578" i="1"/>
  <c r="G577" i="1"/>
  <c r="A577" i="1"/>
  <c r="G576" i="1"/>
  <c r="A576" i="1"/>
  <c r="G575" i="1"/>
  <c r="A575" i="1"/>
  <c r="G574" i="1"/>
  <c r="A574" i="1"/>
  <c r="G573" i="1"/>
  <c r="A573" i="1"/>
  <c r="G572" i="1"/>
  <c r="A572" i="1"/>
  <c r="G571" i="1"/>
  <c r="A571" i="1"/>
  <c r="G570" i="1"/>
  <c r="A570" i="1"/>
  <c r="G569" i="1"/>
  <c r="A569" i="1"/>
  <c r="G568" i="1"/>
  <c r="A568" i="1"/>
  <c r="G567" i="1"/>
  <c r="A567" i="1"/>
  <c r="G566" i="1"/>
  <c r="A566" i="1"/>
  <c r="G565" i="1"/>
  <c r="A565" i="1"/>
  <c r="G564" i="1"/>
  <c r="A564" i="1"/>
  <c r="G563" i="1"/>
  <c r="A563" i="1"/>
  <c r="G562" i="1"/>
  <c r="A562" i="1"/>
  <c r="G561" i="1"/>
  <c r="A561" i="1"/>
  <c r="G560" i="1"/>
  <c r="A560" i="1"/>
  <c r="G559" i="1"/>
  <c r="A559" i="1"/>
  <c r="G558" i="1"/>
  <c r="A558" i="1"/>
  <c r="G557" i="1"/>
  <c r="A557" i="1"/>
  <c r="G556" i="1"/>
  <c r="A556" i="1"/>
  <c r="G555" i="1"/>
  <c r="A555" i="1"/>
  <c r="G554" i="1"/>
  <c r="A554" i="1"/>
  <c r="G553" i="1"/>
  <c r="A553" i="1"/>
  <c r="G552" i="1"/>
  <c r="A552" i="1"/>
  <c r="G551" i="1"/>
  <c r="A551" i="1"/>
  <c r="G550" i="1"/>
  <c r="A550" i="1"/>
  <c r="G549" i="1"/>
  <c r="A549" i="1"/>
  <c r="G548" i="1"/>
  <c r="A548" i="1"/>
  <c r="G547" i="1"/>
  <c r="A547" i="1"/>
  <c r="G546" i="1"/>
  <c r="A546" i="1"/>
  <c r="G545" i="1"/>
  <c r="A545" i="1"/>
  <c r="G544" i="1"/>
  <c r="A544" i="1"/>
  <c r="G543" i="1"/>
  <c r="A543" i="1"/>
  <c r="G542" i="1"/>
  <c r="A542" i="1"/>
  <c r="G541" i="1"/>
  <c r="A541" i="1"/>
  <c r="G540" i="1"/>
  <c r="A540" i="1"/>
  <c r="G539" i="1"/>
  <c r="A539" i="1"/>
  <c r="G538" i="1"/>
  <c r="A538" i="1"/>
  <c r="G537" i="1"/>
  <c r="A537" i="1"/>
  <c r="G536" i="1"/>
  <c r="A536" i="1"/>
  <c r="G535" i="1"/>
  <c r="A535" i="1"/>
  <c r="G534" i="1"/>
  <c r="A534" i="1"/>
  <c r="G533" i="1"/>
  <c r="A533" i="1"/>
  <c r="G532" i="1"/>
  <c r="A532" i="1"/>
  <c r="G531" i="1"/>
  <c r="A531" i="1"/>
  <c r="A530" i="1"/>
  <c r="G529" i="1"/>
  <c r="A529" i="1"/>
  <c r="G528" i="1"/>
  <c r="A528" i="1"/>
  <c r="G527" i="1"/>
  <c r="A527" i="1"/>
  <c r="G526" i="1"/>
  <c r="A526" i="1"/>
  <c r="G525" i="1"/>
  <c r="A525" i="1"/>
  <c r="G524" i="1"/>
  <c r="A524" i="1"/>
  <c r="G523" i="1"/>
  <c r="A523" i="1"/>
  <c r="G522" i="1"/>
  <c r="A522" i="1"/>
  <c r="G521" i="1"/>
  <c r="A521" i="1"/>
  <c r="G520" i="1"/>
  <c r="A520" i="1"/>
  <c r="G519" i="1"/>
  <c r="A519" i="1"/>
  <c r="G518" i="1"/>
  <c r="A518" i="1"/>
  <c r="G517" i="1"/>
  <c r="A517" i="1"/>
  <c r="G516" i="1"/>
  <c r="A516" i="1"/>
  <c r="G515" i="1"/>
  <c r="A515" i="1"/>
  <c r="A514" i="1"/>
  <c r="G513" i="1"/>
  <c r="A513" i="1"/>
  <c r="G512" i="1"/>
  <c r="A512" i="1"/>
  <c r="G511" i="1"/>
  <c r="A511" i="1"/>
  <c r="G510" i="1"/>
  <c r="A510" i="1"/>
  <c r="G509" i="1"/>
  <c r="A509" i="1"/>
  <c r="G508" i="1"/>
  <c r="A508" i="1"/>
  <c r="G507" i="1"/>
  <c r="A507" i="1"/>
  <c r="G506" i="1"/>
  <c r="A506" i="1"/>
  <c r="G505" i="1"/>
  <c r="A505" i="1"/>
  <c r="G504" i="1"/>
  <c r="A504" i="1"/>
  <c r="G503" i="1"/>
  <c r="A503" i="1"/>
  <c r="G502" i="1"/>
  <c r="A502" i="1"/>
  <c r="G501" i="1"/>
  <c r="A501" i="1"/>
  <c r="G500" i="1"/>
  <c r="A500" i="1"/>
  <c r="G499" i="1"/>
  <c r="A499" i="1"/>
  <c r="G498" i="1"/>
  <c r="A498" i="1"/>
  <c r="G497" i="1"/>
  <c r="A497" i="1"/>
  <c r="G496" i="1"/>
  <c r="A496" i="1"/>
  <c r="G495" i="1"/>
  <c r="A495" i="1"/>
  <c r="G494" i="1"/>
  <c r="A494" i="1"/>
  <c r="G493" i="1"/>
  <c r="A493" i="1"/>
  <c r="G492" i="1"/>
  <c r="A492" i="1"/>
  <c r="G491" i="1"/>
  <c r="A491" i="1"/>
  <c r="G490" i="1"/>
  <c r="A490" i="1"/>
  <c r="G489" i="1"/>
  <c r="A489" i="1"/>
  <c r="G488" i="1"/>
  <c r="A488" i="1"/>
  <c r="G487" i="1"/>
  <c r="A487" i="1"/>
  <c r="G486" i="1"/>
  <c r="A486" i="1"/>
  <c r="G485" i="1"/>
  <c r="A485" i="1"/>
  <c r="G484" i="1"/>
  <c r="A484" i="1"/>
  <c r="G483" i="1"/>
  <c r="A483" i="1"/>
  <c r="G482" i="1"/>
  <c r="A482" i="1"/>
  <c r="G481" i="1"/>
  <c r="A481" i="1"/>
  <c r="G480" i="1"/>
  <c r="A480" i="1"/>
  <c r="G479" i="1"/>
  <c r="G478" i="1"/>
  <c r="G477" i="1"/>
  <c r="G476" i="1"/>
  <c r="G475" i="1"/>
  <c r="G474" i="1"/>
  <c r="G473" i="1"/>
  <c r="A473" i="1"/>
  <c r="G472" i="1"/>
  <c r="A472" i="1"/>
  <c r="G471" i="1"/>
  <c r="A471" i="1"/>
  <c r="G470" i="1"/>
  <c r="A470" i="1"/>
  <c r="G469" i="1"/>
  <c r="A469" i="1"/>
  <c r="G468" i="1"/>
  <c r="A468" i="1"/>
  <c r="G467" i="1"/>
  <c r="A467" i="1"/>
  <c r="G466" i="1"/>
  <c r="A466" i="1"/>
  <c r="G465" i="1"/>
  <c r="A465" i="1"/>
  <c r="G464" i="1"/>
  <c r="A464" i="1"/>
  <c r="G463" i="1"/>
  <c r="A463" i="1"/>
  <c r="G462" i="1"/>
  <c r="A462" i="1"/>
  <c r="G461" i="1"/>
  <c r="A461" i="1"/>
  <c r="G460" i="1"/>
  <c r="A460" i="1"/>
  <c r="G459" i="1"/>
  <c r="A459" i="1"/>
  <c r="G458" i="1"/>
  <c r="A458" i="1"/>
  <c r="G457" i="1"/>
  <c r="A457" i="1"/>
  <c r="G456" i="1"/>
  <c r="A456" i="1"/>
  <c r="G455" i="1"/>
  <c r="A455" i="1"/>
  <c r="G454" i="1"/>
  <c r="A454" i="1"/>
  <c r="G453" i="1"/>
  <c r="A453" i="1"/>
  <c r="G452" i="1"/>
  <c r="A452" i="1"/>
  <c r="G451" i="1"/>
  <c r="A451" i="1"/>
  <c r="G450" i="1"/>
  <c r="A450" i="1"/>
  <c r="G449" i="1"/>
  <c r="A449" i="1"/>
  <c r="G448" i="1"/>
  <c r="A448" i="1"/>
  <c r="G447" i="1"/>
  <c r="A447" i="1"/>
  <c r="G446" i="1"/>
  <c r="A446" i="1"/>
  <c r="G445" i="1"/>
  <c r="A445" i="1"/>
  <c r="G444" i="1"/>
  <c r="A444" i="1"/>
  <c r="G443" i="1"/>
  <c r="A443" i="1"/>
  <c r="G442" i="1"/>
  <c r="A442" i="1"/>
  <c r="G441" i="1"/>
  <c r="A441" i="1"/>
  <c r="G440" i="1"/>
  <c r="A440" i="1"/>
  <c r="G439" i="1"/>
  <c r="A439" i="1"/>
  <c r="G438" i="1"/>
  <c r="A438" i="1"/>
  <c r="G437" i="1"/>
  <c r="A437" i="1"/>
  <c r="G436" i="1"/>
  <c r="A436" i="1"/>
  <c r="G435" i="1"/>
  <c r="A435" i="1"/>
  <c r="G434" i="1"/>
  <c r="A434" i="1"/>
  <c r="G433" i="1"/>
  <c r="A433" i="1"/>
  <c r="G432" i="1"/>
  <c r="A432" i="1"/>
  <c r="G431" i="1"/>
  <c r="A431" i="1"/>
  <c r="G430" i="1"/>
  <c r="A430" i="1"/>
  <c r="G429" i="1"/>
  <c r="A429" i="1"/>
  <c r="G428" i="1"/>
  <c r="A428" i="1"/>
  <c r="G427" i="1"/>
  <c r="A427" i="1"/>
  <c r="G426" i="1"/>
  <c r="A426" i="1"/>
  <c r="G425" i="1"/>
  <c r="A425" i="1"/>
  <c r="G424" i="1"/>
  <c r="A424" i="1"/>
  <c r="G423" i="1"/>
  <c r="A423" i="1"/>
  <c r="G422" i="1"/>
  <c r="A422" i="1"/>
  <c r="G421" i="1"/>
  <c r="A421" i="1"/>
  <c r="G420" i="1"/>
  <c r="A420" i="1"/>
  <c r="G419" i="1"/>
  <c r="A419" i="1"/>
  <c r="G418" i="1"/>
  <c r="A418" i="1"/>
  <c r="G417" i="1"/>
  <c r="A417" i="1"/>
  <c r="G416" i="1"/>
  <c r="A416" i="1"/>
  <c r="G415" i="1"/>
  <c r="A415" i="1"/>
  <c r="G414" i="1"/>
  <c r="A414" i="1"/>
  <c r="G413" i="1"/>
  <c r="A413" i="1"/>
  <c r="G412" i="1"/>
  <c r="A412" i="1"/>
  <c r="G411" i="1"/>
  <c r="A411" i="1"/>
  <c r="G410" i="1"/>
  <c r="A410" i="1"/>
  <c r="G409" i="1"/>
  <c r="A409" i="1"/>
  <c r="G408" i="1"/>
  <c r="A408" i="1"/>
  <c r="G407" i="1"/>
  <c r="A407" i="1"/>
  <c r="G406" i="1"/>
  <c r="A406" i="1"/>
  <c r="G405" i="1"/>
  <c r="A405" i="1"/>
  <c r="G404" i="1"/>
  <c r="A404" i="1"/>
  <c r="G403" i="1"/>
  <c r="A403" i="1"/>
  <c r="G402" i="1"/>
  <c r="A402" i="1"/>
  <c r="G401" i="1"/>
  <c r="A401" i="1"/>
  <c r="G400" i="1"/>
  <c r="A400" i="1"/>
  <c r="G399" i="1"/>
  <c r="A399" i="1"/>
  <c r="G398" i="1"/>
  <c r="A398" i="1"/>
  <c r="G397" i="1"/>
  <c r="A397" i="1"/>
  <c r="G396" i="1"/>
  <c r="A396" i="1"/>
  <c r="G395" i="1"/>
  <c r="A395" i="1"/>
  <c r="G394" i="1"/>
  <c r="A394" i="1"/>
  <c r="G393" i="1"/>
  <c r="A393" i="1"/>
  <c r="G392" i="1"/>
  <c r="A392" i="1"/>
  <c r="G391" i="1"/>
  <c r="A391" i="1"/>
  <c r="G390" i="1"/>
  <c r="A390" i="1"/>
  <c r="G389" i="1"/>
  <c r="A389" i="1"/>
  <c r="G388" i="1"/>
  <c r="A388" i="1"/>
  <c r="G387" i="1"/>
  <c r="A387" i="1"/>
  <c r="G386" i="1"/>
  <c r="A386" i="1"/>
  <c r="G385" i="1"/>
  <c r="A385" i="1"/>
  <c r="G384" i="1"/>
  <c r="A384" i="1"/>
  <c r="G383" i="1"/>
  <c r="A383" i="1"/>
  <c r="G382" i="1"/>
  <c r="A382" i="1"/>
  <c r="G381" i="1"/>
  <c r="A381" i="1"/>
  <c r="G380" i="1"/>
  <c r="A380" i="1"/>
  <c r="G379" i="1"/>
  <c r="A379" i="1"/>
  <c r="G378" i="1"/>
  <c r="A378" i="1"/>
  <c r="G377" i="1"/>
  <c r="A377" i="1"/>
  <c r="A376" i="1"/>
  <c r="G375" i="1"/>
  <c r="A375" i="1"/>
  <c r="G374" i="1"/>
  <c r="A374" i="1"/>
  <c r="G373" i="1"/>
  <c r="A373" i="1"/>
  <c r="G372" i="1"/>
  <c r="A372" i="1"/>
  <c r="G371" i="1"/>
  <c r="A371" i="1"/>
  <c r="G370" i="1"/>
  <c r="A370" i="1"/>
  <c r="G369" i="1"/>
  <c r="A369" i="1"/>
  <c r="G368" i="1"/>
  <c r="A368" i="1"/>
  <c r="G367" i="1"/>
  <c r="A367" i="1"/>
  <c r="G366" i="1"/>
  <c r="A366" i="1"/>
  <c r="G365" i="1"/>
  <c r="A365" i="1"/>
  <c r="G364" i="1"/>
  <c r="A364" i="1"/>
  <c r="G363" i="1"/>
  <c r="A363" i="1"/>
  <c r="G362" i="1"/>
  <c r="A362" i="1"/>
  <c r="G361" i="1"/>
  <c r="A361" i="1"/>
  <c r="G360" i="1"/>
  <c r="A360" i="1"/>
  <c r="G359" i="1"/>
  <c r="A359" i="1"/>
  <c r="G358" i="1"/>
  <c r="A358" i="1"/>
  <c r="G357" i="1"/>
  <c r="A357" i="1"/>
  <c r="G356" i="1"/>
  <c r="A356" i="1"/>
  <c r="G355" i="1"/>
  <c r="A355" i="1"/>
  <c r="G354" i="1"/>
  <c r="A354" i="1"/>
  <c r="G353" i="1"/>
  <c r="A353" i="1"/>
  <c r="G352" i="1"/>
  <c r="A352" i="1"/>
  <c r="G351" i="1"/>
  <c r="A351" i="1"/>
  <c r="G350" i="1"/>
  <c r="A350" i="1"/>
  <c r="A349" i="1"/>
  <c r="G348" i="1"/>
  <c r="A348" i="1"/>
  <c r="G347" i="1"/>
  <c r="A347" i="1"/>
  <c r="G346" i="1"/>
  <c r="A346" i="1"/>
  <c r="G345" i="1"/>
  <c r="A345" i="1"/>
  <c r="G344" i="1"/>
  <c r="A344" i="1"/>
  <c r="G343" i="1"/>
  <c r="A343" i="1"/>
  <c r="G342" i="1"/>
  <c r="A342" i="1"/>
  <c r="G341" i="1"/>
  <c r="A341" i="1"/>
  <c r="G340" i="1"/>
  <c r="A340" i="1"/>
  <c r="G339" i="1"/>
  <c r="A339" i="1"/>
  <c r="G338" i="1"/>
  <c r="A338" i="1"/>
  <c r="G337" i="1"/>
  <c r="A337" i="1"/>
  <c r="G336" i="1"/>
  <c r="A336" i="1"/>
  <c r="G335" i="1"/>
  <c r="A335" i="1"/>
  <c r="G334" i="1"/>
  <c r="A334" i="1"/>
  <c r="G333" i="1"/>
  <c r="A333" i="1"/>
  <c r="G332" i="1"/>
  <c r="A332" i="1"/>
  <c r="G331" i="1"/>
  <c r="A331" i="1"/>
  <c r="G330" i="1"/>
  <c r="A330" i="1"/>
  <c r="G329" i="1"/>
  <c r="E329" i="1"/>
  <c r="A329" i="1"/>
  <c r="G328" i="1"/>
  <c r="E328" i="1"/>
  <c r="A328" i="1"/>
  <c r="G327" i="1"/>
  <c r="A327" i="1"/>
  <c r="G326" i="1"/>
  <c r="A326" i="1"/>
  <c r="G325" i="1"/>
  <c r="A325" i="1"/>
  <c r="G324" i="1"/>
  <c r="A324" i="1"/>
  <c r="G323" i="1"/>
  <c r="A323" i="1"/>
  <c r="G322" i="1"/>
  <c r="A322" i="1"/>
  <c r="G321" i="1"/>
  <c r="A321" i="1"/>
  <c r="G320" i="1"/>
  <c r="A320" i="1"/>
  <c r="G319" i="1"/>
  <c r="A319" i="1"/>
  <c r="G318" i="1"/>
  <c r="A318" i="1"/>
  <c r="G317" i="1"/>
  <c r="A317" i="1"/>
  <c r="G316" i="1"/>
  <c r="A316" i="1"/>
  <c r="G315" i="1"/>
  <c r="A315" i="1"/>
  <c r="G314" i="1"/>
  <c r="A314" i="1"/>
  <c r="G313" i="1"/>
  <c r="A313" i="1"/>
  <c r="G312" i="1"/>
  <c r="A312" i="1"/>
  <c r="G311" i="1"/>
  <c r="A311" i="1"/>
  <c r="G310" i="1"/>
  <c r="A310" i="1"/>
  <c r="G309" i="1"/>
  <c r="A309" i="1"/>
  <c r="G308" i="1"/>
  <c r="A308" i="1"/>
  <c r="G307" i="1"/>
  <c r="A307" i="1"/>
  <c r="G306" i="1"/>
  <c r="A306" i="1"/>
  <c r="G305" i="1"/>
  <c r="A305" i="1"/>
  <c r="G304" i="1"/>
  <c r="A304" i="1"/>
  <c r="G303" i="1"/>
  <c r="A303" i="1"/>
  <c r="A302" i="1"/>
  <c r="G301" i="1"/>
  <c r="A301" i="1"/>
  <c r="G300" i="1"/>
  <c r="A300" i="1"/>
  <c r="G299" i="1"/>
  <c r="A299" i="1"/>
  <c r="G298" i="1"/>
  <c r="A298" i="1"/>
  <c r="G297" i="1"/>
  <c r="A297" i="1"/>
  <c r="G296" i="1"/>
  <c r="A296" i="1"/>
  <c r="G295" i="1"/>
  <c r="A295" i="1"/>
  <c r="G294" i="1"/>
  <c r="A294" i="1"/>
  <c r="G293" i="1"/>
  <c r="A293" i="1"/>
  <c r="G292" i="1"/>
  <c r="A292" i="1"/>
  <c r="G291" i="1"/>
  <c r="A291" i="1"/>
  <c r="G290" i="1"/>
  <c r="A290" i="1"/>
  <c r="G289" i="1"/>
  <c r="A289" i="1"/>
  <c r="G287" i="1"/>
  <c r="A287" i="1"/>
  <c r="G286" i="1"/>
  <c r="A286" i="1"/>
  <c r="G285" i="1"/>
  <c r="A285" i="1"/>
  <c r="G284" i="1"/>
  <c r="A284" i="1"/>
  <c r="G283" i="1"/>
  <c r="A283" i="1"/>
  <c r="G282" i="1"/>
  <c r="A282" i="1"/>
  <c r="A281" i="1"/>
  <c r="G280" i="1"/>
  <c r="A280" i="1"/>
  <c r="G279" i="1"/>
  <c r="A279" i="1"/>
  <c r="G278" i="1"/>
  <c r="A278" i="1"/>
  <c r="G277" i="1"/>
  <c r="A277" i="1"/>
  <c r="G276" i="1"/>
  <c r="A276" i="1"/>
  <c r="G275" i="1"/>
  <c r="A275" i="1"/>
  <c r="G274" i="1"/>
  <c r="A274" i="1"/>
  <c r="G273" i="1"/>
  <c r="G272" i="1"/>
  <c r="G271" i="1"/>
  <c r="G270" i="1"/>
  <c r="G269" i="1"/>
  <c r="G268" i="1"/>
  <c r="G267" i="1"/>
  <c r="G266" i="1"/>
  <c r="G265" i="1"/>
  <c r="L264" i="1"/>
  <c r="G264" i="1"/>
  <c r="L263" i="1"/>
  <c r="G263" i="1"/>
  <c r="L262" i="1"/>
  <c r="G262" i="1"/>
  <c r="L261" i="1"/>
  <c r="G261" i="1"/>
  <c r="A261" i="1"/>
  <c r="A260" i="1"/>
  <c r="L259" i="1"/>
  <c r="G259" i="1"/>
  <c r="A259" i="1"/>
  <c r="L258" i="1"/>
  <c r="G258" i="1"/>
  <c r="A258" i="1"/>
  <c r="L257" i="1"/>
  <c r="G257" i="1"/>
  <c r="A257" i="1"/>
  <c r="L256" i="1"/>
  <c r="G256" i="1"/>
  <c r="A256" i="1"/>
  <c r="L255" i="1"/>
  <c r="G255" i="1"/>
  <c r="A255" i="1"/>
  <c r="L254" i="1"/>
  <c r="G254" i="1"/>
  <c r="A254" i="1"/>
  <c r="L253" i="1"/>
  <c r="G253" i="1"/>
  <c r="A253" i="1"/>
  <c r="L252" i="1"/>
  <c r="G252" i="1"/>
  <c r="A252" i="1"/>
  <c r="L251" i="1"/>
  <c r="G251" i="1"/>
  <c r="A251" i="1"/>
  <c r="L250" i="1"/>
  <c r="G250" i="1"/>
  <c r="A250" i="1"/>
  <c r="L249" i="1"/>
  <c r="G249" i="1"/>
  <c r="A249" i="1"/>
  <c r="L248" i="1"/>
  <c r="G248" i="1"/>
  <c r="A248" i="1"/>
  <c r="A247" i="1"/>
  <c r="L246" i="1"/>
  <c r="G246" i="1"/>
  <c r="A246" i="1"/>
  <c r="L245" i="1"/>
  <c r="G245" i="1"/>
  <c r="A245" i="1"/>
  <c r="L244" i="1"/>
  <c r="G244" i="1"/>
  <c r="A244" i="1"/>
  <c r="L243" i="1"/>
  <c r="G243" i="1"/>
  <c r="A243" i="1"/>
  <c r="L242" i="1"/>
  <c r="G242" i="1"/>
  <c r="A242" i="1"/>
  <c r="L241" i="1"/>
  <c r="G241" i="1"/>
  <c r="A241" i="1"/>
  <c r="L240" i="1"/>
  <c r="G240" i="1"/>
  <c r="A240" i="1"/>
  <c r="L239" i="1"/>
  <c r="G239" i="1"/>
  <c r="A239" i="1"/>
  <c r="L238" i="1"/>
  <c r="G238" i="1"/>
  <c r="A238" i="1"/>
  <c r="L237" i="1"/>
  <c r="G237" i="1"/>
  <c r="A237" i="1"/>
  <c r="L236" i="1"/>
  <c r="G236" i="1"/>
  <c r="A236" i="1"/>
  <c r="L235" i="1"/>
  <c r="G235" i="1"/>
  <c r="A235" i="1"/>
  <c r="L234" i="1"/>
  <c r="G234" i="1"/>
  <c r="A234" i="1"/>
  <c r="L233" i="1"/>
  <c r="G233" i="1"/>
  <c r="A233" i="1"/>
  <c r="L232" i="1"/>
  <c r="G232" i="1"/>
  <c r="A232" i="1"/>
  <c r="L231" i="1"/>
  <c r="G231" i="1"/>
  <c r="A231" i="1"/>
  <c r="L230" i="1"/>
  <c r="G230" i="1"/>
  <c r="A230" i="1"/>
  <c r="L229" i="1"/>
  <c r="G229" i="1"/>
  <c r="A229" i="1"/>
  <c r="L228" i="1"/>
  <c r="G228" i="1"/>
  <c r="A228" i="1"/>
  <c r="L227" i="1"/>
  <c r="G227" i="1"/>
  <c r="A227" i="1"/>
  <c r="L226" i="1"/>
  <c r="G226" i="1"/>
  <c r="A226" i="1"/>
  <c r="L225" i="1"/>
  <c r="G225" i="1"/>
  <c r="A225" i="1"/>
  <c r="L224" i="1"/>
  <c r="G224" i="1"/>
  <c r="A224" i="1"/>
  <c r="L223" i="1"/>
  <c r="G223" i="1"/>
  <c r="L222" i="1"/>
  <c r="G222" i="1"/>
  <c r="L221" i="1"/>
  <c r="G221" i="1"/>
  <c r="L220" i="1"/>
  <c r="G220" i="1"/>
  <c r="L219" i="1"/>
  <c r="G219" i="1"/>
  <c r="L218" i="1"/>
  <c r="G218" i="1"/>
  <c r="L217" i="1"/>
  <c r="G217" i="1"/>
  <c r="L216" i="1"/>
  <c r="G216" i="1"/>
  <c r="L215" i="1"/>
  <c r="G215" i="1"/>
  <c r="L214" i="1"/>
  <c r="G214" i="1"/>
  <c r="L213" i="1"/>
  <c r="G213" i="1"/>
  <c r="L212" i="1"/>
  <c r="G212" i="1"/>
  <c r="L211" i="1"/>
  <c r="G211" i="1"/>
  <c r="L210" i="1"/>
  <c r="G210" i="1"/>
  <c r="L209" i="1"/>
  <c r="G209" i="1"/>
  <c r="A209" i="1"/>
  <c r="L208" i="1"/>
  <c r="G208" i="1"/>
  <c r="A208" i="1"/>
  <c r="L207" i="1"/>
  <c r="G207" i="1"/>
  <c r="A207" i="1"/>
  <c r="L206" i="1"/>
  <c r="G206" i="1"/>
  <c r="A206" i="1"/>
  <c r="L205" i="1"/>
  <c r="G205" i="1"/>
  <c r="A205" i="1"/>
  <c r="L204" i="1"/>
  <c r="G204" i="1"/>
  <c r="A204" i="1"/>
  <c r="L203" i="1"/>
  <c r="G203" i="1"/>
  <c r="A203" i="1"/>
  <c r="L202" i="1"/>
  <c r="G202" i="1"/>
  <c r="A202" i="1"/>
  <c r="L201" i="1"/>
  <c r="G201" i="1"/>
  <c r="A201" i="1"/>
  <c r="L200" i="1"/>
  <c r="G200" i="1"/>
  <c r="A200" i="1"/>
  <c r="L199" i="1"/>
  <c r="G199" i="1"/>
  <c r="A199" i="1"/>
  <c r="L198" i="1"/>
  <c r="G198" i="1"/>
  <c r="A198" i="1"/>
  <c r="L197" i="1"/>
  <c r="G197" i="1"/>
  <c r="A197" i="1"/>
  <c r="L196" i="1"/>
  <c r="G196" i="1"/>
  <c r="A196" i="1"/>
  <c r="L195" i="1"/>
  <c r="G195" i="1"/>
  <c r="A195" i="1"/>
  <c r="L194" i="1"/>
  <c r="G194" i="1"/>
  <c r="A194" i="1"/>
  <c r="L193" i="1"/>
  <c r="G193" i="1"/>
  <c r="A193" i="1"/>
  <c r="L192" i="1"/>
  <c r="G192" i="1"/>
  <c r="L191" i="1"/>
  <c r="G191" i="1"/>
  <c r="A191" i="1"/>
  <c r="L190" i="1"/>
  <c r="G190" i="1"/>
  <c r="A190" i="1"/>
  <c r="L189" i="1"/>
  <c r="G189" i="1"/>
  <c r="A189" i="1"/>
  <c r="L188" i="1"/>
  <c r="G188" i="1"/>
  <c r="A188" i="1"/>
  <c r="L187" i="1"/>
  <c r="G187" i="1"/>
  <c r="A187" i="1"/>
  <c r="L186" i="1"/>
  <c r="G186" i="1"/>
  <c r="A186" i="1"/>
  <c r="L185" i="1"/>
  <c r="G185" i="1"/>
  <c r="A185" i="1"/>
  <c r="L184" i="1"/>
  <c r="G184" i="1"/>
  <c r="A184" i="1"/>
  <c r="L183" i="1"/>
  <c r="G183" i="1"/>
  <c r="A183" i="1"/>
  <c r="L182" i="1"/>
  <c r="G182" i="1"/>
  <c r="A182" i="1"/>
  <c r="L181" i="1"/>
  <c r="G181" i="1"/>
  <c r="A181" i="1"/>
  <c r="L180" i="1"/>
  <c r="G180" i="1"/>
  <c r="A180" i="1"/>
  <c r="L179" i="1"/>
  <c r="G179" i="1"/>
  <c r="A179" i="1"/>
  <c r="L178" i="1"/>
  <c r="G178" i="1"/>
  <c r="L177" i="1"/>
  <c r="G177" i="1"/>
  <c r="L176" i="1"/>
  <c r="G176" i="1"/>
  <c r="L175" i="1"/>
  <c r="G175" i="1"/>
  <c r="L174" i="1"/>
  <c r="G174" i="1"/>
  <c r="L173" i="1"/>
  <c r="G173" i="1"/>
  <c r="L172" i="1"/>
  <c r="G172" i="1"/>
  <c r="L171" i="1"/>
  <c r="G171" i="1"/>
  <c r="L170" i="1"/>
  <c r="G170" i="1"/>
  <c r="L169" i="1"/>
  <c r="G169" i="1"/>
  <c r="L168" i="1"/>
  <c r="G168" i="1"/>
  <c r="L167" i="1"/>
  <c r="G167" i="1"/>
  <c r="L166" i="1"/>
  <c r="G166" i="1"/>
  <c r="L165" i="1"/>
  <c r="G165" i="1"/>
  <c r="A165" i="1"/>
  <c r="L164" i="1"/>
  <c r="G164" i="1"/>
  <c r="A164" i="1"/>
  <c r="L163" i="1"/>
  <c r="G163" i="1"/>
  <c r="A163" i="1"/>
  <c r="L162" i="1"/>
  <c r="G162" i="1"/>
  <c r="A162" i="1"/>
  <c r="L161" i="1"/>
  <c r="G161" i="1"/>
  <c r="A161" i="1"/>
  <c r="L160" i="1"/>
  <c r="G160" i="1"/>
  <c r="A160" i="1"/>
  <c r="L159" i="1"/>
  <c r="G159" i="1"/>
  <c r="A159" i="1"/>
  <c r="L158" i="1"/>
  <c r="G158" i="1"/>
  <c r="A158" i="1"/>
  <c r="L157" i="1"/>
  <c r="G157" i="1"/>
  <c r="A157" i="1"/>
  <c r="L156" i="1"/>
  <c r="G156" i="1"/>
  <c r="A156" i="1"/>
  <c r="L155" i="1"/>
  <c r="G155" i="1"/>
  <c r="A155" i="1"/>
  <c r="L154" i="1"/>
  <c r="G154" i="1"/>
  <c r="A154" i="1"/>
  <c r="L153" i="1"/>
  <c r="G153" i="1"/>
  <c r="A153" i="1"/>
  <c r="L152" i="1"/>
  <c r="G152" i="1"/>
  <c r="A152" i="1"/>
  <c r="L151" i="1"/>
  <c r="G151" i="1"/>
  <c r="A151" i="1"/>
  <c r="L150" i="1"/>
  <c r="G150" i="1"/>
  <c r="A150" i="1"/>
  <c r="L149" i="1"/>
  <c r="G149" i="1"/>
  <c r="A149" i="1"/>
  <c r="L148" i="1"/>
  <c r="G148" i="1"/>
  <c r="A148" i="1"/>
  <c r="L147" i="1"/>
  <c r="G147" i="1"/>
  <c r="A147" i="1"/>
  <c r="L146" i="1"/>
  <c r="G146" i="1"/>
  <c r="A146" i="1"/>
  <c r="L145" i="1"/>
  <c r="G145" i="1"/>
  <c r="A145" i="1"/>
  <c r="L144" i="1"/>
  <c r="G144" i="1"/>
  <c r="A144" i="1"/>
  <c r="L143" i="1"/>
  <c r="G143" i="1"/>
  <c r="A143" i="1"/>
  <c r="L142" i="1"/>
  <c r="G142" i="1"/>
  <c r="A142" i="1"/>
  <c r="L141" i="1"/>
  <c r="G141" i="1"/>
  <c r="A141" i="1"/>
  <c r="L140" i="1"/>
  <c r="G140" i="1"/>
  <c r="A140" i="1"/>
  <c r="L139" i="1"/>
  <c r="G139" i="1"/>
  <c r="A139" i="1"/>
  <c r="L138" i="1"/>
  <c r="G138" i="1"/>
  <c r="A138" i="1"/>
  <c r="L137" i="1"/>
  <c r="G137" i="1"/>
  <c r="A137" i="1"/>
  <c r="L136" i="1"/>
  <c r="G136" i="1"/>
  <c r="A136" i="1"/>
  <c r="L135" i="1"/>
  <c r="G135" i="1"/>
  <c r="A135" i="1"/>
  <c r="L134" i="1"/>
  <c r="G134" i="1"/>
  <c r="A134" i="1"/>
  <c r="L133" i="1"/>
  <c r="G133" i="1"/>
  <c r="A133" i="1"/>
  <c r="L132" i="1"/>
  <c r="G132" i="1"/>
  <c r="A132" i="1"/>
  <c r="L131" i="1"/>
  <c r="G131" i="1"/>
  <c r="A131" i="1"/>
  <c r="L130" i="1"/>
  <c r="G130" i="1"/>
  <c r="A130" i="1"/>
  <c r="L129" i="1"/>
  <c r="G129" i="1"/>
  <c r="A129" i="1"/>
  <c r="L128" i="1"/>
  <c r="G128" i="1"/>
  <c r="A128" i="1"/>
  <c r="L127" i="1"/>
  <c r="G127" i="1"/>
  <c r="A127" i="1"/>
  <c r="L126" i="1"/>
  <c r="G126" i="1"/>
  <c r="A126" i="1"/>
  <c r="L125" i="1"/>
  <c r="G125" i="1"/>
  <c r="A125" i="1"/>
  <c r="L124" i="1"/>
  <c r="G124" i="1"/>
  <c r="A124" i="1"/>
  <c r="L123" i="1"/>
  <c r="G123" i="1"/>
  <c r="A123" i="1"/>
  <c r="L122" i="1"/>
  <c r="G122" i="1"/>
  <c r="A122" i="1"/>
  <c r="L121" i="1"/>
  <c r="G121" i="1"/>
  <c r="A121" i="1"/>
  <c r="L120" i="1"/>
  <c r="G120" i="1"/>
  <c r="A120" i="1"/>
  <c r="L119" i="1"/>
  <c r="G119" i="1"/>
  <c r="A119" i="1"/>
  <c r="L118" i="1"/>
  <c r="G118" i="1"/>
  <c r="A118" i="1"/>
  <c r="L117" i="1"/>
  <c r="G117" i="1"/>
  <c r="A117" i="1"/>
  <c r="L116" i="1"/>
  <c r="G116" i="1"/>
  <c r="L115" i="1"/>
  <c r="G115" i="1"/>
  <c r="L114" i="1"/>
  <c r="G114" i="1"/>
  <c r="L113" i="1"/>
  <c r="G113" i="1"/>
  <c r="L112" i="1"/>
  <c r="G112" i="1"/>
  <c r="L111" i="1"/>
  <c r="G111" i="1"/>
  <c r="L110" i="1"/>
  <c r="G110" i="1"/>
  <c r="L109" i="1"/>
  <c r="G109" i="1"/>
  <c r="L108" i="1"/>
  <c r="G108" i="1"/>
  <c r="L107" i="1"/>
  <c r="G107" i="1"/>
  <c r="L106" i="1"/>
  <c r="G106" i="1"/>
  <c r="A106" i="1"/>
  <c r="L105" i="1"/>
  <c r="G105" i="1"/>
  <c r="A105" i="1"/>
  <c r="L104" i="1"/>
  <c r="G104" i="1"/>
  <c r="A104" i="1"/>
  <c r="L103" i="1"/>
  <c r="G103" i="1"/>
  <c r="A103" i="1"/>
  <c r="L102" i="1"/>
  <c r="G102" i="1"/>
  <c r="A102" i="1"/>
  <c r="L101" i="1"/>
  <c r="G101" i="1"/>
  <c r="A101" i="1"/>
  <c r="L100" i="1"/>
  <c r="G100" i="1"/>
  <c r="A100" i="1"/>
  <c r="L99" i="1"/>
  <c r="G99" i="1"/>
  <c r="A99" i="1"/>
  <c r="L98" i="1"/>
  <c r="G98" i="1"/>
  <c r="A98" i="1"/>
  <c r="L97" i="1"/>
  <c r="G97" i="1"/>
  <c r="A97" i="1"/>
  <c r="L96" i="1"/>
  <c r="G96" i="1"/>
  <c r="A96" i="1"/>
  <c r="L95" i="1"/>
  <c r="G95" i="1"/>
  <c r="A95" i="1"/>
  <c r="L94" i="1"/>
  <c r="G94" i="1"/>
  <c r="A94" i="1"/>
  <c r="L93" i="1"/>
  <c r="G93" i="1"/>
  <c r="A93" i="1"/>
  <c r="L92" i="1"/>
  <c r="G92" i="1"/>
  <c r="A92" i="1"/>
  <c r="L91" i="1"/>
  <c r="G91" i="1"/>
  <c r="A91" i="1"/>
  <c r="L90" i="1"/>
  <c r="G90" i="1"/>
  <c r="A90" i="1"/>
  <c r="L89" i="1"/>
  <c r="G89" i="1"/>
  <c r="A89" i="1"/>
  <c r="L88" i="1"/>
  <c r="G88" i="1"/>
  <c r="A88" i="1"/>
  <c r="L87" i="1"/>
  <c r="G87" i="1"/>
  <c r="A87" i="1"/>
  <c r="L86" i="1"/>
  <c r="G86" i="1"/>
  <c r="A86" i="1"/>
  <c r="L85" i="1"/>
  <c r="G85" i="1"/>
  <c r="A85" i="1"/>
  <c r="L84" i="1"/>
  <c r="G84" i="1"/>
  <c r="A84" i="1"/>
  <c r="L83" i="1"/>
  <c r="G83" i="1"/>
  <c r="A83" i="1"/>
  <c r="L82" i="1"/>
  <c r="G82" i="1"/>
  <c r="A82" i="1"/>
  <c r="L81" i="1"/>
  <c r="G81" i="1"/>
  <c r="A81" i="1"/>
  <c r="L80" i="1"/>
  <c r="G80" i="1"/>
  <c r="A80" i="1"/>
  <c r="L79" i="1"/>
  <c r="G79" i="1"/>
  <c r="A79" i="1"/>
  <c r="L78" i="1"/>
  <c r="G78" i="1"/>
  <c r="A78" i="1"/>
  <c r="L77" i="1"/>
  <c r="G77" i="1"/>
  <c r="A77" i="1"/>
  <c r="L76" i="1"/>
  <c r="G76" i="1"/>
  <c r="A76" i="1"/>
  <c r="L75" i="1"/>
  <c r="G75" i="1"/>
  <c r="A75" i="1"/>
  <c r="L74" i="1"/>
  <c r="G74" i="1"/>
  <c r="A74" i="1"/>
  <c r="L73" i="1"/>
  <c r="G73" i="1"/>
  <c r="A73" i="1"/>
  <c r="L72" i="1"/>
  <c r="G72" i="1"/>
  <c r="A72" i="1"/>
  <c r="L71" i="1"/>
  <c r="G71" i="1"/>
  <c r="A71" i="1"/>
  <c r="L70" i="1"/>
  <c r="G70" i="1"/>
  <c r="A70" i="1"/>
  <c r="L69" i="1"/>
  <c r="G69" i="1"/>
  <c r="A69" i="1"/>
  <c r="L68" i="1"/>
  <c r="G68" i="1"/>
  <c r="A68" i="1"/>
  <c r="L67" i="1"/>
  <c r="G67" i="1"/>
  <c r="A67" i="1"/>
  <c r="L66" i="1"/>
  <c r="G66" i="1"/>
  <c r="A66" i="1"/>
  <c r="L65" i="1"/>
  <c r="G65" i="1"/>
  <c r="A65" i="1"/>
  <c r="L64" i="1"/>
  <c r="G64" i="1"/>
  <c r="A64" i="1"/>
  <c r="L63" i="1"/>
  <c r="G63" i="1"/>
  <c r="A63" i="1"/>
  <c r="L62" i="1"/>
  <c r="G62" i="1"/>
  <c r="A62" i="1"/>
  <c r="L61" i="1"/>
  <c r="G61" i="1"/>
  <c r="A61" i="1"/>
  <c r="L60" i="1"/>
  <c r="G60" i="1"/>
  <c r="A60" i="1"/>
  <c r="L59" i="1"/>
  <c r="G59" i="1"/>
  <c r="A59" i="1"/>
  <c r="L58" i="1"/>
  <c r="G58" i="1"/>
  <c r="A58" i="1"/>
  <c r="L57" i="1"/>
  <c r="G57" i="1"/>
  <c r="A57" i="1"/>
  <c r="L56" i="1"/>
  <c r="G56" i="1"/>
  <c r="A56" i="1"/>
  <c r="L55" i="1"/>
  <c r="G55" i="1"/>
  <c r="A55" i="1"/>
  <c r="L54" i="1"/>
  <c r="G54" i="1"/>
  <c r="A54" i="1"/>
  <c r="L53" i="1"/>
  <c r="G53" i="1"/>
  <c r="A53" i="1"/>
  <c r="L52" i="1"/>
  <c r="G52" i="1"/>
  <c r="A52" i="1"/>
  <c r="L51" i="1"/>
  <c r="G51" i="1"/>
  <c r="A51" i="1"/>
  <c r="L50" i="1"/>
  <c r="G50" i="1"/>
  <c r="A50" i="1"/>
  <c r="L49" i="1"/>
  <c r="G49" i="1"/>
  <c r="A49" i="1"/>
  <c r="L48" i="1"/>
  <c r="G48" i="1"/>
  <c r="A48" i="1"/>
  <c r="L47" i="1"/>
  <c r="G47" i="1"/>
  <c r="A47" i="1"/>
  <c r="L46" i="1"/>
  <c r="G46" i="1"/>
  <c r="A46" i="1"/>
  <c r="L45" i="1"/>
  <c r="G45" i="1"/>
  <c r="A45" i="1"/>
  <c r="L44" i="1"/>
  <c r="G44" i="1"/>
  <c r="A44" i="1"/>
  <c r="L43" i="1"/>
  <c r="G43" i="1"/>
  <c r="A43" i="1"/>
  <c r="L42" i="1"/>
  <c r="G42" i="1"/>
  <c r="A42" i="1"/>
  <c r="L41" i="1"/>
  <c r="G41" i="1"/>
  <c r="A41" i="1"/>
  <c r="L40" i="1"/>
  <c r="G40" i="1"/>
  <c r="A40" i="1"/>
  <c r="L39" i="1"/>
  <c r="G39" i="1"/>
  <c r="A39" i="1"/>
  <c r="L38" i="1"/>
  <c r="G38" i="1"/>
  <c r="A38" i="1"/>
  <c r="L37" i="1"/>
  <c r="G37" i="1"/>
  <c r="A37" i="1"/>
  <c r="L36" i="1"/>
  <c r="G36" i="1"/>
  <c r="A36" i="1"/>
  <c r="L35" i="1"/>
  <c r="G35" i="1"/>
  <c r="A35" i="1"/>
  <c r="L34" i="1"/>
  <c r="G34" i="1"/>
  <c r="A34" i="1"/>
  <c r="L33" i="1"/>
  <c r="G33" i="1"/>
  <c r="A33" i="1"/>
  <c r="L32" i="1"/>
  <c r="G32" i="1"/>
  <c r="A32" i="1"/>
  <c r="L31" i="1"/>
  <c r="G31" i="1"/>
  <c r="A31" i="1"/>
  <c r="L30" i="1"/>
  <c r="G30" i="1"/>
  <c r="A30" i="1"/>
  <c r="L29" i="1"/>
  <c r="G29" i="1"/>
  <c r="A29" i="1"/>
  <c r="L28" i="1"/>
  <c r="G28" i="1"/>
  <c r="A28" i="1"/>
  <c r="L27" i="1"/>
  <c r="G27" i="1"/>
  <c r="A27" i="1"/>
  <c r="L26" i="1"/>
  <c r="G26" i="1"/>
  <c r="A26" i="1"/>
  <c r="L25" i="1"/>
  <c r="G25" i="1"/>
  <c r="A25" i="1"/>
  <c r="L24" i="1"/>
  <c r="G24" i="1"/>
  <c r="A24" i="1"/>
  <c r="L23" i="1"/>
  <c r="G23" i="1"/>
  <c r="A23" i="1"/>
  <c r="L22" i="1"/>
  <c r="G22" i="1"/>
  <c r="A22" i="1"/>
  <c r="L21" i="1"/>
  <c r="G21" i="1"/>
  <c r="A21" i="1"/>
  <c r="L20" i="1"/>
  <c r="G20" i="1"/>
  <c r="A20" i="1"/>
  <c r="L19" i="1"/>
  <c r="G19" i="1"/>
  <c r="A19" i="1"/>
  <c r="L18" i="1"/>
  <c r="G18" i="1"/>
  <c r="A18" i="1"/>
  <c r="L17" i="1"/>
  <c r="G17" i="1"/>
  <c r="A17" i="1"/>
  <c r="L16" i="1"/>
  <c r="G16" i="1"/>
  <c r="A16" i="1"/>
  <c r="L15" i="1"/>
  <c r="G15" i="1"/>
  <c r="A15" i="1"/>
  <c r="L14" i="1"/>
  <c r="G14" i="1"/>
  <c r="A14" i="1"/>
  <c r="L13" i="1"/>
  <c r="G13" i="1"/>
  <c r="A13" i="1"/>
  <c r="L12" i="1"/>
  <c r="G12" i="1"/>
  <c r="A12" i="1"/>
  <c r="L11" i="1"/>
  <c r="G11" i="1"/>
  <c r="A11" i="1"/>
  <c r="L10" i="1"/>
  <c r="G10" i="1"/>
  <c r="A10" i="1"/>
  <c r="L9" i="1"/>
  <c r="G9" i="1"/>
  <c r="A9" i="1"/>
  <c r="L8" i="1"/>
  <c r="G8" i="1"/>
  <c r="A8" i="1"/>
  <c r="L7" i="1"/>
  <c r="G7" i="1"/>
  <c r="A7" i="1"/>
  <c r="L6" i="1"/>
  <c r="G6" i="1"/>
  <c r="A6" i="1"/>
  <c r="L5" i="1"/>
  <c r="G5" i="1"/>
  <c r="A5" i="1"/>
  <c r="L4" i="1"/>
  <c r="G4" i="1"/>
  <c r="A4" i="1"/>
  <c r="L3" i="1"/>
  <c r="G3" i="1"/>
  <c r="A3" i="1"/>
  <c r="L2" i="1"/>
  <c r="G2" i="1"/>
  <c r="A2" i="1"/>
</calcChain>
</file>

<file path=xl/sharedStrings.xml><?xml version="1.0" encoding="utf-8"?>
<sst xmlns="http://schemas.openxmlformats.org/spreadsheetml/2006/main" count="6650" uniqueCount="768">
  <si>
    <t>NO</t>
    <phoneticPr fontId="2" type="noConversion"/>
  </si>
  <si>
    <t>제품명(1개)</t>
    <phoneticPr fontId="2" type="noConversion"/>
  </si>
  <si>
    <t>자체상품코드</t>
  </si>
  <si>
    <t>원재료</t>
    <phoneticPr fontId="2" type="noConversion"/>
  </si>
  <si>
    <t>함량</t>
    <phoneticPr fontId="2" type="noConversion"/>
  </si>
  <si>
    <t>열1</t>
    <phoneticPr fontId="2" type="noConversion"/>
  </si>
  <si>
    <t>D열/I열 일치</t>
    <phoneticPr fontId="2" type="noConversion"/>
  </si>
  <si>
    <t>적정재고</t>
    <phoneticPr fontId="2" type="noConversion"/>
  </si>
  <si>
    <t>제품명</t>
    <phoneticPr fontId="2" type="noConversion"/>
  </si>
  <si>
    <t>자체상품코드</t>
    <phoneticPr fontId="2" type="noConversion"/>
  </si>
  <si>
    <t>프레드 촉촉한 카카오, 1개, 100g</t>
    <phoneticPr fontId="2" type="noConversion"/>
  </si>
  <si>
    <t>난백</t>
    <phoneticPr fontId="2" type="noConversion"/>
  </si>
  <si>
    <t>난백</t>
  </si>
  <si>
    <t>프레드 촉촉한 카카오, 1개, 100g</t>
  </si>
  <si>
    <t>프락토올리고당</t>
    <phoneticPr fontId="2" type="noConversion"/>
  </si>
  <si>
    <t>검정깨</t>
  </si>
  <si>
    <t>프레드 촉촉한 단호박, 1개, 100g</t>
  </si>
  <si>
    <t>난황</t>
    <phoneticPr fontId="2" type="noConversion"/>
  </si>
  <si>
    <t>흑설탕</t>
  </si>
  <si>
    <t>프레드 촉촉한 얼그레이, 1개 100g</t>
  </si>
  <si>
    <t>우유</t>
    <phoneticPr fontId="2" type="noConversion"/>
  </si>
  <si>
    <t>화이트초콜릿</t>
  </si>
  <si>
    <t>프레드 촉촉한 모카, 1개, 100g</t>
  </si>
  <si>
    <t>포도씨유</t>
    <phoneticPr fontId="2" type="noConversion"/>
  </si>
  <si>
    <t>얼그레이</t>
  </si>
  <si>
    <t>프레드 촉촉한 당근, 1개, 100g</t>
  </si>
  <si>
    <t>W.P.C</t>
    <phoneticPr fontId="2" type="noConversion"/>
  </si>
  <si>
    <t>호박씨</t>
  </si>
  <si>
    <t>프레도 촉촉한 옥수수, 1개, 100g</t>
  </si>
  <si>
    <t>W.P.I</t>
    <phoneticPr fontId="2" type="noConversion"/>
  </si>
  <si>
    <t>호밀</t>
  </si>
  <si>
    <t>프레드 촉촉한 쑥, 1개, 100g</t>
  </si>
  <si>
    <t>I.S.P</t>
  </si>
  <si>
    <t>호두분태</t>
  </si>
  <si>
    <t>프레드 촉촉한 녹차, 1개,100g</t>
  </si>
  <si>
    <t>분말(발아현미)</t>
  </si>
  <si>
    <t>현미튀밥</t>
  </si>
  <si>
    <t>아몬드펭귄쿠키, 1개, 180g</t>
  </si>
  <si>
    <t>분말(카카오)</t>
    <phoneticPr fontId="2" type="noConversion"/>
  </si>
  <si>
    <t>현미씨리얼</t>
  </si>
  <si>
    <t>아몬드펭귄쿠키, 1개, 100g</t>
  </si>
  <si>
    <t>다크초코칩</t>
  </si>
  <si>
    <t>허브믹스</t>
  </si>
  <si>
    <t>화이트마카데미아,1개,180g</t>
  </si>
  <si>
    <t>아몬드슬라이스</t>
  </si>
  <si>
    <t>해바라기씨</t>
    <phoneticPr fontId="2" type="noConversion"/>
  </si>
  <si>
    <t>화이트마카데미아,1개,100g</t>
  </si>
  <si>
    <t>프레드 촉촉한 단호박, 1개, 100g</t>
    <phoneticPr fontId="2" type="noConversion"/>
  </si>
  <si>
    <t>해바라기유</t>
  </si>
  <si>
    <t>사브레초코,1개,180g</t>
  </si>
  <si>
    <t>할라페뇨</t>
  </si>
  <si>
    <t>사브레초코,1개,100g</t>
  </si>
  <si>
    <t>피스타치오</t>
  </si>
  <si>
    <t>비엔나커피,1개,100g</t>
  </si>
  <si>
    <t>플레인요거트</t>
  </si>
  <si>
    <t>비엔나카카오1개,100g</t>
  </si>
  <si>
    <t>프룬</t>
  </si>
  <si>
    <t>비엔나플레인,1개,100g</t>
  </si>
  <si>
    <t>폴리쉬</t>
  </si>
  <si>
    <t>비엔나그린티,1개,100g</t>
  </si>
  <si>
    <t>포도씨유</t>
  </si>
  <si>
    <t>론도 290g/레이즌누아</t>
  </si>
  <si>
    <t>페파로니</t>
  </si>
  <si>
    <t xml:space="preserve">론도 250g/레이즌누아 </t>
  </si>
  <si>
    <t>팥앙금</t>
  </si>
  <si>
    <t>크랜베리쇼트,1개,100g</t>
  </si>
  <si>
    <t>분말(단호박)</t>
  </si>
  <si>
    <t>파슬리</t>
  </si>
  <si>
    <t>치즈바게트 220g</t>
  </si>
  <si>
    <t>프레드 촉촉한 얼그레이, 1개 100g</t>
    <phoneticPr fontId="2" type="noConversion"/>
  </si>
  <si>
    <t>파마산</t>
  </si>
  <si>
    <t>모닝빵(6알)36g-38g</t>
  </si>
  <si>
    <t>트리몰린</t>
  </si>
  <si>
    <t>모닝빵(6알)190g</t>
  </si>
  <si>
    <t>통아몬드</t>
  </si>
  <si>
    <t>크렌베리아몬드/쿠팡 270g</t>
  </si>
  <si>
    <t>통밀폴리쉬</t>
  </si>
  <si>
    <t>순우유식빵 /쿠팡순수우유 560g</t>
  </si>
  <si>
    <t>통밀탕종</t>
  </si>
  <si>
    <t>순우유식빵 /쿠팡순수우유 390g</t>
  </si>
  <si>
    <t>통밀르방</t>
  </si>
  <si>
    <t>생협잡곡식빵(쿠팡잡곡식빵)220gx2</t>
  </si>
  <si>
    <t>통밀</t>
  </si>
  <si>
    <t>생협잡곡식빵(쿠팡잡곡식빵)390g</t>
  </si>
  <si>
    <t>탕종</t>
  </si>
  <si>
    <t>올리브치아바타, 1개,160g</t>
  </si>
  <si>
    <t>크림치즈</t>
  </si>
  <si>
    <t>프로틴플러스두부두유식빵(220g)-소가다</t>
  </si>
  <si>
    <t>현미찹쌀</t>
    <phoneticPr fontId="2" type="noConversion"/>
  </si>
  <si>
    <t>플틴플러스북유럽잡곡빵/밋슈디</t>
  </si>
  <si>
    <t>프로틴프러스브리첼</t>
  </si>
  <si>
    <t>프레드 촉촉한 모카, 1개, 100g</t>
    <phoneticPr fontId="2" type="noConversion"/>
  </si>
  <si>
    <t>크라프트골드</t>
  </si>
  <si>
    <t>모닝빵(쿠팡9알)36g-38g</t>
  </si>
  <si>
    <t>코코넛오일</t>
  </si>
  <si>
    <t>올리브치아바타 130g(3개</t>
  </si>
  <si>
    <t>분말(커피)</t>
  </si>
  <si>
    <t>얼그레이파운드, 1개, 480g</t>
  </si>
  <si>
    <t>캔디믹스필</t>
    <phoneticPr fontId="2" type="noConversion"/>
  </si>
  <si>
    <t>후르츠파운드, 1개, 480g</t>
  </si>
  <si>
    <t>프로틴우유식빵(270*2)-대가다-</t>
  </si>
  <si>
    <t>비엔나얼그레이버터쿠키, 1개, 100g</t>
  </si>
  <si>
    <t>분말(커피)</t>
    <phoneticPr fontId="2" type="noConversion"/>
  </si>
  <si>
    <t>코팅다크</t>
  </si>
  <si>
    <t>미니먹물치즈식빵(100gx2)</t>
  </si>
  <si>
    <t>귀여운치즈고슴도치,1개,100g(컬리쿠키)</t>
  </si>
  <si>
    <t>초코청크</t>
  </si>
  <si>
    <t>바질페스토모닝 (쿠팡9알 ) 36g-38g</t>
  </si>
  <si>
    <t>초코스틱</t>
  </si>
  <si>
    <t>통밀모닝(6알) 190g</t>
  </si>
  <si>
    <t>무화과파운드, 1개, 480g</t>
  </si>
  <si>
    <t>우유</t>
  </si>
  <si>
    <t>초코스콘 2개입, 160g</t>
  </si>
  <si>
    <t>프레드 촉촉한 당근, 1개, 100g</t>
    <phoneticPr fontId="2" type="noConversion"/>
  </si>
  <si>
    <t>정제수</t>
  </si>
  <si>
    <t>초코스콘 1개입, 80g</t>
  </si>
  <si>
    <t>전란</t>
  </si>
  <si>
    <t>얼그레이 품은 스콘 2개입, 160g</t>
  </si>
  <si>
    <t>우리멀티그레인믹스</t>
  </si>
  <si>
    <t>얼그레이 품은 스콘 1개입, 80g</t>
  </si>
  <si>
    <t>엑스트라 버진 올리브오일</t>
    <phoneticPr fontId="2" type="noConversion"/>
  </si>
  <si>
    <t>플레인 스콘 2개입, 160g</t>
  </si>
  <si>
    <t>포마스올리브유</t>
    <phoneticPr fontId="2" type="noConversion"/>
  </si>
  <si>
    <t>플레인 스콘 1개입, 80g</t>
  </si>
  <si>
    <t>프락토올리고당</t>
    <phoneticPr fontId="2" type="noConversion"/>
  </si>
  <si>
    <t>그린티버터쿠키, 1개, 180g</t>
  </si>
  <si>
    <t>옥수수전분</t>
  </si>
  <si>
    <t>그린티버터쿠키, 1개, 100g</t>
  </si>
  <si>
    <t>스위트콘</t>
  </si>
  <si>
    <t>플레인버터쿠키, 1개, 180g</t>
  </si>
  <si>
    <t>오트밀</t>
  </si>
  <si>
    <t>플레인버터쿠키, 1개, 100g</t>
  </si>
  <si>
    <t>분말(계피)</t>
  </si>
  <si>
    <t>커피버터쿠키, 1개, 180g</t>
  </si>
  <si>
    <t>당근</t>
  </si>
  <si>
    <t>에프리코트혼당</t>
  </si>
  <si>
    <t>커피버터쿠키, 1개, 100g</t>
  </si>
  <si>
    <t>호두분태</t>
    <phoneticPr fontId="2" type="noConversion"/>
  </si>
  <si>
    <t>에리스톨</t>
  </si>
  <si>
    <t>단백질을더한 발효종 순수 통밀모닝빵, 1봉(9알), 270g</t>
  </si>
  <si>
    <t>프레도 촉촉한 옥수수, 1개, 100g</t>
    <phoneticPr fontId="2" type="noConversion"/>
  </si>
  <si>
    <t>아몬드분말95</t>
  </si>
  <si>
    <t>미니바질선드라이토마토식빵(100gx2)</t>
  </si>
  <si>
    <t>치즈고슴도치쿠키, 1개, 180g</t>
  </si>
  <si>
    <t>사브레디아망 쿠키, 1개, 180g</t>
  </si>
  <si>
    <t>쌀탕종</t>
  </si>
  <si>
    <t>사브레디아망 쿠키, 1개, 100g</t>
  </si>
  <si>
    <t>쌀르방</t>
  </si>
  <si>
    <t>카카오호랑이쿠키, 1개, 180g</t>
  </si>
  <si>
    <t>강력쌀가루</t>
  </si>
  <si>
    <t>위너스카카오쿠키, 1개, 100g</t>
  </si>
  <si>
    <t>아몬드토끼쿠키, 1개, 180g</t>
  </si>
  <si>
    <t>귀요미토끼쿠키, 1개, 100g</t>
  </si>
  <si>
    <t>스프링클</t>
  </si>
  <si>
    <t>오트밀통밀쿠키, 1개, 180g</t>
  </si>
  <si>
    <t>소금</t>
  </si>
  <si>
    <t>오트밀통밀쿠키, 1개, 100g</t>
  </si>
  <si>
    <t>설탕(유기농)</t>
  </si>
  <si>
    <t>크렌베리마카데미아쿠키, 1개, 180g</t>
  </si>
  <si>
    <t>백설탕</t>
  </si>
  <si>
    <t>크렌베리마카데미아쿠키, 1개, 100g</t>
  </si>
  <si>
    <t>프레드 촉촉한 쑥, 1개, 100g</t>
    <phoneticPr fontId="2" type="noConversion"/>
  </si>
  <si>
    <t>생크림</t>
  </si>
  <si>
    <t>발효종순수통밀빵800g(빵오르빵)</t>
  </si>
  <si>
    <t>생이스트</t>
  </si>
  <si>
    <t>발효종 순수 통밀빵, 1개, 700g</t>
  </si>
  <si>
    <t>블랙올리브슬라이스</t>
  </si>
  <si>
    <t>크랜베리깜빠뉴 120g(쿠팡3개,컬리2개)</t>
  </si>
  <si>
    <t>마카다미아분태</t>
  </si>
  <si>
    <t>발효종 아몬드크렌베리 깜바뉴, 1개, 240g</t>
  </si>
  <si>
    <t>탈지분유</t>
  </si>
  <si>
    <t>발효종 통밀잡곡빵, 1개, 600g</t>
  </si>
  <si>
    <t>분말(코코아)</t>
  </si>
  <si>
    <t>쿠팡 (미니치즈바게트 125g)</t>
  </si>
  <si>
    <t>발효종 미니치즈바케트, 4개입, 400g</t>
  </si>
  <si>
    <t>분말(치즈)</t>
  </si>
  <si>
    <t>사브레쇼콜라 쿠키, 1개, 180g</t>
  </si>
  <si>
    <t>사브레쇼콜라 쿠키, 1개, 100g</t>
  </si>
  <si>
    <t>분말(쑥)</t>
  </si>
  <si>
    <t>아몬드분말100</t>
  </si>
  <si>
    <t>사브레크렌베리 쿠키, 1개, 180g</t>
  </si>
  <si>
    <t>강낭콩배기</t>
    <phoneticPr fontId="2" type="noConversion"/>
  </si>
  <si>
    <t>사브레크렌베리 쿠키, 1개, 100g</t>
  </si>
  <si>
    <t>프레드 촉촉한 녹차, 1개,100g</t>
    <phoneticPr fontId="2" type="noConversion"/>
  </si>
  <si>
    <t>발효종 고소한우유식빵, 1개, 390g</t>
  </si>
  <si>
    <t>분말(녹차)</t>
  </si>
  <si>
    <t>발효종 순수우유식빵, 1개, 490g</t>
  </si>
  <si>
    <t>베이글프레인 150g (4개)</t>
  </si>
  <si>
    <t>분당</t>
  </si>
  <si>
    <t>플레인 발효종 베이글 4개입, 480g</t>
  </si>
  <si>
    <t>베이킹파우더</t>
  </si>
  <si>
    <t>플레인 발효종 베이글, 1개입, 120g</t>
  </si>
  <si>
    <t>베이킹소다</t>
  </si>
  <si>
    <t>올리브 발효종 베이글 3개입, 360g</t>
  </si>
  <si>
    <t>베리베리</t>
    <phoneticPr fontId="2" type="noConversion"/>
  </si>
  <si>
    <t>올리브 발효종 베이글, 1개입, 120g</t>
  </si>
  <si>
    <t>버터</t>
  </si>
  <si>
    <t>허브 발효종 베이글, 3개입, 360g</t>
  </si>
  <si>
    <t>허브 발효종 베이글 1개입, 120g</t>
  </si>
  <si>
    <t>분말(녹차)</t>
    <phoneticPr fontId="2" type="noConversion"/>
  </si>
  <si>
    <t>발효종 르방</t>
    <phoneticPr fontId="2" type="noConversion"/>
  </si>
  <si>
    <t>잡곡 발효종 베이글, 3개입, 360g</t>
  </si>
  <si>
    <t>건조코코넛</t>
    <phoneticPr fontId="2" type="noConversion"/>
  </si>
  <si>
    <t>분말(발아현미)</t>
    <phoneticPr fontId="2" type="noConversion"/>
  </si>
  <si>
    <t>잡곡 발효종 베이글, 1개입, 120g</t>
  </si>
  <si>
    <t>건조파파야다이스</t>
  </si>
  <si>
    <t>유기농박력</t>
  </si>
  <si>
    <t>발효종 카카오 크런치빵, 1개, 230g</t>
  </si>
  <si>
    <t>파인애플 청크</t>
  </si>
  <si>
    <t>단백질을더한 발효종 우유식빵, 1개, 490g</t>
  </si>
  <si>
    <t>버터</t>
    <phoneticPr fontId="2" type="noConversion"/>
  </si>
  <si>
    <t>바질페스토</t>
  </si>
  <si>
    <t>단백질을더한 발효종 두유두부식빵, 1개, 390g</t>
  </si>
  <si>
    <t>설탕(유기농)</t>
    <phoneticPr fontId="2" type="noConversion"/>
  </si>
  <si>
    <t>바닐프로</t>
  </si>
  <si>
    <t>통밀식빵기존(220g*2)</t>
  </si>
  <si>
    <t>물엿</t>
  </si>
  <si>
    <t>단백질을 더한 발효종 통밀식빵 1개, 390g</t>
  </si>
  <si>
    <t>몰트엑기스</t>
  </si>
  <si>
    <t>고소한 발효종 소금빵 2개입, 150g</t>
  </si>
  <si>
    <t>몰트엑기스분말</t>
    <phoneticPr fontId="2" type="noConversion"/>
  </si>
  <si>
    <t>발효종 순수모닝빵, 1봉(9알), 270g</t>
  </si>
  <si>
    <t>소금</t>
    <phoneticPr fontId="2" type="noConversion"/>
  </si>
  <si>
    <t>오징어먹물</t>
  </si>
  <si>
    <t>발효종 바질선드라이토마토식빵, 1개, 230g</t>
  </si>
  <si>
    <t>귀여운 아몬드펭귄쿠키,100g (컬리)</t>
    <phoneticPr fontId="2" type="noConversion"/>
  </si>
  <si>
    <t>마늘</t>
  </si>
  <si>
    <t>잡곡 발효종 식빵, 1개, 390g</t>
  </si>
  <si>
    <t>르방</t>
  </si>
  <si>
    <t>8가지 곡물잡곡 발효종 빵, 1개입, 445g</t>
  </si>
  <si>
    <t>롤치즈</t>
  </si>
  <si>
    <t>발효종 오징어먹물모닝롤, 1봉(9알), 270g</t>
  </si>
  <si>
    <t>레몬주스</t>
  </si>
  <si>
    <t>단백질을더한 통밀올리브치아바타, 3개입, 330g</t>
  </si>
  <si>
    <t>레몬제스트</t>
  </si>
  <si>
    <t>프롬위트 통밀올리브치아바타, 1개입, 110g (비마트)</t>
  </si>
  <si>
    <t>럼</t>
  </si>
  <si>
    <t>발효종 올리브치아바타, 3개입, 330g</t>
  </si>
  <si>
    <t>라임주스</t>
    <phoneticPr fontId="2" type="noConversion"/>
  </si>
  <si>
    <t>발효종 올리브치아바타, 1개입, 110g</t>
  </si>
  <si>
    <t>딥블랙 코코아분말</t>
    <phoneticPr fontId="2" type="noConversion"/>
  </si>
  <si>
    <t>발효종 오징어먹물 통밀 크런치빵, 1개, 280g</t>
  </si>
  <si>
    <t>드라이Y레드</t>
  </si>
  <si>
    <t>발효종 오징어먹물 통밀 크런치빵, 1개, 190g</t>
  </si>
  <si>
    <t>드라이Y골드</t>
  </si>
  <si>
    <t>발효종 바질모닝롤, 1봉(9알), 270g</t>
  </si>
  <si>
    <t>드라이Y</t>
  </si>
  <si>
    <t>발효종 오징어먹물치즈식빵, 1개, 230g</t>
  </si>
  <si>
    <t>혼당</t>
  </si>
  <si>
    <t>단백질을더한 크렌베리깜바뉴 3개입, 285g</t>
  </si>
  <si>
    <t>두유</t>
  </si>
  <si>
    <t>통밀로 만든 발효종 베이글, 3개입, 360g</t>
  </si>
  <si>
    <t>두부</t>
  </si>
  <si>
    <t>통밀 발효종 베이글, 1개입, 120g</t>
  </si>
  <si>
    <t>발효종 브리첼 3개입, 405g</t>
  </si>
  <si>
    <t>다크초콜릿</t>
  </si>
  <si>
    <t>발효종 통밀 호두단팥빵, 3개입, 300g</t>
  </si>
  <si>
    <t>화이트마카다미아,100g</t>
    <phoneticPr fontId="2" type="noConversion"/>
  </si>
  <si>
    <t>사브레통밀쿠키, 1개, 180g</t>
  </si>
  <si>
    <t>사브레통밀쿠키, 1개, 100g</t>
  </si>
  <si>
    <t>흑설탕</t>
    <phoneticPr fontId="2" type="noConversion"/>
  </si>
  <si>
    <t>건조무화과다이스</t>
  </si>
  <si>
    <t>아몬드 크리스마스 데코키트 쿠키, 1개, 200g</t>
  </si>
  <si>
    <t>전란</t>
    <phoneticPr fontId="2" type="noConversion"/>
  </si>
  <si>
    <t>건조무화과</t>
  </si>
  <si>
    <t>카카오 크리스마스 데코키트 쿠키, 1개, 200g</t>
  </si>
  <si>
    <t>난황</t>
  </si>
  <si>
    <t>통밀호두단팥빵(반죽60g)속50g</t>
  </si>
  <si>
    <t>베이킹파우더</t>
    <phoneticPr fontId="2" type="noConversion"/>
  </si>
  <si>
    <t>레몬사자쿠키, 1개, 180g</t>
  </si>
  <si>
    <t>분말(귀리)</t>
  </si>
  <si>
    <t>레몬사자쿠키, 1개, 100g</t>
  </si>
  <si>
    <t>건크랜베리</t>
  </si>
  <si>
    <t>곡물폴리쉬</t>
  </si>
  <si>
    <t>카카오곰쿠키, 1개, 180g</t>
  </si>
  <si>
    <t>카카오곰쿠키, 1개, 100g</t>
  </si>
  <si>
    <t>건포도</t>
  </si>
  <si>
    <t>얼그레이버터쿠키, 1개, 180g</t>
  </si>
  <si>
    <t>사브레쇼콜라 쿠키, 1개, 180g</t>
    <phoneticPr fontId="2" type="noConversion"/>
  </si>
  <si>
    <t>비마트카카오크런치빵(125g)20g토핑</t>
  </si>
  <si>
    <t>건조코코넛</t>
  </si>
  <si>
    <t>발효종호두단팥빵, 3개입, 240g</t>
  </si>
  <si>
    <t>건살구</t>
  </si>
  <si>
    <t>발효종호두단팥빵,85g</t>
  </si>
  <si>
    <t>유기농강력</t>
  </si>
  <si>
    <t>발효종 고소한 호밀통밀빵, 1개, 710g</t>
  </si>
  <si>
    <t>강력</t>
  </si>
  <si>
    <t>발효종 호밀통밀크랜베리빵, 1개, 710g</t>
  </si>
  <si>
    <t>강낭콩배기</t>
  </si>
  <si>
    <t>순수 호밀통밀빵 820g</t>
  </si>
  <si>
    <t>W.P.I</t>
  </si>
  <si>
    <t>발효종 순수 호밀 통밀빵, 1개, 720g</t>
  </si>
  <si>
    <t>W.P.C</t>
  </si>
  <si>
    <t>호밀통밀무화과빵 450g 속 120 g</t>
  </si>
  <si>
    <t>샤브레초코, 100g (컬리)</t>
    <phoneticPr fontId="2" type="noConversion"/>
  </si>
  <si>
    <t>비타민C</t>
  </si>
  <si>
    <t>발효종 호밀통밀무화과빵, 1개, 510g</t>
  </si>
  <si>
    <t>플레인치아바타130g *3</t>
  </si>
  <si>
    <t>DY R</t>
  </si>
  <si>
    <t xml:space="preserve">발효종 플레인치아바타, 3개입, 330g </t>
  </si>
  <si>
    <t>크랜베리치아바타130g*3개</t>
  </si>
  <si>
    <t>슬라이스치즈</t>
    <phoneticPr fontId="2" type="noConversion"/>
  </si>
  <si>
    <t>발효종 크렌베리치아바타, 3개입, 330g</t>
  </si>
  <si>
    <t>모짜렐라치즈</t>
    <phoneticPr fontId="2" type="noConversion"/>
  </si>
  <si>
    <t>발효종 밋슈디, 1개, 270g</t>
  </si>
  <si>
    <t>슬라이스햄</t>
    <phoneticPr fontId="2" type="noConversion"/>
  </si>
  <si>
    <t>발효종 레이즌누아, 2개입, 500g</t>
  </si>
  <si>
    <t>피자소스</t>
    <phoneticPr fontId="2" type="noConversion"/>
  </si>
  <si>
    <t>순수통밀스콘, 2개입, 160g</t>
  </si>
  <si>
    <t>비엔나커피 , 100g (컬리)</t>
    <phoneticPr fontId="2" type="noConversion"/>
  </si>
  <si>
    <t>분말(검정깨)</t>
  </si>
  <si>
    <t>머랭 씨앗 쿠키, 1개, 180g</t>
  </si>
  <si>
    <t>마요네즈</t>
    <phoneticPr fontId="2" type="noConversion"/>
  </si>
  <si>
    <t>머랭 코코넛크런치 쿠키, 1개, 180g</t>
  </si>
  <si>
    <t>스파게티소스</t>
    <phoneticPr fontId="2" type="noConversion"/>
  </si>
  <si>
    <t>무화과 발효종 베이글, 3개입, 360g</t>
  </si>
  <si>
    <t>산딸기냉동퓨레</t>
    <phoneticPr fontId="2" type="noConversion"/>
  </si>
  <si>
    <t>크렌베리 발효종 베이글, 3개입, 360g</t>
  </si>
  <si>
    <t>다크초코칩</t>
    <phoneticPr fontId="2" type="noConversion"/>
  </si>
  <si>
    <t>크렌베리 발효종 베이글, 1개입, 120g</t>
  </si>
  <si>
    <t>비프불고기분쇄</t>
  </si>
  <si>
    <t>통밀쑥깜빠뉴 510g</t>
  </si>
  <si>
    <t>비엔나카카오, 100g (컬리)</t>
    <phoneticPr fontId="2" type="noConversion"/>
  </si>
  <si>
    <t>참깨</t>
    <phoneticPr fontId="2" type="noConversion"/>
  </si>
  <si>
    <t>발효종 순수 통밀빵, 1개, 360g</t>
  </si>
  <si>
    <t>소금</t>
    <phoneticPr fontId="2" type="noConversion"/>
  </si>
  <si>
    <t>오징어먹물</t>
    <phoneticPr fontId="2" type="noConversion"/>
  </si>
  <si>
    <t>사브레흑임자마블쿠키, 1개, 180g</t>
  </si>
  <si>
    <t>에멘탈치즈</t>
    <phoneticPr fontId="2" type="noConversion"/>
  </si>
  <si>
    <t>사브레흑임자마블쿠키, 1개, 100g</t>
  </si>
  <si>
    <t>완두배기</t>
    <phoneticPr fontId="2" type="noConversion"/>
  </si>
  <si>
    <t>레인보우스프링클버터쿠키, 1개, 180g</t>
  </si>
  <si>
    <t>팥배기</t>
    <phoneticPr fontId="2" type="noConversion"/>
  </si>
  <si>
    <t>크림치즈마늘바케트 355g분할,속50g</t>
  </si>
  <si>
    <t>데코분당</t>
    <phoneticPr fontId="2" type="noConversion"/>
  </si>
  <si>
    <t>발효종 크림치즈마늘바케트, 1개, 350g</t>
  </si>
  <si>
    <t>비엔나플레인, 100g (컬리)</t>
    <phoneticPr fontId="2" type="noConversion"/>
  </si>
  <si>
    <t>땅콩반태</t>
    <phoneticPr fontId="2" type="noConversion"/>
  </si>
  <si>
    <t>통밀모닝(쿠팡9알) 36g-38g</t>
  </si>
  <si>
    <t>반건조토마토</t>
    <phoneticPr fontId="2" type="noConversion"/>
  </si>
  <si>
    <t>어쏘티드 동물쿠키 미니버켓(민트), 1개, 120g</t>
  </si>
  <si>
    <t>어쏘티드 동물쿠키 미니버켓(노랑), 1개, 120g</t>
  </si>
  <si>
    <t>무화과 발효종 베이글, 1개입, 120g</t>
  </si>
  <si>
    <t>프레즐소다</t>
    <phoneticPr fontId="2" type="noConversion"/>
  </si>
  <si>
    <t>천연발효통밀잡곡빵 670g</t>
  </si>
  <si>
    <t>비엔나그린티, 100g (컬리)</t>
    <phoneticPr fontId="2" type="noConversion"/>
  </si>
  <si>
    <t>발효종 오트밀통밀식빵 530g오트밀토핑</t>
  </si>
  <si>
    <t>피칸</t>
    <phoneticPr fontId="2" type="noConversion"/>
  </si>
  <si>
    <t>소프트 블루베리치즈케이크, 1개, 180g</t>
  </si>
  <si>
    <t>체다큐브치즈</t>
    <phoneticPr fontId="2" type="noConversion"/>
  </si>
  <si>
    <t>소프트플레인치즈케이크, 1개, 180g</t>
  </si>
  <si>
    <t>건조파인애플다이스</t>
    <phoneticPr fontId="2" type="noConversion"/>
  </si>
  <si>
    <t>소프트베리베리치즈케이크, 1개, 180g</t>
  </si>
  <si>
    <t>파인소프트-T</t>
  </si>
  <si>
    <t>발효종초코크렌베리깜바뉴 410g</t>
  </si>
  <si>
    <t>발효종 초코크랜베리통밀깜바뉴, 1개, 370g</t>
  </si>
  <si>
    <t>슈가파우더</t>
  </si>
  <si>
    <t>발효종 초코 베이글 ,1개, 120g</t>
  </si>
  <si>
    <t>발효종 초코 베이글, 3개입, 360g</t>
  </si>
  <si>
    <t>고소한코코넛쿠키, 1개, 180g</t>
  </si>
  <si>
    <t>콘크릿츠3호</t>
    <phoneticPr fontId="2" type="noConversion"/>
  </si>
  <si>
    <t>고소한코코넛쿠키, 1개, 100g</t>
  </si>
  <si>
    <t>냉동딸기</t>
    <phoneticPr fontId="2" type="noConversion"/>
  </si>
  <si>
    <t>고소한통밀오트밀쿠키, 1개, 180g</t>
  </si>
  <si>
    <t>냉동블루베리</t>
    <phoneticPr fontId="2" type="noConversion"/>
  </si>
  <si>
    <t>고소한통밀오트밀쿠키, 1개, 100g</t>
  </si>
  <si>
    <t>멕시칸스타일 콰트로 슈레드</t>
  </si>
  <si>
    <t>사브레 더블초코녹차쿠키, 1개, 100g</t>
  </si>
  <si>
    <t>그린올리브슬라이스</t>
  </si>
  <si>
    <t>사브레 더블초코녹차쿠키, 1개, 180g</t>
  </si>
  <si>
    <t>홀그린올리브</t>
    <phoneticPr fontId="2" type="noConversion"/>
  </si>
  <si>
    <t>사브레 더블초코단호박쿠키, 1개, 100g</t>
  </si>
  <si>
    <t>사브레 더블초코단호박쿠키, 1개, 180g</t>
  </si>
  <si>
    <t>사브레 더블딥초코쿠키, 1개, 100g</t>
  </si>
  <si>
    <t>사브레 더블딥초코쿠키, 1개, 180g</t>
  </si>
  <si>
    <t>정종</t>
    <phoneticPr fontId="2" type="noConversion"/>
  </si>
  <si>
    <t>사브레 초코마블쿠키, 1개, 100g</t>
  </si>
  <si>
    <t xml:space="preserve">론도 250g/레이즌누아 </t>
    <phoneticPr fontId="2" type="noConversion"/>
  </si>
  <si>
    <t>오렌지필</t>
    <phoneticPr fontId="2" type="noConversion"/>
  </si>
  <si>
    <t>사브레 초코마블쿠키, 1개, 180g</t>
  </si>
  <si>
    <t>레몬필</t>
    <phoneticPr fontId="2" type="noConversion"/>
  </si>
  <si>
    <t>사브레 라즈베리 마블쿠키, 1개, 180g</t>
  </si>
  <si>
    <t>사브레 라즈베리 마블쿠키, 1개, 100g</t>
  </si>
  <si>
    <t>밀크초콜릿</t>
    <phoneticPr fontId="2" type="noConversion"/>
  </si>
  <si>
    <t>발효종 호밀통밀 베이글, 1개, 120g</t>
  </si>
  <si>
    <t>바닐라빈 페이스트</t>
    <phoneticPr fontId="2" type="noConversion"/>
  </si>
  <si>
    <t>발효종 호밀통밀 베이글, 3개입, 360g</t>
  </si>
  <si>
    <t>오레가노</t>
    <phoneticPr fontId="2" type="noConversion"/>
  </si>
  <si>
    <t>발효종 롤치즈베이글, 1개, 120g</t>
  </si>
  <si>
    <t>사양벌꿀</t>
    <phoneticPr fontId="2" type="noConversion"/>
  </si>
  <si>
    <t>발효종 롤치즈베이글 3개입, 360g</t>
  </si>
  <si>
    <t>발효종흑임자베이글, 1개, 120g</t>
  </si>
  <si>
    <t>발효종흑임자베이글, 3개입, 360g</t>
  </si>
  <si>
    <t>무염통밀빵(빵오르방) 800 g</t>
  </si>
  <si>
    <t>통밀로만든 무염 발효종 깜바뉴, 1개, 730g</t>
  </si>
  <si>
    <t>강아지쿠키만들기세트(아몬드),1개,150g</t>
  </si>
  <si>
    <t>강아지쿠키만들기세트(카카오),1개,150g</t>
  </si>
  <si>
    <t>유니콘쿠키만들기세트(아몬드),1개,150g</t>
  </si>
  <si>
    <t xml:space="preserve">크랜베리쇼트 100g </t>
    <phoneticPr fontId="2" type="noConversion"/>
  </si>
  <si>
    <t>유니콘쿠키만들기세트(카카오),1개,150g</t>
  </si>
  <si>
    <t>아트펜 화이트</t>
    <phoneticPr fontId="2" type="noConversion"/>
  </si>
  <si>
    <t>하트쿠키만들기세트(아몬드),1개,100g</t>
  </si>
  <si>
    <t>아트펜 그린</t>
    <phoneticPr fontId="2" type="noConversion"/>
  </si>
  <si>
    <t>하트쿠키만들기세트(카카오),1개,100g</t>
  </si>
  <si>
    <t>생크림</t>
    <phoneticPr fontId="2" type="noConversion"/>
  </si>
  <si>
    <t>아트펜 다크</t>
    <phoneticPr fontId="2" type="noConversion"/>
  </si>
  <si>
    <t>발효종 오트밀통밀식빵, 1개, 500g</t>
  </si>
  <si>
    <t>아트펜 레드</t>
    <phoneticPr fontId="2" type="noConversion"/>
  </si>
  <si>
    <t>무화과베이글150g</t>
  </si>
  <si>
    <t>아트펜 옐로우</t>
    <phoneticPr fontId="2" type="noConversion"/>
  </si>
  <si>
    <t>크렌베리베이글150g</t>
  </si>
  <si>
    <t>아트펜 퍼플</t>
    <phoneticPr fontId="2" type="noConversion"/>
  </si>
  <si>
    <t>초코베이글(150g)</t>
  </si>
  <si>
    <t>치즈바게트 220g</t>
    <phoneticPr fontId="2" type="noConversion"/>
  </si>
  <si>
    <t>아트펜 핑크</t>
    <phoneticPr fontId="2" type="noConversion"/>
  </si>
  <si>
    <t>올리브베이글 150g (3개)</t>
  </si>
  <si>
    <t>아트펜 오렌지</t>
    <phoneticPr fontId="2" type="noConversion"/>
  </si>
  <si>
    <t>잡곡베이글 150g (3개)</t>
  </si>
  <si>
    <t>소금</t>
    <phoneticPr fontId="2" type="noConversion"/>
  </si>
  <si>
    <t>깨베이글</t>
  </si>
  <si>
    <t>얼그레이쌀식빵 250g</t>
  </si>
  <si>
    <t>르방</t>
    <phoneticPr fontId="2" type="noConversion"/>
  </si>
  <si>
    <t>쌀 발효종 페페로니할라피뇨 식빵, 1개, 220g</t>
  </si>
  <si>
    <t>단호박쌀식빵 250g</t>
  </si>
  <si>
    <t>몰트엑기스</t>
    <phoneticPr fontId="2" type="noConversion"/>
  </si>
  <si>
    <t>소프트모카치즈케이크, 1개, 140g</t>
  </si>
  <si>
    <t>소프트가나슈치즈케이크, 1개, 140g</t>
  </si>
  <si>
    <t>파마산</t>
    <phoneticPr fontId="2" type="noConversion"/>
  </si>
  <si>
    <t>소프트카카오치즈케이크,1개, 140g</t>
  </si>
  <si>
    <t>롤치즈</t>
    <phoneticPr fontId="2" type="noConversion"/>
  </si>
  <si>
    <t>소프트얼그레이치즈케이크, 1개, 140g</t>
  </si>
  <si>
    <t>소프트 그린티 가나슈 치즈케이크</t>
  </si>
  <si>
    <t>에브리데이 발효종 호밀통밀브레드,1개,640g(320*2)</t>
  </si>
  <si>
    <t>비블리통밀브레드 (뱅오) 350g</t>
  </si>
  <si>
    <t>호밀잡곡브레드 770g</t>
  </si>
  <si>
    <t>에브리데이 발효종 호밀잡곡 브레드,1개,640g(320*2)</t>
  </si>
  <si>
    <t>발효종 통밀 쑥 깜바뉴, 1개, 500g</t>
  </si>
  <si>
    <t>통밀흑임자깜빠뉴 530g</t>
  </si>
  <si>
    <t>발효종 통밀 흑임자 깜바뉴, 1개, 500g</t>
  </si>
  <si>
    <t>쌀 발효종 플레인식빵, 1개, 220g</t>
  </si>
  <si>
    <t>쌀 발효종 플레인 깜바뉴, 1개, 510g</t>
  </si>
  <si>
    <t>쌀 발효종 쑥 식빵, 1개, 220g</t>
  </si>
  <si>
    <t>쑥쌀깜바뉴 470g</t>
  </si>
  <si>
    <t>쌀 발효종 쑥 깜바뉴, 1개, 400g</t>
  </si>
  <si>
    <t>쌀 발효종 단호박 식빵, 1개, 220g</t>
  </si>
  <si>
    <t>모닝빵(6알)190g</t>
    <phoneticPr fontId="2" type="noConversion"/>
  </si>
  <si>
    <t>단호박쌀깜바뉴 470g</t>
  </si>
  <si>
    <t>쌀 발효종 단호박 깜바뉴, 1개, 400g</t>
  </si>
  <si>
    <t>쌀 발효종 얼그레이 식빵, 1개, 220g</t>
  </si>
  <si>
    <t>페페로니하라피뇨쌀깜바뉴 470g</t>
  </si>
  <si>
    <t>쌀 발효종 이탈리안 깜바뉴, 1개, 400g</t>
  </si>
  <si>
    <t>쌀 발효종 흑임자 식빵, 1개, 220g</t>
  </si>
  <si>
    <t>흑임자쌀깜바뉴 470g</t>
  </si>
  <si>
    <t>쌀 발효종 흑임자 깜바뉴, 1개, 400g</t>
  </si>
  <si>
    <t>얼그레이쌀치즈깜바뉴 470g</t>
  </si>
  <si>
    <t>쌀 발효종 얼그레이 치즈 깜바뉴, 1개, 400g</t>
  </si>
  <si>
    <t>플레인쌀식빵 250g</t>
  </si>
  <si>
    <t>쑥쌀식빵 250g</t>
  </si>
  <si>
    <t>페페로니하라피뇨쌀식빵 250g</t>
  </si>
  <si>
    <t>르방</t>
    <phoneticPr fontId="2" type="noConversion"/>
  </si>
  <si>
    <t>흑임자쌀식빵 250g</t>
  </si>
  <si>
    <t>호밀통밀바게트 380g</t>
  </si>
  <si>
    <t>에브리데이 발효종 호밀통밀 바게트,1개,640g(320*2)</t>
  </si>
  <si>
    <t>통밀</t>
    <phoneticPr fontId="2" type="noConversion"/>
  </si>
  <si>
    <t>소프트단호박가나슈치즈케이크, 1개, 140g</t>
  </si>
  <si>
    <t>쌀플레인플렛브레드105g</t>
  </si>
  <si>
    <t>저당 쌀 플랫 브레드, 1개, 352g(88*4)</t>
  </si>
  <si>
    <t>쌀할라피뇨플렛브레드105g</t>
  </si>
  <si>
    <t>저당 쌀 할라피뇨 플랫 브레드, 1개, 352g(88*4)</t>
  </si>
  <si>
    <t>호밀통밀플렛브레드110g</t>
  </si>
  <si>
    <t>저당 발효종 호밀통밀 플랫 브레드, 1개, 352g(88*4)</t>
  </si>
  <si>
    <t>순수통밀플렛브레드110g</t>
  </si>
  <si>
    <t>저당 발효종 통밀 플랫 브레드, 1개, 352g(88*4)</t>
  </si>
  <si>
    <t>B마트통밀잡곡빵 360g</t>
  </si>
  <si>
    <t>발효종순수통밀빵420g(1/2사이즈)</t>
  </si>
  <si>
    <t>발효종 고소한 호밀통밀빵, 1개, 380g</t>
  </si>
  <si>
    <t>먹물모닝 (쿠팡9알) 36g-38g</t>
  </si>
  <si>
    <t xml:space="preserve">올리브베이글 150g </t>
  </si>
  <si>
    <t>고소한 발효종소금빵150g (75g*2개)</t>
  </si>
  <si>
    <t>쿠키6종선물세트, 1세트, 600g</t>
  </si>
  <si>
    <t>동물쿠키3종세트, 1세트, 300g</t>
  </si>
  <si>
    <t>얼그레이버터쿠키, 1개, 100g</t>
  </si>
  <si>
    <t>버터쿠키 3종세트, 1세트, 300g</t>
  </si>
  <si>
    <t>카카오버터쿠키,1개,100g</t>
  </si>
  <si>
    <t>사브레마블쿠키 3종세트, 1세트, 300g</t>
  </si>
  <si>
    <t>고소한쿠키3종세트, 1세트, 300g</t>
  </si>
  <si>
    <t>고소한아몬드쿠키, 1개 180g</t>
  </si>
  <si>
    <t>설탕(유기농)</t>
    <phoneticPr fontId="2" type="noConversion"/>
  </si>
  <si>
    <t>버터</t>
    <phoneticPr fontId="2" type="noConversion"/>
  </si>
  <si>
    <t>생이스트</t>
    <phoneticPr fontId="2" type="noConversion"/>
  </si>
  <si>
    <t>전란</t>
    <phoneticPr fontId="2" type="noConversion"/>
  </si>
  <si>
    <t>올리브치아바타, 1개,160g</t>
    <phoneticPr fontId="2" type="noConversion"/>
  </si>
  <si>
    <t>포마스올리브유</t>
  </si>
  <si>
    <t>얼그레이파운드, 1개, 480g</t>
    <phoneticPr fontId="2" type="noConversion"/>
  </si>
  <si>
    <t>트리몰린</t>
    <phoneticPr fontId="2" type="noConversion"/>
  </si>
  <si>
    <t>우유</t>
    <phoneticPr fontId="2" type="noConversion"/>
  </si>
  <si>
    <t>얼그레이</t>
    <phoneticPr fontId="2" type="noConversion"/>
  </si>
  <si>
    <t>난황</t>
    <phoneticPr fontId="2" type="noConversion"/>
  </si>
  <si>
    <t>베이킹파우더</t>
    <phoneticPr fontId="2" type="noConversion"/>
  </si>
  <si>
    <t>럼</t>
    <phoneticPr fontId="2" type="noConversion"/>
  </si>
  <si>
    <t>오렌지필</t>
  </si>
  <si>
    <t>백설탕</t>
    <phoneticPr fontId="2" type="noConversion"/>
  </si>
  <si>
    <t>에프리코트혼당</t>
    <phoneticPr fontId="2" type="noConversion"/>
  </si>
  <si>
    <t>후르츠파운드, 1개, 480g</t>
    <phoneticPr fontId="2" type="noConversion"/>
  </si>
  <si>
    <t>건포도</t>
    <phoneticPr fontId="2" type="noConversion"/>
  </si>
  <si>
    <t>호두분태</t>
    <phoneticPr fontId="2" type="noConversion"/>
  </si>
  <si>
    <t>레몬필</t>
  </si>
  <si>
    <t>건살구</t>
    <phoneticPr fontId="2" type="noConversion"/>
  </si>
  <si>
    <t>프룬</t>
    <phoneticPr fontId="2" type="noConversion"/>
  </si>
  <si>
    <t>피스타치오</t>
    <phoneticPr fontId="2" type="noConversion"/>
  </si>
  <si>
    <t>통아몬드</t>
    <phoneticPr fontId="2" type="noConversion"/>
  </si>
  <si>
    <t>탕종</t>
    <phoneticPr fontId="2" type="noConversion"/>
  </si>
  <si>
    <t>W.P.C</t>
    <phoneticPr fontId="2" type="noConversion"/>
  </si>
  <si>
    <t>비엔나얼그레이버터쿠키, 100g (컬리)</t>
    <phoneticPr fontId="2" type="noConversion"/>
  </si>
  <si>
    <t>얼그레이</t>
    <phoneticPr fontId="2" type="noConversion"/>
  </si>
  <si>
    <t>귀여운치즈고슴도치, 100g (컬리)</t>
    <phoneticPr fontId="2" type="noConversion"/>
  </si>
  <si>
    <t>분말(치즈)</t>
    <phoneticPr fontId="2" type="noConversion"/>
  </si>
  <si>
    <t>통밀모닝(6알) 190g</t>
    <phoneticPr fontId="2" type="noConversion"/>
  </si>
  <si>
    <t>프락토올리고당</t>
  </si>
  <si>
    <t>통밀르방</t>
    <phoneticPr fontId="2" type="noConversion"/>
  </si>
  <si>
    <t>무화과파운드, 1개, 480g</t>
    <phoneticPr fontId="2" type="noConversion"/>
  </si>
  <si>
    <t>분당</t>
    <phoneticPr fontId="2" type="noConversion"/>
  </si>
  <si>
    <t>흑설탕</t>
    <phoneticPr fontId="2" type="noConversion"/>
  </si>
  <si>
    <t>난백</t>
    <phoneticPr fontId="2" type="noConversion"/>
  </si>
  <si>
    <t>바닐프로</t>
    <phoneticPr fontId="2" type="noConversion"/>
  </si>
  <si>
    <t>초코청크</t>
    <phoneticPr fontId="2" type="noConversion"/>
  </si>
  <si>
    <t>초코스콘 1개입, 80g</t>
    <phoneticPr fontId="2" type="noConversion"/>
  </si>
  <si>
    <t>레몬제스트</t>
    <phoneticPr fontId="2" type="noConversion"/>
  </si>
  <si>
    <t>정제수</t>
    <phoneticPr fontId="2" type="noConversion"/>
  </si>
  <si>
    <t>레몬주스</t>
    <phoneticPr fontId="2" type="noConversion"/>
  </si>
  <si>
    <t>얼그레이 품은 스콘 1개입, 80g</t>
    <phoneticPr fontId="2" type="noConversion"/>
  </si>
  <si>
    <t>생크림</t>
    <phoneticPr fontId="2" type="noConversion"/>
  </si>
  <si>
    <t>플레인 스콘 1개입, 80g</t>
    <phoneticPr fontId="2" type="noConversion"/>
  </si>
  <si>
    <t>플레인버터쿠키, 1개, 100g</t>
    <phoneticPr fontId="2" type="noConversion"/>
  </si>
  <si>
    <t>커피버터쿠키, 1개, 100g</t>
    <phoneticPr fontId="2" type="noConversion"/>
  </si>
  <si>
    <t>통밀르방</t>
    <phoneticPr fontId="2" type="noConversion"/>
  </si>
  <si>
    <t>물엿</t>
    <phoneticPr fontId="2" type="noConversion"/>
  </si>
  <si>
    <t>바질페스토</t>
    <phoneticPr fontId="2" type="noConversion"/>
  </si>
  <si>
    <t>허브믹스</t>
    <phoneticPr fontId="2" type="noConversion"/>
  </si>
  <si>
    <t>슬라이스치즈</t>
  </si>
  <si>
    <t>반건조토마토</t>
  </si>
  <si>
    <t>샤브레 디아만 100g</t>
    <phoneticPr fontId="2" type="noConversion"/>
  </si>
  <si>
    <t>위너스카카오 100g</t>
    <phoneticPr fontId="2" type="noConversion"/>
  </si>
  <si>
    <t>아몬드토끼쿠키, 1개, 180g</t>
    <phoneticPr fontId="2" type="noConversion"/>
  </si>
  <si>
    <t>비블리 귀요미토끼 쿠키 100g</t>
    <phoneticPr fontId="2" type="noConversion"/>
  </si>
  <si>
    <t>비블리 귀요미곰 쿠키 100g</t>
    <phoneticPr fontId="2" type="noConversion"/>
  </si>
  <si>
    <t>비블리 샤브레 쇼콜라 쿠키 100g</t>
    <phoneticPr fontId="2" type="noConversion"/>
  </si>
  <si>
    <t>통밀</t>
    <phoneticPr fontId="2" type="noConversion"/>
  </si>
  <si>
    <t>베이킹소다</t>
    <phoneticPr fontId="2" type="noConversion"/>
  </si>
  <si>
    <t>오트밀</t>
    <phoneticPr fontId="2" type="noConversion"/>
  </si>
  <si>
    <t>비블리 오트밀통밀쿠키, 100g</t>
    <phoneticPr fontId="2" type="noConversion"/>
  </si>
  <si>
    <t>통밀폴리쉬</t>
    <phoneticPr fontId="2" type="noConversion"/>
  </si>
  <si>
    <t>크랜베리깜빠뉴 120g(쿠팡3개,컬리2개)</t>
    <phoneticPr fontId="2" type="noConversion"/>
  </si>
  <si>
    <t>호밀</t>
    <phoneticPr fontId="2" type="noConversion"/>
  </si>
  <si>
    <t>발효종 르방</t>
    <phoneticPr fontId="2" type="noConversion"/>
  </si>
  <si>
    <t>발효종 아몬드크렌베리 깜바뉴, 1개, 240g</t>
    <phoneticPr fontId="2" type="noConversion"/>
  </si>
  <si>
    <t>사브레쇼콜라 쿠키, 1개, 100g</t>
    <phoneticPr fontId="2" type="noConversion"/>
  </si>
  <si>
    <t>탕종</t>
    <phoneticPr fontId="2" type="noConversion"/>
  </si>
  <si>
    <t>포도씨유</t>
    <phoneticPr fontId="2" type="noConversion"/>
  </si>
  <si>
    <t>두유</t>
    <phoneticPr fontId="2" type="noConversion"/>
  </si>
  <si>
    <t>두부</t>
    <phoneticPr fontId="2" type="noConversion"/>
  </si>
  <si>
    <t>폴리쉬</t>
    <phoneticPr fontId="2" type="noConversion"/>
  </si>
  <si>
    <t>발효종 순수모닝빵, 1봉(9알), 270g</t>
    <phoneticPr fontId="2" type="noConversion"/>
  </si>
  <si>
    <t>크라프트골드</t>
    <phoneticPr fontId="2" type="noConversion"/>
  </si>
  <si>
    <t>해바라기씨</t>
  </si>
  <si>
    <t>호박씨</t>
    <phoneticPr fontId="2" type="noConversion"/>
  </si>
  <si>
    <t>프롬위트 통밀올리브치아바타, 110g (비마트)</t>
    <phoneticPr fontId="2" type="noConversion"/>
  </si>
  <si>
    <t>발효종 올리브치아바타, 1개입, 110g</t>
    <phoneticPr fontId="2" type="noConversion"/>
  </si>
  <si>
    <t>건조파인애플다이스</t>
  </si>
  <si>
    <t>발효종 오징어먹물 통밀 크런치빵, 1개, 190g</t>
    <phoneticPr fontId="2" type="noConversion"/>
  </si>
  <si>
    <t>해바라기유</t>
    <phoneticPr fontId="2" type="noConversion"/>
  </si>
  <si>
    <t>에멘탈치즈</t>
  </si>
  <si>
    <t>모짜렐라치즈</t>
  </si>
  <si>
    <t>통밀탕종</t>
    <phoneticPr fontId="2" type="noConversion"/>
  </si>
  <si>
    <t>사브레통밀쿠키, 1개, 100g</t>
    <phoneticPr fontId="2" type="noConversion"/>
  </si>
  <si>
    <t>아몬드 크리스마스 데코키트 쿠키, 1개, 200g</t>
    <phoneticPr fontId="2" type="noConversion"/>
  </si>
  <si>
    <t>아트펜 그린</t>
  </si>
  <si>
    <t>아트펜 화이트</t>
  </si>
  <si>
    <t>아트펜 레드</t>
  </si>
  <si>
    <t>카카오 크리스마스 데코키트 쿠키, 1개, 200g</t>
    <phoneticPr fontId="2" type="noConversion"/>
  </si>
  <si>
    <t>바닐프로</t>
    <phoneticPr fontId="2" type="noConversion"/>
  </si>
  <si>
    <t>통밀</t>
    <phoneticPr fontId="2" type="noConversion"/>
  </si>
  <si>
    <t>팥앙금</t>
    <phoneticPr fontId="2" type="noConversion"/>
  </si>
  <si>
    <t>레몬제스트</t>
    <phoneticPr fontId="2" type="noConversion"/>
  </si>
  <si>
    <t>귀여운 레몬사자쿠키, 100g (컬리)</t>
    <phoneticPr fontId="2" type="noConversion"/>
  </si>
  <si>
    <t>귀여운 카카오 곰 쿠키, 100g (컬리)</t>
    <phoneticPr fontId="2" type="noConversion"/>
  </si>
  <si>
    <t>발효종 르방</t>
  </si>
  <si>
    <t>호두단팥빵,85g</t>
    <phoneticPr fontId="2" type="noConversion"/>
  </si>
  <si>
    <t>통밀폴리쉬</t>
    <phoneticPr fontId="2" type="noConversion"/>
  </si>
  <si>
    <t>에리스톨</t>
    <phoneticPr fontId="2" type="noConversion"/>
  </si>
  <si>
    <t>호박씨</t>
    <phoneticPr fontId="2" type="noConversion"/>
  </si>
  <si>
    <t>현미튀밥</t>
    <phoneticPr fontId="2" type="noConversion"/>
  </si>
  <si>
    <t>현미씨리얼</t>
    <phoneticPr fontId="2" type="noConversion"/>
  </si>
  <si>
    <t>사브레흑임자마블쿠키, 1개, 100g</t>
    <phoneticPr fontId="2" type="noConversion"/>
  </si>
  <si>
    <t>스프링클</t>
    <phoneticPr fontId="2" type="noConversion"/>
  </si>
  <si>
    <t>파슬리</t>
    <phoneticPr fontId="2" type="noConversion"/>
  </si>
  <si>
    <t>오트밀</t>
    <phoneticPr fontId="2" type="noConversion"/>
  </si>
  <si>
    <t>코코넛오일</t>
    <phoneticPr fontId="2" type="noConversion"/>
  </si>
  <si>
    <t>크림치즈</t>
    <phoneticPr fontId="2" type="noConversion"/>
  </si>
  <si>
    <t>옥수수전분</t>
    <phoneticPr fontId="2" type="noConversion"/>
  </si>
  <si>
    <t>라임주스</t>
  </si>
  <si>
    <t>냉동블루베리</t>
  </si>
  <si>
    <t>냉동딸기</t>
  </si>
  <si>
    <t>고소한코코넛쿠키, 1개, 100g</t>
    <phoneticPr fontId="2" type="noConversion"/>
  </si>
  <si>
    <t xml:space="preserve">비블리 고소한 코코넛 쿠키 100g </t>
    <phoneticPr fontId="2" type="noConversion"/>
  </si>
  <si>
    <t>고소한통밀오트밀쿠키, 1개, 100g</t>
    <phoneticPr fontId="2" type="noConversion"/>
  </si>
  <si>
    <t>사브레 더블초코녹차쿠키, 1개, 100g</t>
    <phoneticPr fontId="2" type="noConversion"/>
  </si>
  <si>
    <t>사브레 더블초코단호박쿠키, 1개, 100g</t>
    <phoneticPr fontId="2" type="noConversion"/>
  </si>
  <si>
    <t>사브레 더블딥초코쿠키, 1개, 100g</t>
    <phoneticPr fontId="2" type="noConversion"/>
  </si>
  <si>
    <t>딥블랙 코코아분말</t>
    <phoneticPr fontId="2" type="noConversion"/>
  </si>
  <si>
    <t>사브레 초코마블쿠키, 1개, 100g</t>
    <phoneticPr fontId="2" type="noConversion"/>
  </si>
  <si>
    <t>산딸기냉동퓨레</t>
  </si>
  <si>
    <t>사브레 라즈베리 마블쿠키, 1개, 100g</t>
    <phoneticPr fontId="2" type="noConversion"/>
  </si>
  <si>
    <t>강아지쿠키만들기세트(아몬드),1개,150g</t>
    <phoneticPr fontId="2" type="noConversion"/>
  </si>
  <si>
    <t>아트펜 다크</t>
  </si>
  <si>
    <t>강아지쿠키만들기세트(카카오),1개,150g</t>
    <phoneticPr fontId="2" type="noConversion"/>
  </si>
  <si>
    <t>유니콘쿠키만들기세트(아몬드),1개,150g</t>
    <phoneticPr fontId="2" type="noConversion"/>
  </si>
  <si>
    <t>아트펜 퍼플</t>
  </si>
  <si>
    <t>아트펜 핑크</t>
  </si>
  <si>
    <t>아트펜 옐로우</t>
  </si>
  <si>
    <t>유니콘쿠키만들기세트(카카오),1개,150g</t>
    <phoneticPr fontId="2" type="noConversion"/>
  </si>
  <si>
    <t>하트쿠키만들기세트(아몬드),1개,100g</t>
    <phoneticPr fontId="2" type="noConversion"/>
  </si>
  <si>
    <t>하트쿠키만들기세트(카카오),1개,100g</t>
    <phoneticPr fontId="2" type="noConversion"/>
  </si>
  <si>
    <t>브로드카세 저당 오트밀통밀식빵, 500g</t>
    <phoneticPr fontId="2" type="noConversion"/>
  </si>
  <si>
    <t>쌀르방</t>
    <phoneticPr fontId="2" type="noConversion"/>
  </si>
  <si>
    <t>쌀탕종</t>
    <phoneticPr fontId="2" type="noConversion"/>
  </si>
  <si>
    <t>소프트모카치즈케이크, 1개, 140g</t>
    <phoneticPr fontId="2" type="noConversion"/>
  </si>
  <si>
    <t>DY R</t>
    <phoneticPr fontId="2" type="noConversion"/>
  </si>
  <si>
    <t>발효종 저당 호밀통밀 바게트 , 320g*2개입</t>
  </si>
  <si>
    <t>캔디믹스필</t>
    <phoneticPr fontId="2" type="noConversion"/>
  </si>
  <si>
    <t>초콜릿</t>
    <phoneticPr fontId="2" type="noConversion"/>
  </si>
  <si>
    <t>발효종 저당 멀티그레인 통밀브레드, 360g</t>
  </si>
  <si>
    <t>프롬위트 까망치즈 모닝빵,180g(30g*6알)</t>
    <phoneticPr fontId="2" type="noConversion"/>
  </si>
  <si>
    <t>사브레크렌베리 쿠키, 1개, 100g</t>
    <phoneticPr fontId="2" type="noConversion"/>
  </si>
  <si>
    <t>크렌베리마카데미아쿠키, 1개, 100g</t>
    <phoneticPr fontId="2" type="noConversion"/>
  </si>
  <si>
    <t>카카오버터쿠키, 1개, 100g</t>
    <phoneticPr fontId="2" type="noConversion"/>
  </si>
  <si>
    <t>카카오곰쿠키, 1개, 100g</t>
    <phoneticPr fontId="2" type="noConversion"/>
  </si>
  <si>
    <t>레몬사자쿠키, 1개, 100g</t>
    <phoneticPr fontId="2" type="noConversion"/>
  </si>
  <si>
    <t>아몬드펭귄쿠키, 1개, 100g</t>
    <phoneticPr fontId="2" type="noConversion"/>
  </si>
  <si>
    <t>얼그레이버터쿠키, 1개, 100g</t>
    <phoneticPr fontId="2" type="noConversion"/>
  </si>
  <si>
    <t>카카오버터쿠키,1개,100g</t>
    <phoneticPr fontId="2" type="noConversion"/>
  </si>
  <si>
    <t>사브레더블초코쿠키 3종세트, 1세트, 300g</t>
    <phoneticPr fontId="2" type="noConversion"/>
  </si>
  <si>
    <t>고소한아몬드쿠키, 1개 100g</t>
    <phoneticPr fontId="2" type="noConversion"/>
  </si>
  <si>
    <t>발효종 부드러운 통밀식빵480g</t>
    <phoneticPr fontId="2" type="noConversion"/>
  </si>
  <si>
    <t>통밀</t>
    <phoneticPr fontId="2" type="noConversion"/>
  </si>
  <si>
    <t>생이스트</t>
    <phoneticPr fontId="2" type="noConversion"/>
  </si>
  <si>
    <t>우유</t>
    <phoneticPr fontId="2" type="noConversion"/>
  </si>
  <si>
    <t>몰트엑기스</t>
    <phoneticPr fontId="2" type="noConversion"/>
  </si>
  <si>
    <t>전란</t>
    <phoneticPr fontId="2" type="noConversion"/>
  </si>
  <si>
    <t>정제수</t>
    <phoneticPr fontId="2" type="noConversion"/>
  </si>
  <si>
    <t>버터</t>
    <phoneticPr fontId="2" type="noConversion"/>
  </si>
  <si>
    <t>I.S.P</t>
    <phoneticPr fontId="2" type="noConversion"/>
  </si>
  <si>
    <t>블랙라바  190g</t>
    <phoneticPr fontId="2" type="noConversion"/>
  </si>
  <si>
    <t>건조파파야다이스</t>
    <phoneticPr fontId="2" type="noConversion"/>
  </si>
  <si>
    <t>건포도</t>
    <phoneticPr fontId="2" type="noConversion"/>
  </si>
  <si>
    <t>발효종씨앗통밀베이글 3개입 330g</t>
    <phoneticPr fontId="2" type="noConversion"/>
  </si>
  <si>
    <t>발효종씨앗통밀베이글 1개입 110g</t>
    <phoneticPr fontId="2" type="noConversion"/>
  </si>
  <si>
    <t>에브리데이 발효종 그린&amp;블랙 올리브치아바타 450g</t>
    <phoneticPr fontId="2" type="noConversion"/>
  </si>
  <si>
    <t>유기농강력</t>
    <phoneticPr fontId="2" type="noConversion"/>
  </si>
  <si>
    <t>발효종 통밀 잡곡 크랜베리 빵 390g</t>
    <phoneticPr fontId="2" type="noConversion"/>
  </si>
  <si>
    <t>발효종 통밀 크랜베리 크림치즈 깜바뉴 310g</t>
    <phoneticPr fontId="2" type="noConversion"/>
  </si>
  <si>
    <t>크림치즈</t>
    <phoneticPr fontId="2" type="noConversion"/>
  </si>
  <si>
    <t>폴리쉬</t>
    <phoneticPr fontId="2" type="noConversion"/>
  </si>
  <si>
    <t>레몬주스</t>
    <phoneticPr fontId="2" type="noConversion"/>
  </si>
  <si>
    <t>발효종 카카오 통밀 크림치즈 깜바뉴 310g</t>
    <phoneticPr fontId="2" type="noConversion"/>
  </si>
  <si>
    <t>발효종 크림치즈 깜바뉴 310g</t>
    <phoneticPr fontId="2" type="noConversion"/>
  </si>
  <si>
    <t>발효종건포도호두식빵 500g</t>
    <phoneticPr fontId="2" type="noConversion"/>
  </si>
  <si>
    <t>탈지분유</t>
    <phoneticPr fontId="2" type="noConversion"/>
  </si>
  <si>
    <t>발효종 저당 순수 호밀통밀 식빵 550g</t>
    <phoneticPr fontId="2" type="noConversion"/>
  </si>
  <si>
    <t>호밀</t>
    <phoneticPr fontId="2" type="noConversion"/>
  </si>
  <si>
    <t>저당 호밀통밀포켓 브레드1 360g</t>
    <phoneticPr fontId="2" type="noConversion"/>
  </si>
  <si>
    <t>저당 통밀포켓브레드1 360g</t>
    <phoneticPr fontId="2" type="noConversion"/>
  </si>
  <si>
    <t>발효종 저당 통밀바게트 640g</t>
    <phoneticPr fontId="2" type="noConversion"/>
  </si>
  <si>
    <t>발효종 호밀잡곡 무화과피칸 깜바뉴 400g</t>
    <phoneticPr fontId="2" type="noConversion"/>
  </si>
  <si>
    <t>크라프트골드</t>
    <phoneticPr fontId="2" type="noConversion"/>
  </si>
  <si>
    <t>건크랜베리</t>
    <phoneticPr fontId="2" type="noConversion"/>
  </si>
  <si>
    <t>발효종 멀티그레인 호밀 크렌베리 깜바뉴 500g</t>
    <phoneticPr fontId="2" type="noConversion"/>
  </si>
  <si>
    <t>브로드카세 에브리데이 발효종 호밀잡곡브레드 380g</t>
    <phoneticPr fontId="2" type="noConversion"/>
  </si>
  <si>
    <t>에브리데이 발효종 호밀통밀 브레드640g</t>
    <phoneticPr fontId="2" type="noConversion"/>
  </si>
  <si>
    <t>브로드카세 에브리데이 발효종 호밀통밀브레드 380g</t>
    <phoneticPr fontId="2" type="noConversion"/>
  </si>
  <si>
    <t>발효종에브리데이저당그린올리브로즈마리깜바뉴 640g</t>
    <phoneticPr fontId="2" type="noConversion"/>
  </si>
  <si>
    <t>로즈마리</t>
    <phoneticPr fontId="2" type="noConversion"/>
  </si>
  <si>
    <t>발효종에브리데저당고소한옥수수깜바뉴640g</t>
    <phoneticPr fontId="2" type="noConversion"/>
  </si>
  <si>
    <t>스위트콘</t>
    <phoneticPr fontId="2" type="noConversion"/>
  </si>
  <si>
    <t>발효종 에브리데이 레이즌 깜바뉴 640g</t>
    <phoneticPr fontId="2" type="noConversion"/>
  </si>
  <si>
    <t>발효종 에브리데이 저당 흑임자 깜바뉴 640g</t>
    <phoneticPr fontId="2" type="noConversion"/>
  </si>
  <si>
    <t>검정깨</t>
    <phoneticPr fontId="2" type="noConversion"/>
  </si>
  <si>
    <t>발효종 에브리데이 건강 콩 깜바뉴 640g</t>
    <phoneticPr fontId="2" type="noConversion"/>
  </si>
  <si>
    <t>강낭콩배기</t>
    <phoneticPr fontId="2" type="noConversion"/>
  </si>
  <si>
    <t>발효종 저당 피칸 호밀통밀 깜바뉴 360g</t>
    <phoneticPr fontId="2" type="noConversion"/>
  </si>
  <si>
    <t>발효종 쑥 크렌베리 통밀식빵 490g</t>
    <phoneticPr fontId="2" type="noConversion"/>
  </si>
  <si>
    <t>발효종 흑임자 씨앗 통밀식빵490g</t>
    <phoneticPr fontId="2" type="noConversion"/>
  </si>
  <si>
    <t>호두분태</t>
    <phoneticPr fontId="2" type="noConversion"/>
  </si>
  <si>
    <t>통밀탕종</t>
    <phoneticPr fontId="2" type="noConversion"/>
  </si>
  <si>
    <t>발효종초코크렌베리 통밀깜바뉴 370g</t>
    <phoneticPr fontId="2" type="noConversion"/>
  </si>
  <si>
    <t>고소한 초코 통밀 깜바뉴500g</t>
    <phoneticPr fontId="2" type="noConversion"/>
  </si>
  <si>
    <t>발효종 카카오 통밀식빵550g</t>
    <phoneticPr fontId="2" type="noConversion"/>
  </si>
  <si>
    <t>브런치콜렉션 발효종 페페로니치즈올리브치아바타400g</t>
    <phoneticPr fontId="2" type="noConversion"/>
  </si>
  <si>
    <t>페파로니</t>
    <phoneticPr fontId="2" type="noConversion"/>
  </si>
  <si>
    <t>롤치즈</t>
    <phoneticPr fontId="2" type="noConversion"/>
  </si>
  <si>
    <t>할라페뇨</t>
    <phoneticPr fontId="2" type="noConversion"/>
  </si>
  <si>
    <t>브런치콜렉션 발효종크랜베리 햄치즈 치아바타 400g</t>
    <phoneticPr fontId="2" type="noConversion"/>
  </si>
  <si>
    <t>발효종 소금식빵 200g</t>
    <phoneticPr fontId="2" type="noConversion"/>
  </si>
  <si>
    <t>발효종 에브리데이 저당 플레인 바게트 480g</t>
    <phoneticPr fontId="2" type="noConversion"/>
  </si>
  <si>
    <t>발효종 저당통밀샌드위치브레드480g</t>
    <phoneticPr fontId="2" type="noConversion"/>
  </si>
  <si>
    <t>두유</t>
    <phoneticPr fontId="2" type="noConversion"/>
  </si>
  <si>
    <t>코코넛오일</t>
    <phoneticPr fontId="2" type="noConversion"/>
  </si>
  <si>
    <t>호박씨</t>
    <phoneticPr fontId="2" type="noConversion"/>
  </si>
  <si>
    <t>발효종 부드러운 호밀통밀식빵540g</t>
    <phoneticPr fontId="2" type="noConversion"/>
  </si>
  <si>
    <t>발효종 통밀식빵 590g</t>
    <phoneticPr fontId="2" type="noConversion"/>
  </si>
  <si>
    <t>설탕(유기농)</t>
    <phoneticPr fontId="2" type="noConversion"/>
  </si>
  <si>
    <t>발효종 통밀건강콩식빵500g</t>
    <phoneticPr fontId="2" type="noConversion"/>
  </si>
  <si>
    <t>발효종 통밀건강콩깜바뉴440g</t>
    <phoneticPr fontId="2" type="noConversion"/>
  </si>
  <si>
    <t>발효종통밀깜바뉴620g</t>
    <phoneticPr fontId="2" type="noConversion"/>
  </si>
  <si>
    <t>발효종 크렌베리 호두통밀식빵 500g</t>
    <phoneticPr fontId="2" type="noConversion"/>
  </si>
  <si>
    <t>발효종 크렌베리 호두통밀깜바뉴 440g</t>
    <phoneticPr fontId="2" type="noConversion"/>
  </si>
  <si>
    <t>크렌베리 호두 치즈깜바뉴 490g</t>
    <phoneticPr fontId="2" type="noConversion"/>
  </si>
  <si>
    <t>발효종 통밀 불고기 포카치아 피자빵 310g</t>
    <phoneticPr fontId="2" type="noConversion"/>
  </si>
  <si>
    <t>파마산</t>
    <phoneticPr fontId="2" type="noConversion"/>
  </si>
  <si>
    <t>발효종 통밀 페페로니 포카치아 피자빵 310g</t>
    <phoneticPr fontId="2" type="noConversion"/>
  </si>
  <si>
    <t>72시간 저당 호밀 사워도우 슬랩 800g</t>
    <phoneticPr fontId="2" type="noConversion"/>
  </si>
  <si>
    <t>72시간 저당 컨트리 통밀 깜빠뉴 820g</t>
    <phoneticPr fontId="2" type="noConversion"/>
  </si>
  <si>
    <t>72시간 저당 멀티그레인 컨트리 깜빠뉴 800g</t>
    <phoneticPr fontId="2" type="noConversion"/>
  </si>
  <si>
    <t>72시간 저당 사워도우 슬랩 900g</t>
    <phoneticPr fontId="2" type="noConversion"/>
  </si>
  <si>
    <t>엑스트라 버진 올리브오일</t>
  </si>
  <si>
    <t>72시간 저당 버터 사워도우 슬랩 820g</t>
    <phoneticPr fontId="2" type="noConversion"/>
  </si>
  <si>
    <t>72시간 저당 호밀통밀 사워도우 슬랩 880g</t>
    <phoneticPr fontId="2" type="noConversion"/>
  </si>
  <si>
    <t>72시간 저당 올리브 푸가스 400g</t>
    <phoneticPr fontId="2" type="noConversion"/>
  </si>
  <si>
    <t>홀그린올리브</t>
  </si>
  <si>
    <t>오레가노</t>
  </si>
  <si>
    <t>72시간 저당 토마토 푸가스 400g</t>
    <phoneticPr fontId="2" type="noConversion"/>
  </si>
  <si>
    <t>72시간 파네토네 카카오 230g</t>
    <phoneticPr fontId="2" type="noConversion"/>
  </si>
  <si>
    <t>72시간 파네토네 카카오 230g</t>
  </si>
  <si>
    <t>밀크초콜릿</t>
  </si>
  <si>
    <t>사양벌꿀</t>
  </si>
  <si>
    <t>바닐라빈 페이스트</t>
  </si>
  <si>
    <t>72시간 파네토네 유기농녹차 230g</t>
  </si>
  <si>
    <t>72시간 파네토네 클래식 280g</t>
    <phoneticPr fontId="2" type="noConversion"/>
  </si>
  <si>
    <t>72시간 숙성 크리스마스 파네토네, 560g</t>
    <phoneticPr fontId="2" type="noConversion"/>
  </si>
  <si>
    <t>카카오버터쿠키, 1개, 180g</t>
    <phoneticPr fontId="2" type="noConversion"/>
  </si>
  <si>
    <t>아침을 여는 저당 통밀 베스트 콜렉션,490g</t>
    <phoneticPr fontId="2" type="noConversion"/>
  </si>
  <si>
    <t>발효종콤비네이션베이글,1개,140g</t>
  </si>
  <si>
    <t>피자소스</t>
  </si>
  <si>
    <t>슬라이스햄</t>
  </si>
  <si>
    <t>발효종하와이언베이글,1개입,140g</t>
    <phoneticPr fontId="2" type="noConversion"/>
  </si>
  <si>
    <t>발효종쿼트로치즈베이글,1개입,140g</t>
    <phoneticPr fontId="2" type="noConversion"/>
  </si>
  <si>
    <t>발효종페페로니베이글,1개입,140g</t>
    <phoneticPr fontId="2" type="noConversion"/>
  </si>
  <si>
    <t>발효종콤비네이션베이글,3개입,420g</t>
    <phoneticPr fontId="2" type="noConversion"/>
  </si>
  <si>
    <t>발효종하와이언베이글3개입,420g</t>
    <phoneticPr fontId="2" type="noConversion"/>
  </si>
  <si>
    <t>발효종쿼트로치즈베이글3개입,420g</t>
    <phoneticPr fontId="2" type="noConversion"/>
  </si>
  <si>
    <t>발효종페페로니베이글,3개입,420g</t>
    <phoneticPr fontId="2" type="noConversion"/>
  </si>
  <si>
    <t>통밀호두단팥빵 2개입</t>
    <phoneticPr fontId="2" type="noConversion"/>
  </si>
  <si>
    <t>고소한아몬드쿠키, 1개 180g</t>
    <phoneticPr fontId="2" type="noConversion"/>
  </si>
  <si>
    <t>브런치콜렉션 발효종 바질치즈 치아바타 샌드위치 3개입,780g</t>
  </si>
  <si>
    <t>마요네즈</t>
  </si>
  <si>
    <t>할로윈쿠키 만들기 세트 (아몬드)</t>
    <phoneticPr fontId="2" type="noConversion"/>
  </si>
  <si>
    <t>아트펜 오렌지</t>
  </si>
  <si>
    <t>할로윈쿠키 만들기 세트 (카카오)</t>
    <phoneticPr fontId="2" type="noConversion"/>
  </si>
  <si>
    <t>프로틴 케이크 쑥스콘, 85g</t>
    <phoneticPr fontId="2" type="noConversion"/>
  </si>
  <si>
    <t>현미찹쌀</t>
  </si>
  <si>
    <t>프로틴 케이크 치즈스콘, 85g</t>
    <phoneticPr fontId="2" type="noConversion"/>
  </si>
  <si>
    <t>프로틴 케이크 플레인스콘, 85g</t>
    <phoneticPr fontId="2" type="noConversion"/>
  </si>
  <si>
    <t>미니쌀카스테라, 255g(85gx3개입)</t>
    <phoneticPr fontId="2" type="noConversion"/>
  </si>
  <si>
    <t>정종</t>
  </si>
  <si>
    <t>쌀카스테라, 230g</t>
    <phoneticPr fontId="2" type="noConversion"/>
  </si>
  <si>
    <t>발효종 저당 호밀통밀 브레드, 1개, 360g</t>
    <phoneticPr fontId="2" type="noConversion"/>
  </si>
  <si>
    <t>발효종 에브리데이 저당 호밀통밀바게트 320g</t>
    <phoneticPr fontId="2" type="noConversion"/>
  </si>
  <si>
    <t>발효종 에브리데이 저당 호밀통밀바게트 640g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</si>
</sst>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</numFmts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/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center" vertical="top"/>
    </xf>
    <xf numFmtId="176" fontId="0" fillId="0" borderId="5" xfId="0" applyNumberForma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4" xfId="0" applyBorder="1" applyAlignment="1">
      <alignment horizontal="center" vertical="center"/>
    </xf>
    <xf numFmtId="0" fontId="0" fillId="0" borderId="6" xfId="0" applyBorder="1">
      <alignment vertical="center"/>
    </xf>
    <xf numFmtId="176" fontId="0" fillId="0" borderId="6" xfId="0" applyNumberFormat="1" applyBorder="1">
      <alignment vertical="center"/>
    </xf>
    <xf numFmtId="177" fontId="0" fillId="0" borderId="6" xfId="0" applyNumberFormat="1" applyBorder="1">
      <alignment vertical="center"/>
    </xf>
    <xf numFmtId="177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176" fontId="0" fillId="3" borderId="8" xfId="0" applyNumberFormat="1" applyFill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9" xfId="0" applyBorder="1">
      <alignment vertical="center"/>
    </xf>
    <xf numFmtId="176" fontId="0" fillId="0" borderId="9" xfId="0" applyNumberFormat="1" applyBorder="1">
      <alignment vertical="center"/>
    </xf>
    <xf numFmtId="177" fontId="0" fillId="0" borderId="9" xfId="0" applyNumberFormat="1" applyBorder="1">
      <alignment vertical="center"/>
    </xf>
    <xf numFmtId="0" fontId="0" fillId="7" borderId="7" xfId="0" applyFill="1" applyBorder="1" applyAlignment="1">
      <alignment horizontal="center" vertical="center"/>
    </xf>
    <xf numFmtId="176" fontId="0" fillId="0" borderId="9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left" vertical="center"/>
    </xf>
    <xf numFmtId="0" fontId="0" fillId="8" borderId="9" xfId="0" applyFill="1" applyBorder="1">
      <alignment vertical="center"/>
    </xf>
    <xf numFmtId="176" fontId="0" fillId="8" borderId="9" xfId="0" applyNumberFormat="1" applyFill="1" applyBorder="1">
      <alignment vertical="center"/>
    </xf>
    <xf numFmtId="177" fontId="0" fillId="8" borderId="9" xfId="0" applyNumberFormat="1" applyFill="1" applyBorder="1">
      <alignment vertical="center"/>
    </xf>
    <xf numFmtId="0" fontId="0" fillId="6" borderId="9" xfId="0" applyFill="1" applyBorder="1">
      <alignment vertical="center"/>
    </xf>
    <xf numFmtId="177" fontId="0" fillId="6" borderId="9" xfId="0" applyNumberFormat="1" applyFill="1" applyBorder="1">
      <alignment vertical="center"/>
    </xf>
    <xf numFmtId="0" fontId="0" fillId="8" borderId="7" xfId="0" applyFill="1" applyBorder="1" applyAlignment="1">
      <alignment horizontal="center" vertical="center"/>
    </xf>
    <xf numFmtId="176" fontId="0" fillId="8" borderId="9" xfId="0" applyNumberFormat="1" applyFill="1" applyBorder="1" applyAlignment="1">
      <alignment horizontal="left" vertical="center"/>
    </xf>
    <xf numFmtId="0" fontId="0" fillId="6" borderId="10" xfId="0" applyFill="1" applyBorder="1" applyAlignment="1">
      <alignment horizontal="center" vertical="center"/>
    </xf>
    <xf numFmtId="176" fontId="0" fillId="3" borderId="11" xfId="0" applyNumberFormat="1" applyFill="1" applyBorder="1">
      <alignment vertical="center"/>
    </xf>
    <xf numFmtId="176" fontId="0" fillId="0" borderId="0" xfId="0" applyNumberFormat="1">
      <alignment vertical="center"/>
    </xf>
    <xf numFmtId="176" fontId="0" fillId="8" borderId="9" xfId="0" applyNumberFormat="1" applyFill="1" applyBorder="1" applyAlignment="1">
      <alignment horizontal="right" vertical="center"/>
    </xf>
    <xf numFmtId="176" fontId="0" fillId="8" borderId="9" xfId="0" applyNumberFormat="1" applyFill="1" applyBorder="1" applyAlignment="1">
      <alignment horizontal="right"/>
    </xf>
    <xf numFmtId="0" fontId="0" fillId="9" borderId="7" xfId="0" applyFill="1" applyBorder="1" applyAlignment="1">
      <alignment horizontal="center" vertical="center"/>
    </xf>
    <xf numFmtId="0" fontId="0" fillId="9" borderId="9" xfId="0" applyFill="1" applyBorder="1">
      <alignment vertical="center"/>
    </xf>
    <xf numFmtId="176" fontId="0" fillId="9" borderId="9" xfId="0" applyNumberFormat="1" applyFill="1" applyBorder="1">
      <alignment vertical="center"/>
    </xf>
    <xf numFmtId="177" fontId="0" fillId="9" borderId="9" xfId="0" applyNumberFormat="1" applyFill="1" applyBorder="1">
      <alignment vertical="center"/>
    </xf>
    <xf numFmtId="0" fontId="0" fillId="8" borderId="9" xfId="0" applyFill="1" applyBorder="1" applyAlignment="1">
      <alignment horizontal="left" vertical="center"/>
    </xf>
    <xf numFmtId="176" fontId="0" fillId="9" borderId="9" xfId="0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7" borderId="9" xfId="0" applyFill="1" applyBorder="1">
      <alignment vertical="center"/>
    </xf>
    <xf numFmtId="176" fontId="0" fillId="7" borderId="9" xfId="0" applyNumberFormat="1" applyFill="1" applyBorder="1">
      <alignment vertical="center"/>
    </xf>
    <xf numFmtId="177" fontId="0" fillId="7" borderId="9" xfId="0" applyNumberFormat="1" applyFill="1" applyBorder="1">
      <alignment vertical="center"/>
    </xf>
    <xf numFmtId="0" fontId="0" fillId="8" borderId="9" xfId="0" applyFill="1" applyBorder="1" applyAlignment="1">
      <alignment horizontal="center" vertical="center"/>
    </xf>
    <xf numFmtId="0" fontId="0" fillId="4" borderId="9" xfId="0" applyFill="1" applyBorder="1">
      <alignment vertical="center"/>
    </xf>
    <xf numFmtId="177" fontId="0" fillId="0" borderId="0" xfId="0" applyNumberFormat="1" applyAlignment="1">
      <alignment horizontal="center" vertical="center"/>
    </xf>
    <xf numFmtId="176" fontId="4" fillId="8" borderId="9" xfId="0" applyNumberFormat="1" applyFont="1" applyFill="1" applyBorder="1">
      <alignment vertical="center"/>
    </xf>
    <xf numFmtId="0" fontId="4" fillId="10" borderId="7" xfId="0" applyFont="1" applyFill="1" applyBorder="1" applyAlignment="1">
      <alignment horizontal="center" vertical="center"/>
    </xf>
    <xf numFmtId="176" fontId="4" fillId="0" borderId="9" xfId="0" applyNumberFormat="1" applyFont="1" applyBorder="1">
      <alignment vertical="center"/>
    </xf>
    <xf numFmtId="0" fontId="4" fillId="0" borderId="9" xfId="0" applyFont="1" applyBorder="1">
      <alignment vertical="center"/>
    </xf>
    <xf numFmtId="177" fontId="4" fillId="0" borderId="9" xfId="0" applyNumberFormat="1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4" fillId="10" borderId="9" xfId="0" applyFont="1" applyFill="1" applyBorder="1">
      <alignment vertical="center"/>
    </xf>
    <xf numFmtId="176" fontId="4" fillId="10" borderId="9" xfId="0" applyNumberFormat="1" applyFont="1" applyFill="1" applyBorder="1">
      <alignment vertical="center"/>
    </xf>
    <xf numFmtId="177" fontId="4" fillId="10" borderId="12" xfId="0" applyNumberFormat="1" applyFont="1" applyFill="1" applyBorder="1">
      <alignment vertical="center"/>
    </xf>
    <xf numFmtId="177" fontId="4" fillId="10" borderId="9" xfId="0" applyNumberFormat="1" applyFont="1" applyFill="1" applyBorder="1">
      <alignment vertical="center"/>
    </xf>
    <xf numFmtId="177" fontId="0" fillId="0" borderId="9" xfId="0" applyNumberFormat="1" applyBorder="1" applyAlignment="1">
      <alignment horizontal="center" vertical="center"/>
    </xf>
    <xf numFmtId="176" fontId="0" fillId="6" borderId="9" xfId="0" applyNumberFormat="1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>
      <alignment vertical="center"/>
    </xf>
    <xf numFmtId="177" fontId="0" fillId="0" borderId="13" xfId="0" applyNumberFormat="1" applyBorder="1">
      <alignment vertical="center"/>
    </xf>
    <xf numFmtId="0" fontId="0" fillId="9" borderId="14" xfId="0" applyFill="1" applyBorder="1">
      <alignment vertical="center"/>
    </xf>
    <xf numFmtId="0" fontId="0" fillId="8" borderId="14" xfId="0" applyFill="1" applyBorder="1">
      <alignment vertical="center"/>
    </xf>
    <xf numFmtId="0" fontId="0" fillId="0" borderId="14" xfId="0" applyBorder="1">
      <alignment vertical="center"/>
    </xf>
    <xf numFmtId="0" fontId="0" fillId="6" borderId="15" xfId="0" applyFill="1" applyBorder="1" applyAlignment="1">
      <alignment horizontal="left" vertical="center"/>
    </xf>
    <xf numFmtId="178" fontId="0" fillId="0" borderId="9" xfId="0" applyNumberFormat="1" applyBorder="1">
      <alignment vertical="center"/>
    </xf>
    <xf numFmtId="0" fontId="4" fillId="4" borderId="9" xfId="0" applyFont="1" applyFill="1" applyBorder="1">
      <alignment vertical="center"/>
    </xf>
    <xf numFmtId="176" fontId="0" fillId="4" borderId="9" xfId="0" applyNumberFormat="1" applyFill="1" applyBorder="1">
      <alignment vertical="center"/>
    </xf>
    <xf numFmtId="0" fontId="0" fillId="4" borderId="14" xfId="0" applyFill="1" applyBorder="1">
      <alignment vertical="center"/>
    </xf>
    <xf numFmtId="177" fontId="0" fillId="4" borderId="9" xfId="0" applyNumberFormat="1" applyFill="1" applyBorder="1">
      <alignment vertical="center"/>
    </xf>
    <xf numFmtId="178" fontId="0" fillId="9" borderId="9" xfId="0" applyNumberFormat="1" applyFill="1" applyBorder="1">
      <alignment vertical="center"/>
    </xf>
    <xf numFmtId="178" fontId="0" fillId="8" borderId="9" xfId="0" applyNumberFormat="1" applyFill="1" applyBorder="1">
      <alignment vertical="center"/>
    </xf>
    <xf numFmtId="178" fontId="0" fillId="4" borderId="9" xfId="0" applyNumberFormat="1" applyFill="1" applyBorder="1">
      <alignment vertical="center"/>
    </xf>
    <xf numFmtId="0" fontId="5" fillId="0" borderId="9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9" borderId="9" xfId="0" applyFont="1" applyFill="1" applyBorder="1">
      <alignment vertical="center"/>
    </xf>
    <xf numFmtId="176" fontId="5" fillId="9" borderId="9" xfId="0" applyNumberFormat="1" applyFont="1" applyFill="1" applyBorder="1">
      <alignment vertical="center"/>
    </xf>
    <xf numFmtId="0" fontId="5" fillId="9" borderId="14" xfId="0" applyFont="1" applyFill="1" applyBorder="1">
      <alignment vertical="center"/>
    </xf>
    <xf numFmtId="177" fontId="5" fillId="9" borderId="9" xfId="0" applyNumberFormat="1" applyFont="1" applyFill="1" applyBorder="1">
      <alignment vertical="center"/>
    </xf>
    <xf numFmtId="0" fontId="0" fillId="0" borderId="9" xfId="0" applyBorder="1" applyAlignment="1">
      <alignment vertical="center" wrapText="1"/>
    </xf>
    <xf numFmtId="176" fontId="0" fillId="0" borderId="13" xfId="0" applyNumberFormat="1" applyBorder="1">
      <alignment vertical="center"/>
    </xf>
    <xf numFmtId="0" fontId="0" fillId="7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14" xfId="0" applyFont="1" applyBorder="1">
      <alignment vertical="center"/>
    </xf>
    <xf numFmtId="0" fontId="0" fillId="0" borderId="9" xfId="0" applyBorder="1" applyAlignment="1">
      <alignment horizontal="right" vertical="center"/>
    </xf>
    <xf numFmtId="0" fontId="4" fillId="8" borderId="9" xfId="0" applyFont="1" applyFill="1" applyBorder="1">
      <alignment vertical="center"/>
    </xf>
    <xf numFmtId="177" fontId="4" fillId="8" borderId="9" xfId="0" applyNumberFormat="1" applyFont="1" applyFill="1" applyBorder="1">
      <alignment vertical="center"/>
    </xf>
    <xf numFmtId="43" fontId="4" fillId="8" borderId="9" xfId="0" applyNumberFormat="1" applyFont="1" applyFill="1" applyBorder="1">
      <alignment vertical="center"/>
    </xf>
    <xf numFmtId="0" fontId="0" fillId="4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4">
    <dxf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CEDAD-A881-43DE-842E-901087EF36A5}" name="표3_3" displayName="표3_3" ref="I1:J234" totalsRowShown="0" headerRowDxfId="3" dataDxfId="2">
  <autoFilter ref="I1:J234" xr:uid="{63EB7F16-8388-45A4-808B-0FD585B64864}"/>
  <sortState xmlns:xlrd2="http://schemas.microsoft.com/office/spreadsheetml/2017/richdata2" ref="I2:I174">
    <sortCondition descending="1" ref="I1:I174"/>
  </sortState>
  <tableColumns count="2">
    <tableColumn id="1" xr3:uid="{1E9D8B0A-BC16-4A69-BEF1-11AF8329C17C}" name="원재료" dataDxfId="1"/>
    <tableColumn id="2" xr3:uid="{B7A0D40D-2BCD-4281-95E4-9F657E5F3D13}" name="적정재고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12700"/>
      </a:spPr>
      <a:bodyPr vertOverflow="clip"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D150-9F05-4A5A-85F0-6015BE712E85}">
  <sheetPr codeName="Sheet4">
    <tabColor theme="9" tint="0.79998168889431442"/>
    <pageSetUpPr fitToPage="1"/>
  </sheetPr>
  <dimension ref="A1:L3192"/>
  <sheetViews>
    <sheetView showGridLines="0" tabSelected="1" zoomScaleNormal="100" workbookViewId="0">
      <selection activeCell="B2" sqref="B2"/>
    </sheetView>
  </sheetViews>
  <sheetFormatPr defaultRowHeight="16.5" x14ac:dyDescent="0.3"/>
  <cols>
    <col min="1" max="1" width="8.75" style="15" bestFit="1" customWidth="1"/>
    <col min="2" max="2" width="49.375" customWidth="1"/>
    <col min="3" max="3" width="21.25" hidden="1" customWidth="1"/>
    <col min="4" max="4" width="17.875" style="95" bestFit="1" customWidth="1"/>
    <col min="5" max="5" width="9.5" style="57" bestFit="1" customWidth="1"/>
    <col min="6" max="6" width="8.125" customWidth="1"/>
    <col min="7" max="7" width="13.875" style="94" customWidth="1"/>
    <col min="8" max="8" width="19.625" customWidth="1"/>
    <col min="9" max="9" width="22.875" style="15" customWidth="1"/>
    <col min="10" max="10" width="17.25" customWidth="1"/>
    <col min="11" max="11" width="42.25" customWidth="1"/>
    <col min="12" max="12" width="26.375" customWidth="1"/>
    <col min="14" max="14" width="13" bestFit="1" customWidth="1"/>
  </cols>
  <sheetData>
    <row r="1" spans="1:12" s="9" customFormat="1" ht="25.5" customHeight="1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6"/>
      <c r="I1" s="6" t="s">
        <v>3</v>
      </c>
      <c r="J1" s="6" t="s">
        <v>7</v>
      </c>
      <c r="K1" s="7" t="s">
        <v>8</v>
      </c>
      <c r="L1" s="8" t="s">
        <v>9</v>
      </c>
    </row>
    <row r="2" spans="1:12" x14ac:dyDescent="0.3">
      <c r="A2" s="10">
        <f>COUNTIFS($B$2:B2,B2)</f>
        <v>1</v>
      </c>
      <c r="B2" s="11" t="s">
        <v>10</v>
      </c>
      <c r="C2" s="12">
        <v>20060368076222</v>
      </c>
      <c r="D2" s="11" t="s">
        <v>11</v>
      </c>
      <c r="E2" s="13">
        <v>31.643293779216112</v>
      </c>
      <c r="F2" s="9"/>
      <c r="G2" s="14" t="str">
        <f t="shared" ref="G2:G65" si="0">IF(D2="","",IF(COUNTIF(I:I,D2)&gt;0,"O","X"))</f>
        <v>O</v>
      </c>
      <c r="H2" s="15"/>
      <c r="I2" s="16" t="s">
        <v>12</v>
      </c>
      <c r="J2" s="15">
        <v>10000</v>
      </c>
      <c r="K2" s="17" t="s">
        <v>13</v>
      </c>
      <c r="L2" s="18">
        <f t="shared" ref="L2:L65" si="1">VLOOKUP(K2,B:C,2,FALSE)</f>
        <v>20060368076222</v>
      </c>
    </row>
    <row r="3" spans="1:12" x14ac:dyDescent="0.3">
      <c r="A3" s="19">
        <f>COUNTIFS($B$2:B3,B3)</f>
        <v>2</v>
      </c>
      <c r="B3" s="20" t="s">
        <v>10</v>
      </c>
      <c r="C3" s="21">
        <v>20060368076222</v>
      </c>
      <c r="D3" s="20" t="s">
        <v>14</v>
      </c>
      <c r="E3" s="22">
        <v>14.311398777418196</v>
      </c>
      <c r="F3" s="9"/>
      <c r="G3" s="14" t="str">
        <f t="shared" si="0"/>
        <v>O</v>
      </c>
      <c r="H3" s="15"/>
      <c r="I3" s="16" t="s">
        <v>15</v>
      </c>
      <c r="J3" s="15"/>
      <c r="K3" s="17" t="s">
        <v>16</v>
      </c>
      <c r="L3" s="18">
        <f t="shared" si="1"/>
        <v>20060368076223</v>
      </c>
    </row>
    <row r="4" spans="1:12" x14ac:dyDescent="0.3">
      <c r="A4" s="19">
        <f>COUNTIFS($B$2:B4,B4)</f>
        <v>3</v>
      </c>
      <c r="B4" s="20" t="s">
        <v>10</v>
      </c>
      <c r="C4" s="21">
        <v>20060368076222</v>
      </c>
      <c r="D4" s="20" t="s">
        <v>17</v>
      </c>
      <c r="E4" s="22">
        <v>12.046026609133406</v>
      </c>
      <c r="F4" s="9"/>
      <c r="G4" s="14" t="str">
        <f t="shared" si="0"/>
        <v>O</v>
      </c>
      <c r="H4" s="15"/>
      <c r="I4" s="16" t="s">
        <v>18</v>
      </c>
      <c r="J4" s="15"/>
      <c r="K4" s="17" t="s">
        <v>19</v>
      </c>
      <c r="L4" s="18">
        <f t="shared" si="1"/>
        <v>20060368076224</v>
      </c>
    </row>
    <row r="5" spans="1:12" x14ac:dyDescent="0.3">
      <c r="A5" s="19">
        <f>COUNTIFS($B$2:B5,B5)</f>
        <v>4</v>
      </c>
      <c r="B5" s="20" t="s">
        <v>10</v>
      </c>
      <c r="C5" s="21">
        <v>20060368076222</v>
      </c>
      <c r="D5" s="20" t="s">
        <v>20</v>
      </c>
      <c r="E5" s="22">
        <v>14.311398777418196</v>
      </c>
      <c r="F5" s="9"/>
      <c r="G5" s="14" t="str">
        <f t="shared" si="0"/>
        <v>O</v>
      </c>
      <c r="H5" s="15"/>
      <c r="I5" s="16" t="s">
        <v>21</v>
      </c>
      <c r="J5" s="15"/>
      <c r="K5" s="17" t="s">
        <v>22</v>
      </c>
      <c r="L5" s="18">
        <f t="shared" si="1"/>
        <v>20060368076225</v>
      </c>
    </row>
    <row r="6" spans="1:12" x14ac:dyDescent="0.3">
      <c r="A6" s="19">
        <f>COUNTIFS($B$2:B6,B6)</f>
        <v>5</v>
      </c>
      <c r="B6" s="20" t="s">
        <v>10</v>
      </c>
      <c r="C6" s="21">
        <v>20060368076222</v>
      </c>
      <c r="D6" s="20" t="s">
        <v>23</v>
      </c>
      <c r="E6" s="22">
        <v>1.7979144192736427</v>
      </c>
      <c r="F6" s="9"/>
      <c r="G6" s="14" t="str">
        <f t="shared" si="0"/>
        <v>O</v>
      </c>
      <c r="H6" s="15"/>
      <c r="I6" s="16" t="s">
        <v>24</v>
      </c>
      <c r="J6" s="15"/>
      <c r="K6" s="17" t="s">
        <v>25</v>
      </c>
      <c r="L6" s="18">
        <f t="shared" si="1"/>
        <v>20060368076226</v>
      </c>
    </row>
    <row r="7" spans="1:12" x14ac:dyDescent="0.3">
      <c r="A7" s="19">
        <f>COUNTIFS($B$2:B7,B7)</f>
        <v>6</v>
      </c>
      <c r="B7" s="20" t="s">
        <v>10</v>
      </c>
      <c r="C7" s="21">
        <v>20060368076222</v>
      </c>
      <c r="D7" s="20" t="s">
        <v>26</v>
      </c>
      <c r="E7" s="22">
        <v>5.5735346997482926</v>
      </c>
      <c r="F7" s="9"/>
      <c r="G7" s="14" t="str">
        <f t="shared" si="0"/>
        <v>O</v>
      </c>
      <c r="H7" s="15"/>
      <c r="I7" s="16" t="s">
        <v>27</v>
      </c>
      <c r="J7" s="15"/>
      <c r="K7" s="17" t="s">
        <v>28</v>
      </c>
      <c r="L7" s="18">
        <f t="shared" si="1"/>
        <v>20060368076227</v>
      </c>
    </row>
    <row r="8" spans="1:12" x14ac:dyDescent="0.3">
      <c r="A8" s="19">
        <f>COUNTIFS($B$2:B8,B8)</f>
        <v>7</v>
      </c>
      <c r="B8" s="20" t="s">
        <v>10</v>
      </c>
      <c r="C8" s="21">
        <v>20060368076222</v>
      </c>
      <c r="D8" s="20" t="s">
        <v>29</v>
      </c>
      <c r="E8" s="22">
        <v>0.71916576770945706</v>
      </c>
      <c r="F8" s="9"/>
      <c r="G8" s="14" t="str">
        <f t="shared" si="0"/>
        <v>O</v>
      </c>
      <c r="H8" s="15"/>
      <c r="I8" s="16" t="s">
        <v>30</v>
      </c>
      <c r="J8" s="15"/>
      <c r="K8" s="17" t="s">
        <v>31</v>
      </c>
      <c r="L8" s="18">
        <f t="shared" si="1"/>
        <v>20060368076228</v>
      </c>
    </row>
    <row r="9" spans="1:12" x14ac:dyDescent="0.3">
      <c r="A9" s="19">
        <f>COUNTIFS($B$2:B9,B9)</f>
        <v>8</v>
      </c>
      <c r="B9" s="20" t="s">
        <v>10</v>
      </c>
      <c r="C9" s="21">
        <v>20060368076222</v>
      </c>
      <c r="D9" s="20" t="s">
        <v>32</v>
      </c>
      <c r="E9" s="22">
        <v>3.4160373966199211</v>
      </c>
      <c r="F9" s="9"/>
      <c r="G9" s="14" t="str">
        <f t="shared" si="0"/>
        <v>O</v>
      </c>
      <c r="H9" s="15"/>
      <c r="I9" s="16" t="s">
        <v>33</v>
      </c>
      <c r="J9" s="15"/>
      <c r="K9" s="17" t="s">
        <v>34</v>
      </c>
      <c r="L9" s="18">
        <f t="shared" si="1"/>
        <v>20060368076229</v>
      </c>
    </row>
    <row r="10" spans="1:12" x14ac:dyDescent="0.3">
      <c r="A10" s="19">
        <f>COUNTIFS($B$2:B10,B10)</f>
        <v>9</v>
      </c>
      <c r="B10" s="20" t="s">
        <v>10</v>
      </c>
      <c r="C10" s="21">
        <v>20060368076222</v>
      </c>
      <c r="D10" s="20" t="s">
        <v>35</v>
      </c>
      <c r="E10" s="22">
        <v>6.8320747932398422</v>
      </c>
      <c r="F10" s="9"/>
      <c r="G10" s="14" t="str">
        <f t="shared" si="0"/>
        <v>O</v>
      </c>
      <c r="H10" s="15"/>
      <c r="I10" s="16" t="s">
        <v>36</v>
      </c>
      <c r="J10" s="15"/>
      <c r="K10" s="17" t="s">
        <v>37</v>
      </c>
      <c r="L10" s="18">
        <f t="shared" si="1"/>
        <v>20060368076244</v>
      </c>
    </row>
    <row r="11" spans="1:12" x14ac:dyDescent="0.3">
      <c r="A11" s="19">
        <f>COUNTIFS($B$2:B11,B11)</f>
        <v>10</v>
      </c>
      <c r="B11" s="20" t="s">
        <v>10</v>
      </c>
      <c r="C11" s="21">
        <v>20060368076222</v>
      </c>
      <c r="D11" s="20" t="s">
        <v>38</v>
      </c>
      <c r="E11" s="22">
        <v>4.1352031643293783</v>
      </c>
      <c r="F11" s="9"/>
      <c r="G11" s="14" t="str">
        <f t="shared" si="0"/>
        <v>O</v>
      </c>
      <c r="H11" s="15"/>
      <c r="I11" s="16" t="s">
        <v>39</v>
      </c>
      <c r="J11" s="15"/>
      <c r="K11" s="17" t="s">
        <v>40</v>
      </c>
      <c r="L11" s="18">
        <f t="shared" si="1"/>
        <v>20060368076541</v>
      </c>
    </row>
    <row r="12" spans="1:12" x14ac:dyDescent="0.3">
      <c r="A12" s="19">
        <f>COUNTIFS($B$2:B12,B12)</f>
        <v>11</v>
      </c>
      <c r="B12" s="20" t="s">
        <v>10</v>
      </c>
      <c r="C12" s="21">
        <v>20060368076222</v>
      </c>
      <c r="D12" s="20" t="s">
        <v>41</v>
      </c>
      <c r="E12" s="22">
        <v>2.5170801869830997</v>
      </c>
      <c r="F12" s="9"/>
      <c r="G12" s="14" t="str">
        <f t="shared" si="0"/>
        <v>O</v>
      </c>
      <c r="H12" s="15"/>
      <c r="I12" s="16" t="s">
        <v>42</v>
      </c>
      <c r="J12" s="15"/>
      <c r="K12" s="17" t="s">
        <v>43</v>
      </c>
      <c r="L12" s="18" t="e">
        <f t="shared" si="1"/>
        <v>#N/A</v>
      </c>
    </row>
    <row r="13" spans="1:12" x14ac:dyDescent="0.3">
      <c r="A13" s="19">
        <f>COUNTIFS($B$2:B13,B13)</f>
        <v>12</v>
      </c>
      <c r="B13" s="20" t="s">
        <v>10</v>
      </c>
      <c r="C13" s="21">
        <v>20060368076222</v>
      </c>
      <c r="D13" s="20" t="s">
        <v>44</v>
      </c>
      <c r="E13" s="22">
        <v>2.6968716289104639</v>
      </c>
      <c r="F13" s="9"/>
      <c r="G13" s="14" t="str">
        <f t="shared" si="0"/>
        <v>O</v>
      </c>
      <c r="H13" s="15"/>
      <c r="I13" s="16" t="s">
        <v>45</v>
      </c>
      <c r="J13" s="15"/>
      <c r="K13" s="17" t="s">
        <v>46</v>
      </c>
      <c r="L13" s="18" t="e">
        <f t="shared" si="1"/>
        <v>#N/A</v>
      </c>
    </row>
    <row r="14" spans="1:12" x14ac:dyDescent="0.3">
      <c r="A14" s="19">
        <f>COUNTIFS($B$2:B14,B14)</f>
        <v>1</v>
      </c>
      <c r="B14" s="20" t="s">
        <v>47</v>
      </c>
      <c r="C14" s="21">
        <v>20060368076223</v>
      </c>
      <c r="D14" s="20" t="s">
        <v>11</v>
      </c>
      <c r="E14" s="22">
        <v>34.015151515151516</v>
      </c>
      <c r="F14" s="9"/>
      <c r="G14" s="14" t="str">
        <f t="shared" si="0"/>
        <v>O</v>
      </c>
      <c r="H14" s="15"/>
      <c r="I14" s="16" t="s">
        <v>48</v>
      </c>
      <c r="J14" s="15"/>
      <c r="K14" s="17" t="s">
        <v>49</v>
      </c>
      <c r="L14" s="18" t="e">
        <f t="shared" si="1"/>
        <v>#N/A</v>
      </c>
    </row>
    <row r="15" spans="1:12" x14ac:dyDescent="0.3">
      <c r="A15" s="19">
        <f>COUNTIFS($B$2:B15,B15)</f>
        <v>2</v>
      </c>
      <c r="B15" s="20" t="s">
        <v>47</v>
      </c>
      <c r="C15" s="21">
        <v>20060368076223</v>
      </c>
      <c r="D15" s="20" t="s">
        <v>14</v>
      </c>
      <c r="E15" s="22">
        <v>14.393939393939394</v>
      </c>
      <c r="F15" s="9"/>
      <c r="G15" s="14" t="str">
        <f t="shared" si="0"/>
        <v>O</v>
      </c>
      <c r="H15" s="15"/>
      <c r="I15" s="16" t="s">
        <v>50</v>
      </c>
      <c r="J15" s="15"/>
      <c r="K15" s="17" t="s">
        <v>51</v>
      </c>
      <c r="L15" s="18" t="e">
        <f t="shared" si="1"/>
        <v>#N/A</v>
      </c>
    </row>
    <row r="16" spans="1:12" x14ac:dyDescent="0.3">
      <c r="A16" s="19">
        <f>COUNTIFS($B$2:B16,B16)</f>
        <v>3</v>
      </c>
      <c r="B16" s="20" t="s">
        <v>47</v>
      </c>
      <c r="C16" s="21">
        <v>20060368076223</v>
      </c>
      <c r="D16" s="20" t="s">
        <v>17</v>
      </c>
      <c r="E16" s="22">
        <v>12.234848484848486</v>
      </c>
      <c r="F16" s="9"/>
      <c r="G16" s="14" t="str">
        <f t="shared" si="0"/>
        <v>O</v>
      </c>
      <c r="H16" s="15"/>
      <c r="I16" s="16" t="s">
        <v>52</v>
      </c>
      <c r="J16" s="15"/>
      <c r="K16" s="17" t="s">
        <v>53</v>
      </c>
      <c r="L16" s="18" t="e">
        <f t="shared" si="1"/>
        <v>#N/A</v>
      </c>
    </row>
    <row r="17" spans="1:12" x14ac:dyDescent="0.3">
      <c r="A17" s="19">
        <f>COUNTIFS($B$2:B17,B17)</f>
        <v>4</v>
      </c>
      <c r="B17" s="20" t="s">
        <v>47</v>
      </c>
      <c r="C17" s="21">
        <v>20060368076223</v>
      </c>
      <c r="D17" s="20" t="s">
        <v>20</v>
      </c>
      <c r="E17" s="22">
        <v>14.393939393939394</v>
      </c>
      <c r="F17" s="9"/>
      <c r="G17" s="14" t="str">
        <f t="shared" si="0"/>
        <v>O</v>
      </c>
      <c r="H17" s="15"/>
      <c r="I17" s="16" t="s">
        <v>54</v>
      </c>
      <c r="J17" s="15"/>
      <c r="K17" s="17" t="s">
        <v>55</v>
      </c>
      <c r="L17" s="18" t="e">
        <f t="shared" si="1"/>
        <v>#N/A</v>
      </c>
    </row>
    <row r="18" spans="1:12" x14ac:dyDescent="0.3">
      <c r="A18" s="19">
        <f>COUNTIFS($B$2:B18,B18)</f>
        <v>5</v>
      </c>
      <c r="B18" s="20" t="s">
        <v>47</v>
      </c>
      <c r="C18" s="21">
        <v>20060368076223</v>
      </c>
      <c r="D18" s="20" t="s">
        <v>23</v>
      </c>
      <c r="E18" s="22">
        <v>1.8181818181818183</v>
      </c>
      <c r="F18" s="9"/>
      <c r="G18" s="14" t="str">
        <f t="shared" si="0"/>
        <v>O</v>
      </c>
      <c r="H18" s="15"/>
      <c r="I18" s="16" t="s">
        <v>56</v>
      </c>
      <c r="J18" s="15"/>
      <c r="K18" s="17" t="s">
        <v>57</v>
      </c>
      <c r="L18" s="18" t="e">
        <f t="shared" si="1"/>
        <v>#N/A</v>
      </c>
    </row>
    <row r="19" spans="1:12" x14ac:dyDescent="0.3">
      <c r="A19" s="19">
        <f>COUNTIFS($B$2:B19,B19)</f>
        <v>6</v>
      </c>
      <c r="B19" s="20" t="s">
        <v>47</v>
      </c>
      <c r="C19" s="21">
        <v>20060368076223</v>
      </c>
      <c r="D19" s="20" t="s">
        <v>26</v>
      </c>
      <c r="E19" s="22">
        <v>5.6818181818181825</v>
      </c>
      <c r="F19" s="9"/>
      <c r="G19" s="14" t="str">
        <f t="shared" si="0"/>
        <v>O</v>
      </c>
      <c r="H19" s="15"/>
      <c r="I19" s="16" t="s">
        <v>58</v>
      </c>
      <c r="J19" s="15"/>
      <c r="K19" s="17" t="s">
        <v>59</v>
      </c>
      <c r="L19" s="18" t="e">
        <f t="shared" si="1"/>
        <v>#N/A</v>
      </c>
    </row>
    <row r="20" spans="1:12" x14ac:dyDescent="0.3">
      <c r="A20" s="19">
        <f>COUNTIFS($B$2:B20,B20)</f>
        <v>7</v>
      </c>
      <c r="B20" s="20" t="s">
        <v>47</v>
      </c>
      <c r="C20" s="21">
        <v>20060368076223</v>
      </c>
      <c r="D20" s="20" t="s">
        <v>29</v>
      </c>
      <c r="E20" s="22">
        <v>0.75757575757575757</v>
      </c>
      <c r="F20" s="9"/>
      <c r="G20" s="14" t="str">
        <f t="shared" si="0"/>
        <v>O</v>
      </c>
      <c r="H20" s="15"/>
      <c r="I20" s="16" t="s">
        <v>60</v>
      </c>
      <c r="J20" s="15"/>
      <c r="K20" s="17" t="s">
        <v>61</v>
      </c>
      <c r="L20" s="18" t="e">
        <f t="shared" si="1"/>
        <v>#N/A</v>
      </c>
    </row>
    <row r="21" spans="1:12" x14ac:dyDescent="0.3">
      <c r="A21" s="19">
        <f>COUNTIFS($B$2:B21,B21)</f>
        <v>8</v>
      </c>
      <c r="B21" s="20" t="s">
        <v>47</v>
      </c>
      <c r="C21" s="21">
        <v>20060368076223</v>
      </c>
      <c r="D21" s="20" t="s">
        <v>32</v>
      </c>
      <c r="E21" s="22">
        <v>3.5984848484848486</v>
      </c>
      <c r="F21" s="9"/>
      <c r="G21" s="14" t="str">
        <f t="shared" si="0"/>
        <v>O</v>
      </c>
      <c r="H21" s="15"/>
      <c r="I21" s="16" t="s">
        <v>62</v>
      </c>
      <c r="J21" s="15"/>
      <c r="K21" s="17" t="s">
        <v>63</v>
      </c>
      <c r="L21" s="18">
        <f t="shared" si="1"/>
        <v>20060368076254</v>
      </c>
    </row>
    <row r="22" spans="1:12" x14ac:dyDescent="0.3">
      <c r="A22" s="19">
        <f>COUNTIFS($B$2:B22,B22)</f>
        <v>9</v>
      </c>
      <c r="B22" s="20" t="s">
        <v>47</v>
      </c>
      <c r="C22" s="21">
        <v>20060368076223</v>
      </c>
      <c r="D22" s="20" t="s">
        <v>35</v>
      </c>
      <c r="E22" s="22">
        <v>5.6818181818181825</v>
      </c>
      <c r="F22" s="9"/>
      <c r="G22" s="14" t="str">
        <f t="shared" si="0"/>
        <v>O</v>
      </c>
      <c r="H22" s="15"/>
      <c r="I22" s="16" t="s">
        <v>64</v>
      </c>
      <c r="J22" s="15"/>
      <c r="K22" s="17" t="s">
        <v>65</v>
      </c>
      <c r="L22" s="18" t="e">
        <f t="shared" si="1"/>
        <v>#N/A</v>
      </c>
    </row>
    <row r="23" spans="1:12" x14ac:dyDescent="0.3">
      <c r="A23" s="19">
        <f>COUNTIFS($B$2:B23,B23)</f>
        <v>10</v>
      </c>
      <c r="B23" s="20" t="s">
        <v>47</v>
      </c>
      <c r="C23" s="21">
        <v>20060368076223</v>
      </c>
      <c r="D23" s="20" t="s">
        <v>66</v>
      </c>
      <c r="E23" s="22">
        <v>8.3333333333333339</v>
      </c>
      <c r="F23" s="9"/>
      <c r="G23" s="14" t="str">
        <f t="shared" si="0"/>
        <v>O</v>
      </c>
      <c r="H23" s="15"/>
      <c r="I23" s="16" t="s">
        <v>67</v>
      </c>
      <c r="J23" s="15"/>
      <c r="K23" s="17" t="s">
        <v>68</v>
      </c>
      <c r="L23" s="18">
        <f t="shared" si="1"/>
        <v>20060368076258</v>
      </c>
    </row>
    <row r="24" spans="1:12" x14ac:dyDescent="0.3">
      <c r="A24" s="19">
        <f>COUNTIFS($B$2:B24,B24)</f>
        <v>1</v>
      </c>
      <c r="B24" s="20" t="s">
        <v>69</v>
      </c>
      <c r="C24" s="21">
        <v>20060368076224</v>
      </c>
      <c r="D24" s="20" t="s">
        <v>11</v>
      </c>
      <c r="E24" s="22">
        <v>35.077519379844958</v>
      </c>
      <c r="F24" s="9"/>
      <c r="G24" s="14" t="str">
        <f t="shared" si="0"/>
        <v>O</v>
      </c>
      <c r="H24" s="15"/>
      <c r="I24" s="16" t="s">
        <v>70</v>
      </c>
      <c r="J24" s="15"/>
      <c r="K24" s="17" t="s">
        <v>71</v>
      </c>
      <c r="L24" s="18" t="e">
        <f t="shared" si="1"/>
        <v>#N/A</v>
      </c>
    </row>
    <row r="25" spans="1:12" x14ac:dyDescent="0.3">
      <c r="A25" s="19">
        <f>COUNTIFS($B$2:B25,B25)</f>
        <v>2</v>
      </c>
      <c r="B25" s="20" t="s">
        <v>69</v>
      </c>
      <c r="C25" s="21">
        <v>20060368076224</v>
      </c>
      <c r="D25" s="20" t="s">
        <v>14</v>
      </c>
      <c r="E25" s="22">
        <v>15.503875968992247</v>
      </c>
      <c r="F25" s="9"/>
      <c r="G25" s="14" t="str">
        <f t="shared" si="0"/>
        <v>O</v>
      </c>
      <c r="H25" s="15"/>
      <c r="I25" s="16" t="s">
        <v>72</v>
      </c>
      <c r="J25" s="15"/>
      <c r="K25" s="17" t="s">
        <v>73</v>
      </c>
      <c r="L25" s="18">
        <f t="shared" si="1"/>
        <v>20060368076260</v>
      </c>
    </row>
    <row r="26" spans="1:12" x14ac:dyDescent="0.3">
      <c r="A26" s="19">
        <f>COUNTIFS($B$2:B26,B26)</f>
        <v>3</v>
      </c>
      <c r="B26" s="20" t="s">
        <v>69</v>
      </c>
      <c r="C26" s="21">
        <v>20060368076224</v>
      </c>
      <c r="D26" s="20" t="s">
        <v>17</v>
      </c>
      <c r="E26" s="22">
        <v>13.178294573643409</v>
      </c>
      <c r="F26" s="9"/>
      <c r="G26" s="14" t="str">
        <f t="shared" si="0"/>
        <v>O</v>
      </c>
      <c r="H26" s="15"/>
      <c r="I26" s="16" t="s">
        <v>74</v>
      </c>
      <c r="J26" s="15"/>
      <c r="K26" s="17" t="s">
        <v>75</v>
      </c>
      <c r="L26" s="18">
        <f t="shared" si="1"/>
        <v>20060368076262</v>
      </c>
    </row>
    <row r="27" spans="1:12" x14ac:dyDescent="0.3">
      <c r="A27" s="19">
        <f>COUNTIFS($B$2:B27,B27)</f>
        <v>4</v>
      </c>
      <c r="B27" s="20" t="s">
        <v>69</v>
      </c>
      <c r="C27" s="21">
        <v>20060368076224</v>
      </c>
      <c r="D27" s="20" t="s">
        <v>23</v>
      </c>
      <c r="E27" s="22">
        <v>1.9379844961240309</v>
      </c>
      <c r="F27" s="9"/>
      <c r="G27" s="14" t="str">
        <f t="shared" si="0"/>
        <v>O</v>
      </c>
      <c r="H27" s="15"/>
      <c r="I27" s="16" t="s">
        <v>76</v>
      </c>
      <c r="J27" s="15"/>
      <c r="K27" s="17" t="s">
        <v>77</v>
      </c>
      <c r="L27" s="18">
        <f t="shared" si="1"/>
        <v>20060368076264</v>
      </c>
    </row>
    <row r="28" spans="1:12" x14ac:dyDescent="0.3">
      <c r="A28" s="19">
        <f>COUNTIFS($B$2:B28,B28)</f>
        <v>5</v>
      </c>
      <c r="B28" s="20" t="s">
        <v>69</v>
      </c>
      <c r="C28" s="21">
        <v>20060368076224</v>
      </c>
      <c r="D28" s="20" t="s">
        <v>20</v>
      </c>
      <c r="E28" s="22">
        <v>5.8139534883720927</v>
      </c>
      <c r="F28" s="9"/>
      <c r="G28" s="14" t="str">
        <f t="shared" si="0"/>
        <v>O</v>
      </c>
      <c r="H28" s="15"/>
      <c r="I28" s="16" t="s">
        <v>78</v>
      </c>
      <c r="J28" s="15"/>
      <c r="K28" s="17" t="s">
        <v>79</v>
      </c>
      <c r="L28" s="18" t="e">
        <f t="shared" si="1"/>
        <v>#N/A</v>
      </c>
    </row>
    <row r="29" spans="1:12" x14ac:dyDescent="0.3">
      <c r="A29" s="19">
        <f>COUNTIFS($B$2:B29,B29)</f>
        <v>6</v>
      </c>
      <c r="B29" s="20" t="s">
        <v>69</v>
      </c>
      <c r="C29" s="21">
        <v>20060368076224</v>
      </c>
      <c r="D29" s="20" t="s">
        <v>20</v>
      </c>
      <c r="E29" s="22">
        <v>9.6899224806201545</v>
      </c>
      <c r="F29" s="9"/>
      <c r="G29" s="14" t="str">
        <f t="shared" si="0"/>
        <v>O</v>
      </c>
      <c r="H29" s="15"/>
      <c r="I29" s="16" t="s">
        <v>80</v>
      </c>
      <c r="J29" s="15"/>
      <c r="K29" s="17" t="s">
        <v>81</v>
      </c>
      <c r="L29" s="18">
        <f t="shared" si="1"/>
        <v>20060368076266</v>
      </c>
    </row>
    <row r="30" spans="1:12" x14ac:dyDescent="0.3">
      <c r="A30" s="19">
        <f>COUNTIFS($B$2:B30,B30)</f>
        <v>7</v>
      </c>
      <c r="B30" s="20" t="s">
        <v>69</v>
      </c>
      <c r="C30" s="21">
        <v>20060368076224</v>
      </c>
      <c r="D30" s="20" t="s">
        <v>24</v>
      </c>
      <c r="E30" s="22">
        <v>0.77519379844961234</v>
      </c>
      <c r="F30" s="9"/>
      <c r="G30" s="14" t="str">
        <f t="shared" si="0"/>
        <v>O</v>
      </c>
      <c r="H30" s="15"/>
      <c r="I30" s="16" t="s">
        <v>82</v>
      </c>
      <c r="J30" s="15"/>
      <c r="K30" s="17" t="s">
        <v>83</v>
      </c>
      <c r="L30" s="18" t="e">
        <f t="shared" si="1"/>
        <v>#N/A</v>
      </c>
    </row>
    <row r="31" spans="1:12" x14ac:dyDescent="0.3">
      <c r="A31" s="19">
        <f>COUNTIFS($B$2:B31,B31)</f>
        <v>8</v>
      </c>
      <c r="B31" s="20" t="s">
        <v>69</v>
      </c>
      <c r="C31" s="21">
        <v>20060368076224</v>
      </c>
      <c r="D31" s="20" t="s">
        <v>26</v>
      </c>
      <c r="E31" s="22">
        <v>6.2015503875968987</v>
      </c>
      <c r="F31" s="9"/>
      <c r="G31" s="14" t="str">
        <f t="shared" si="0"/>
        <v>O</v>
      </c>
      <c r="H31" s="15"/>
      <c r="I31" s="16" t="s">
        <v>84</v>
      </c>
      <c r="J31" s="15"/>
      <c r="K31" s="17" t="s">
        <v>85</v>
      </c>
      <c r="L31" s="18">
        <f t="shared" si="1"/>
        <v>20060368076269</v>
      </c>
    </row>
    <row r="32" spans="1:12" x14ac:dyDescent="0.3">
      <c r="A32" s="19">
        <f>COUNTIFS($B$2:B32,B32)</f>
        <v>9</v>
      </c>
      <c r="B32" s="20" t="s">
        <v>69</v>
      </c>
      <c r="C32" s="21">
        <v>20060368076224</v>
      </c>
      <c r="D32" s="20" t="s">
        <v>29</v>
      </c>
      <c r="E32" s="22">
        <v>0.77519379844961234</v>
      </c>
      <c r="F32" s="9"/>
      <c r="G32" s="14" t="str">
        <f t="shared" si="0"/>
        <v>O</v>
      </c>
      <c r="H32" s="15"/>
      <c r="I32" s="16" t="s">
        <v>86</v>
      </c>
      <c r="J32" s="15"/>
      <c r="K32" s="17" t="s">
        <v>87</v>
      </c>
      <c r="L32" s="18" t="e">
        <f t="shared" si="1"/>
        <v>#N/A</v>
      </c>
    </row>
    <row r="33" spans="1:12" x14ac:dyDescent="0.3">
      <c r="A33" s="19">
        <f>COUNTIFS($B$2:B33,B33)</f>
        <v>10</v>
      </c>
      <c r="B33" s="20" t="s">
        <v>69</v>
      </c>
      <c r="C33" s="21">
        <v>20060368076224</v>
      </c>
      <c r="D33" s="20" t="s">
        <v>32</v>
      </c>
      <c r="E33" s="22">
        <v>3.8759689922480618</v>
      </c>
      <c r="F33" s="9"/>
      <c r="G33" s="14" t="str">
        <f t="shared" si="0"/>
        <v>O</v>
      </c>
      <c r="H33" s="15"/>
      <c r="I33" s="16" t="s">
        <v>88</v>
      </c>
      <c r="J33" s="15"/>
      <c r="K33" s="17" t="s">
        <v>89</v>
      </c>
      <c r="L33" s="18" t="e">
        <f t="shared" si="1"/>
        <v>#N/A</v>
      </c>
    </row>
    <row r="34" spans="1:12" x14ac:dyDescent="0.3">
      <c r="A34" s="19">
        <f>COUNTIFS($B$2:B34,B34)</f>
        <v>11</v>
      </c>
      <c r="B34" s="20" t="s">
        <v>69</v>
      </c>
      <c r="C34" s="21">
        <v>20060368076224</v>
      </c>
      <c r="D34" s="20" t="s">
        <v>35</v>
      </c>
      <c r="E34" s="22">
        <v>7.7519379844961236</v>
      </c>
      <c r="F34" s="9"/>
      <c r="G34" s="14" t="str">
        <f t="shared" si="0"/>
        <v>O</v>
      </c>
      <c r="H34" s="15"/>
      <c r="I34" s="16"/>
      <c r="J34" s="15"/>
      <c r="K34" s="17" t="s">
        <v>90</v>
      </c>
      <c r="L34" s="18">
        <f t="shared" si="1"/>
        <v>20060368076280</v>
      </c>
    </row>
    <row r="35" spans="1:12" x14ac:dyDescent="0.3">
      <c r="A35" s="19">
        <f>COUNTIFS($B$2:B35,B35)</f>
        <v>1</v>
      </c>
      <c r="B35" s="20" t="s">
        <v>91</v>
      </c>
      <c r="C35" s="21">
        <v>20060368076225</v>
      </c>
      <c r="D35" s="20" t="s">
        <v>11</v>
      </c>
      <c r="E35" s="22">
        <v>33.25626204238921</v>
      </c>
      <c r="F35" s="9"/>
      <c r="G35" s="14" t="str">
        <f t="shared" si="0"/>
        <v>O</v>
      </c>
      <c r="H35" s="15"/>
      <c r="I35" s="16" t="s">
        <v>92</v>
      </c>
      <c r="J35" s="15"/>
      <c r="K35" s="17" t="s">
        <v>93</v>
      </c>
      <c r="L35" s="18" t="e">
        <f t="shared" si="1"/>
        <v>#N/A</v>
      </c>
    </row>
    <row r="36" spans="1:12" x14ac:dyDescent="0.3">
      <c r="A36" s="19">
        <f>COUNTIFS($B$2:B36,B36)</f>
        <v>2</v>
      </c>
      <c r="B36" s="20" t="s">
        <v>91</v>
      </c>
      <c r="C36" s="21">
        <v>20060368076225</v>
      </c>
      <c r="D36" s="20" t="s">
        <v>14</v>
      </c>
      <c r="E36" s="22">
        <v>16.49325626204239</v>
      </c>
      <c r="F36" s="9"/>
      <c r="G36" s="14" t="str">
        <f t="shared" si="0"/>
        <v>O</v>
      </c>
      <c r="H36" s="15"/>
      <c r="I36" s="16" t="s">
        <v>94</v>
      </c>
      <c r="J36" s="15"/>
      <c r="K36" s="17" t="s">
        <v>95</v>
      </c>
      <c r="L36" s="18" t="e">
        <f t="shared" si="1"/>
        <v>#N/A</v>
      </c>
    </row>
    <row r="37" spans="1:12" x14ac:dyDescent="0.3">
      <c r="A37" s="19">
        <f>COUNTIFS($B$2:B37,B37)</f>
        <v>3</v>
      </c>
      <c r="B37" s="20" t="s">
        <v>91</v>
      </c>
      <c r="C37" s="21">
        <v>20060368076225</v>
      </c>
      <c r="D37" s="20" t="s">
        <v>17</v>
      </c>
      <c r="E37" s="22">
        <v>12.447013487475916</v>
      </c>
      <c r="F37" s="9"/>
      <c r="G37" s="14" t="str">
        <f t="shared" si="0"/>
        <v>O</v>
      </c>
      <c r="H37" s="15"/>
      <c r="I37" s="16" t="s">
        <v>96</v>
      </c>
      <c r="J37" s="15"/>
      <c r="K37" s="17" t="s">
        <v>97</v>
      </c>
      <c r="L37" s="18">
        <f t="shared" si="1"/>
        <v>20060368076307</v>
      </c>
    </row>
    <row r="38" spans="1:12" x14ac:dyDescent="0.3">
      <c r="A38" s="19">
        <f>COUNTIFS($B$2:B38,B38)</f>
        <v>4</v>
      </c>
      <c r="B38" s="20" t="s">
        <v>91</v>
      </c>
      <c r="C38" s="21">
        <v>20060368076225</v>
      </c>
      <c r="D38" s="20" t="s">
        <v>20</v>
      </c>
      <c r="E38" s="22">
        <v>5.0096339113680157</v>
      </c>
      <c r="F38" s="9"/>
      <c r="G38" s="14" t="str">
        <f t="shared" si="0"/>
        <v>O</v>
      </c>
      <c r="H38" s="15"/>
      <c r="I38" s="16" t="s">
        <v>98</v>
      </c>
      <c r="J38" s="15"/>
      <c r="K38" s="17" t="s">
        <v>99</v>
      </c>
      <c r="L38" s="18">
        <f t="shared" si="1"/>
        <v>20060368076308</v>
      </c>
    </row>
    <row r="39" spans="1:12" x14ac:dyDescent="0.3">
      <c r="A39" s="19">
        <f>COUNTIFS($B$2:B39,B39)</f>
        <v>5</v>
      </c>
      <c r="B39" s="20" t="s">
        <v>91</v>
      </c>
      <c r="C39" s="21">
        <v>20060368076225</v>
      </c>
      <c r="D39" s="20" t="s">
        <v>23</v>
      </c>
      <c r="E39" s="22">
        <v>1.8497109826589593</v>
      </c>
      <c r="F39" s="9"/>
      <c r="G39" s="14" t="str">
        <f t="shared" si="0"/>
        <v>O</v>
      </c>
      <c r="H39" s="15"/>
      <c r="I39" s="16"/>
      <c r="J39" s="15"/>
      <c r="K39" s="17" t="s">
        <v>100</v>
      </c>
      <c r="L39" s="18">
        <f t="shared" si="1"/>
        <v>20060368076327</v>
      </c>
    </row>
    <row r="40" spans="1:12" x14ac:dyDescent="0.3">
      <c r="A40" s="19">
        <f>COUNTIFS($B$2:B40,B40)</f>
        <v>6</v>
      </c>
      <c r="B40" s="20" t="s">
        <v>91</v>
      </c>
      <c r="C40" s="21">
        <v>20060368076225</v>
      </c>
      <c r="D40" s="20" t="s">
        <v>20</v>
      </c>
      <c r="E40" s="22">
        <v>9.6339113680154149</v>
      </c>
      <c r="F40" s="9"/>
      <c r="G40" s="14" t="str">
        <f t="shared" si="0"/>
        <v>O</v>
      </c>
      <c r="H40" s="15"/>
      <c r="I40" s="16"/>
      <c r="J40" s="15"/>
      <c r="K40" s="17" t="s">
        <v>101</v>
      </c>
      <c r="L40" s="18" t="e">
        <f t="shared" si="1"/>
        <v>#N/A</v>
      </c>
    </row>
    <row r="41" spans="1:12" x14ac:dyDescent="0.3">
      <c r="A41" s="19">
        <f>COUNTIFS($B$2:B41,B41)</f>
        <v>7</v>
      </c>
      <c r="B41" s="20" t="s">
        <v>91</v>
      </c>
      <c r="C41" s="21">
        <v>20060368076225</v>
      </c>
      <c r="D41" s="20" t="s">
        <v>102</v>
      </c>
      <c r="E41" s="22">
        <v>3.660886319845857</v>
      </c>
      <c r="F41" s="9"/>
      <c r="G41" s="14" t="str">
        <f t="shared" si="0"/>
        <v>O</v>
      </c>
      <c r="H41" s="15"/>
      <c r="I41" s="16" t="s">
        <v>103</v>
      </c>
      <c r="J41" s="15"/>
      <c r="K41" s="17" t="s">
        <v>104</v>
      </c>
      <c r="L41" s="18" t="e">
        <f t="shared" si="1"/>
        <v>#N/A</v>
      </c>
    </row>
    <row r="42" spans="1:12" x14ac:dyDescent="0.3">
      <c r="A42" s="19">
        <f>COUNTIFS($B$2:B42,B42)</f>
        <v>8</v>
      </c>
      <c r="B42" s="20" t="s">
        <v>91</v>
      </c>
      <c r="C42" s="21">
        <v>20060368076225</v>
      </c>
      <c r="D42" s="20" t="s">
        <v>26</v>
      </c>
      <c r="E42" s="22">
        <v>5.8959537572254339</v>
      </c>
      <c r="F42" s="9"/>
      <c r="G42" s="14" t="str">
        <f t="shared" si="0"/>
        <v>O</v>
      </c>
      <c r="H42" s="15"/>
      <c r="I42" s="16"/>
      <c r="J42" s="15"/>
      <c r="K42" s="17" t="s">
        <v>105</v>
      </c>
      <c r="L42" s="18" t="e">
        <f t="shared" si="1"/>
        <v>#N/A</v>
      </c>
    </row>
    <row r="43" spans="1:12" x14ac:dyDescent="0.3">
      <c r="A43" s="19">
        <f>COUNTIFS($B$2:B43,B43)</f>
        <v>9</v>
      </c>
      <c r="B43" s="20" t="s">
        <v>91</v>
      </c>
      <c r="C43" s="21">
        <v>20060368076225</v>
      </c>
      <c r="D43" s="20" t="s">
        <v>29</v>
      </c>
      <c r="E43" s="22">
        <v>0.77071290944123316</v>
      </c>
      <c r="F43" s="9"/>
      <c r="G43" s="14" t="str">
        <f t="shared" si="0"/>
        <v>O</v>
      </c>
      <c r="H43" s="15"/>
      <c r="I43" s="16" t="s">
        <v>106</v>
      </c>
      <c r="J43" s="15"/>
      <c r="K43" s="17" t="s">
        <v>107</v>
      </c>
      <c r="L43" s="18" t="e">
        <f t="shared" si="1"/>
        <v>#N/A</v>
      </c>
    </row>
    <row r="44" spans="1:12" x14ac:dyDescent="0.3">
      <c r="A44" s="19">
        <f>COUNTIFS($B$2:B44,B44)</f>
        <v>10</v>
      </c>
      <c r="B44" s="20" t="s">
        <v>91</v>
      </c>
      <c r="C44" s="21">
        <v>20060368076225</v>
      </c>
      <c r="D44" s="20" t="s">
        <v>32</v>
      </c>
      <c r="E44" s="22">
        <v>3.660886319845857</v>
      </c>
      <c r="F44" s="9"/>
      <c r="G44" s="14" t="str">
        <f t="shared" si="0"/>
        <v>O</v>
      </c>
      <c r="H44" s="15"/>
      <c r="I44" s="16" t="s">
        <v>108</v>
      </c>
      <c r="J44" s="15"/>
      <c r="K44" s="17" t="s">
        <v>109</v>
      </c>
      <c r="L44" s="18">
        <f t="shared" si="1"/>
        <v>20060368076451</v>
      </c>
    </row>
    <row r="45" spans="1:12" x14ac:dyDescent="0.3">
      <c r="A45" s="19">
        <f>COUNTIFS($B$2:B45,B45)</f>
        <v>11</v>
      </c>
      <c r="B45" s="20" t="s">
        <v>91</v>
      </c>
      <c r="C45" s="21">
        <v>20060368076225</v>
      </c>
      <c r="D45" s="20" t="s">
        <v>35</v>
      </c>
      <c r="E45" s="22">
        <v>7.321772639691714</v>
      </c>
      <c r="F45" s="9"/>
      <c r="G45" s="14" t="str">
        <f t="shared" si="0"/>
        <v>O</v>
      </c>
      <c r="H45" s="15"/>
      <c r="I45" s="16"/>
      <c r="J45" s="15"/>
      <c r="K45" s="17" t="s">
        <v>110</v>
      </c>
      <c r="L45" s="18">
        <f t="shared" si="1"/>
        <v>20060368076445</v>
      </c>
    </row>
    <row r="46" spans="1:12" x14ac:dyDescent="0.3">
      <c r="A46" s="19">
        <f>COUNTIFS($B$2:B46,B46)</f>
        <v>12</v>
      </c>
      <c r="B46" s="20" t="s">
        <v>91</v>
      </c>
      <c r="C46" s="21">
        <v>20060368076225</v>
      </c>
      <c r="D46" s="20" t="s">
        <v>41</v>
      </c>
      <c r="E46" s="22">
        <v>2.7131782945736433</v>
      </c>
      <c r="F46" s="9"/>
      <c r="G46" s="14" t="str">
        <f t="shared" si="0"/>
        <v>O</v>
      </c>
      <c r="H46" s="15"/>
      <c r="I46" s="16" t="s">
        <v>111</v>
      </c>
      <c r="J46" s="15"/>
      <c r="K46" s="17" t="s">
        <v>112</v>
      </c>
      <c r="L46" s="18">
        <f t="shared" si="1"/>
        <v>20060368076458</v>
      </c>
    </row>
    <row r="47" spans="1:12" x14ac:dyDescent="0.3">
      <c r="A47" s="19">
        <f>COUNTIFS($B$2:B47,B47)</f>
        <v>1</v>
      </c>
      <c r="B47" s="20" t="s">
        <v>113</v>
      </c>
      <c r="C47" s="21">
        <v>20060368076226</v>
      </c>
      <c r="D47" s="20" t="s">
        <v>11</v>
      </c>
      <c r="E47" s="22">
        <v>30.714817572598662</v>
      </c>
      <c r="F47" s="9"/>
      <c r="G47" s="14" t="str">
        <f t="shared" si="0"/>
        <v>O</v>
      </c>
      <c r="H47" s="15"/>
      <c r="I47" s="16" t="s">
        <v>114</v>
      </c>
      <c r="J47" s="15"/>
      <c r="K47" s="17" t="s">
        <v>115</v>
      </c>
      <c r="L47" s="18">
        <f t="shared" si="1"/>
        <v>200603680764581</v>
      </c>
    </row>
    <row r="48" spans="1:12" x14ac:dyDescent="0.3">
      <c r="A48" s="19">
        <f>COUNTIFS($B$2:B48,B48)</f>
        <v>2</v>
      </c>
      <c r="B48" s="20" t="s">
        <v>113</v>
      </c>
      <c r="C48" s="21">
        <v>20060368076226</v>
      </c>
      <c r="D48" s="20" t="s">
        <v>14</v>
      </c>
      <c r="E48" s="22">
        <v>16.381236038719287</v>
      </c>
      <c r="F48" s="9"/>
      <c r="G48" s="14" t="str">
        <f t="shared" si="0"/>
        <v>O</v>
      </c>
      <c r="H48" s="15"/>
      <c r="I48" s="16" t="s">
        <v>116</v>
      </c>
      <c r="J48" s="15"/>
      <c r="K48" s="17" t="s">
        <v>117</v>
      </c>
      <c r="L48" s="18">
        <f t="shared" si="1"/>
        <v>20060368076459</v>
      </c>
    </row>
    <row r="49" spans="1:12" x14ac:dyDescent="0.3">
      <c r="A49" s="19">
        <f>COUNTIFS($B$2:B49,B49)</f>
        <v>3</v>
      </c>
      <c r="B49" s="20" t="s">
        <v>113</v>
      </c>
      <c r="C49" s="21">
        <v>20060368076226</v>
      </c>
      <c r="D49" s="20" t="s">
        <v>17</v>
      </c>
      <c r="E49" s="22">
        <v>11.169024571854058</v>
      </c>
      <c r="F49" s="9"/>
      <c r="G49" s="14" t="str">
        <f t="shared" si="0"/>
        <v>O</v>
      </c>
      <c r="H49" s="15"/>
      <c r="I49" s="16" t="s">
        <v>118</v>
      </c>
      <c r="J49" s="15"/>
      <c r="K49" s="17" t="s">
        <v>119</v>
      </c>
      <c r="L49" s="18">
        <f t="shared" si="1"/>
        <v>200603680764591</v>
      </c>
    </row>
    <row r="50" spans="1:12" x14ac:dyDescent="0.3">
      <c r="A50" s="19">
        <f>COUNTIFS($B$2:B50,B50)</f>
        <v>4</v>
      </c>
      <c r="B50" s="20" t="s">
        <v>113</v>
      </c>
      <c r="C50" s="21">
        <v>20060368076226</v>
      </c>
      <c r="D50" s="20" t="s">
        <v>20</v>
      </c>
      <c r="E50" s="22">
        <v>11.727475800446761</v>
      </c>
      <c r="F50" s="9"/>
      <c r="G50" s="14" t="str">
        <f t="shared" si="0"/>
        <v>O</v>
      </c>
      <c r="H50" s="15"/>
      <c r="I50" s="16" t="s">
        <v>120</v>
      </c>
      <c r="J50" s="15"/>
      <c r="K50" s="17" t="s">
        <v>121</v>
      </c>
      <c r="L50" s="18">
        <f t="shared" si="1"/>
        <v>20060368076460</v>
      </c>
    </row>
    <row r="51" spans="1:12" x14ac:dyDescent="0.3">
      <c r="A51" s="19">
        <f>COUNTIFS($B$2:B51,B51)</f>
        <v>5</v>
      </c>
      <c r="B51" s="20" t="s">
        <v>113</v>
      </c>
      <c r="C51" s="21">
        <v>20060368076226</v>
      </c>
      <c r="D51" s="20" t="s">
        <v>23</v>
      </c>
      <c r="E51" s="22">
        <v>1.8615040953090094</v>
      </c>
      <c r="F51" s="9"/>
      <c r="G51" s="14" t="str">
        <f t="shared" si="0"/>
        <v>O</v>
      </c>
      <c r="H51" s="15"/>
      <c r="I51" s="16" t="s">
        <v>122</v>
      </c>
      <c r="J51" s="15"/>
      <c r="K51" s="17" t="s">
        <v>123</v>
      </c>
      <c r="L51" s="18">
        <f t="shared" si="1"/>
        <v>200603680764601</v>
      </c>
    </row>
    <row r="52" spans="1:12" x14ac:dyDescent="0.3">
      <c r="A52" s="19">
        <f>COUNTIFS($B$2:B52,B52)</f>
        <v>6</v>
      </c>
      <c r="B52" s="20" t="s">
        <v>113</v>
      </c>
      <c r="C52" s="21">
        <v>20060368076226</v>
      </c>
      <c r="D52" s="20" t="s">
        <v>26</v>
      </c>
      <c r="E52" s="22">
        <v>5.2122114668652273</v>
      </c>
      <c r="F52" s="9"/>
      <c r="G52" s="14" t="str">
        <f t="shared" si="0"/>
        <v>O</v>
      </c>
      <c r="H52" s="15"/>
      <c r="I52" s="16" t="s">
        <v>124</v>
      </c>
      <c r="J52" s="15"/>
      <c r="K52" s="17" t="s">
        <v>125</v>
      </c>
      <c r="L52" s="18">
        <f t="shared" si="1"/>
        <v>20060368076461</v>
      </c>
    </row>
    <row r="53" spans="1:12" x14ac:dyDescent="0.3">
      <c r="A53" s="19">
        <f>COUNTIFS($B$2:B53,B53)</f>
        <v>7</v>
      </c>
      <c r="B53" s="20" t="s">
        <v>113</v>
      </c>
      <c r="C53" s="21">
        <v>20060368076226</v>
      </c>
      <c r="D53" s="20" t="s">
        <v>29</v>
      </c>
      <c r="E53" s="22">
        <v>0.67014147431124349</v>
      </c>
      <c r="F53" s="9"/>
      <c r="G53" s="14" t="str">
        <f t="shared" si="0"/>
        <v>O</v>
      </c>
      <c r="H53" s="15"/>
      <c r="I53" s="16" t="s">
        <v>126</v>
      </c>
      <c r="J53" s="15"/>
      <c r="K53" s="17" t="s">
        <v>127</v>
      </c>
      <c r="L53" s="18" t="e">
        <f t="shared" si="1"/>
        <v>#N/A</v>
      </c>
    </row>
    <row r="54" spans="1:12" x14ac:dyDescent="0.3">
      <c r="A54" s="19">
        <f>COUNTIFS($B$2:B54,B54)</f>
        <v>8</v>
      </c>
      <c r="B54" s="20" t="s">
        <v>113</v>
      </c>
      <c r="C54" s="21">
        <v>20060368076226</v>
      </c>
      <c r="D54" s="20" t="s">
        <v>32</v>
      </c>
      <c r="E54" s="22">
        <v>3.2762472077438565</v>
      </c>
      <c r="F54" s="9"/>
      <c r="G54" s="14" t="str">
        <f t="shared" si="0"/>
        <v>O</v>
      </c>
      <c r="H54" s="15"/>
      <c r="I54" s="16" t="s">
        <v>128</v>
      </c>
      <c r="J54" s="15"/>
      <c r="K54" s="17" t="s">
        <v>129</v>
      </c>
      <c r="L54" s="18">
        <f t="shared" si="1"/>
        <v>20060368076463</v>
      </c>
    </row>
    <row r="55" spans="1:12" x14ac:dyDescent="0.3">
      <c r="A55" s="19">
        <f>COUNTIFS($B$2:B55,B55)</f>
        <v>9</v>
      </c>
      <c r="B55" s="20" t="s">
        <v>113</v>
      </c>
      <c r="C55" s="21">
        <v>20060368076226</v>
      </c>
      <c r="D55" s="20" t="s">
        <v>35</v>
      </c>
      <c r="E55" s="22">
        <v>6.5152643335815341</v>
      </c>
      <c r="F55" s="9"/>
      <c r="G55" s="14" t="str">
        <f t="shared" si="0"/>
        <v>O</v>
      </c>
      <c r="H55" s="15"/>
      <c r="I55" s="16" t="s">
        <v>130</v>
      </c>
      <c r="J55" s="15"/>
      <c r="K55" s="17" t="s">
        <v>131</v>
      </c>
      <c r="L55" s="18">
        <f t="shared" si="1"/>
        <v>200603680764631</v>
      </c>
    </row>
    <row r="56" spans="1:12" x14ac:dyDescent="0.3">
      <c r="A56" s="19">
        <f>COUNTIFS($B$2:B56,B56)</f>
        <v>10</v>
      </c>
      <c r="B56" s="20" t="s">
        <v>113</v>
      </c>
      <c r="C56" s="21">
        <v>20060368076226</v>
      </c>
      <c r="D56" s="20" t="s">
        <v>132</v>
      </c>
      <c r="E56" s="22">
        <v>0.37230081906180196</v>
      </c>
      <c r="F56" s="9"/>
      <c r="G56" s="14" t="str">
        <f t="shared" si="0"/>
        <v>O</v>
      </c>
      <c r="H56" s="15"/>
      <c r="I56" s="16"/>
      <c r="J56" s="15"/>
      <c r="K56" s="17" t="s">
        <v>133</v>
      </c>
      <c r="L56" s="18">
        <f t="shared" si="1"/>
        <v>20060368076464</v>
      </c>
    </row>
    <row r="57" spans="1:12" x14ac:dyDescent="0.3">
      <c r="A57" s="19">
        <f>COUNTIFS($B$2:B57,B57)</f>
        <v>11</v>
      </c>
      <c r="B57" s="20" t="s">
        <v>113</v>
      </c>
      <c r="C57" s="21">
        <v>20060368076226</v>
      </c>
      <c r="D57" s="20" t="s">
        <v>134</v>
      </c>
      <c r="E57" s="22">
        <v>12.099776619508564</v>
      </c>
      <c r="F57" s="9"/>
      <c r="G57" s="14" t="str">
        <f t="shared" si="0"/>
        <v>O</v>
      </c>
      <c r="H57" s="15"/>
      <c r="I57" s="16" t="s">
        <v>135</v>
      </c>
      <c r="J57" s="15"/>
      <c r="K57" s="17" t="s">
        <v>136</v>
      </c>
      <c r="L57" s="18">
        <f t="shared" si="1"/>
        <v>200603680764641</v>
      </c>
    </row>
    <row r="58" spans="1:12" x14ac:dyDescent="0.3">
      <c r="A58" s="19">
        <f>COUNTIFS($B$2:B58,B58)</f>
        <v>12</v>
      </c>
      <c r="B58" s="20" t="s">
        <v>113</v>
      </c>
      <c r="C58" s="21">
        <v>20060368076226</v>
      </c>
      <c r="D58" s="20" t="s">
        <v>137</v>
      </c>
      <c r="E58" s="22">
        <v>1.8615040953090094</v>
      </c>
      <c r="F58" s="9"/>
      <c r="G58" s="14" t="str">
        <f t="shared" si="0"/>
        <v>O</v>
      </c>
      <c r="H58" s="15"/>
      <c r="I58" s="16" t="s">
        <v>138</v>
      </c>
      <c r="J58" s="15"/>
      <c r="K58" s="17" t="s">
        <v>139</v>
      </c>
      <c r="L58" s="18">
        <f t="shared" si="1"/>
        <v>20060368076465</v>
      </c>
    </row>
    <row r="59" spans="1:12" x14ac:dyDescent="0.3">
      <c r="A59" s="19">
        <f>COUNTIFS($B$2:B59,B59)</f>
        <v>1</v>
      </c>
      <c r="B59" s="20" t="s">
        <v>140</v>
      </c>
      <c r="C59" s="21">
        <v>20060368076227</v>
      </c>
      <c r="D59" s="20" t="s">
        <v>11</v>
      </c>
      <c r="E59" s="22">
        <v>32.874162323157108</v>
      </c>
      <c r="F59" s="9"/>
      <c r="G59" s="14" t="str">
        <f t="shared" si="0"/>
        <v>O</v>
      </c>
      <c r="H59" s="15"/>
      <c r="I59" s="16" t="s">
        <v>141</v>
      </c>
      <c r="J59" s="15"/>
      <c r="K59" s="17" t="s">
        <v>142</v>
      </c>
      <c r="L59" s="18" t="e">
        <f t="shared" si="1"/>
        <v>#N/A</v>
      </c>
    </row>
    <row r="60" spans="1:12" x14ac:dyDescent="0.3">
      <c r="A60" s="19">
        <f>COUNTIFS($B$2:B60,B60)</f>
        <v>2</v>
      </c>
      <c r="B60" s="20" t="s">
        <v>140</v>
      </c>
      <c r="C60" s="21">
        <v>20060368076227</v>
      </c>
      <c r="D60" s="20" t="s">
        <v>14</v>
      </c>
      <c r="E60" s="22">
        <v>13.775130305286671</v>
      </c>
      <c r="F60" s="9"/>
      <c r="G60" s="14" t="str">
        <f t="shared" si="0"/>
        <v>O</v>
      </c>
      <c r="H60" s="15"/>
      <c r="I60" s="16" t="s">
        <v>44</v>
      </c>
      <c r="J60" s="15"/>
      <c r="K60" s="17" t="s">
        <v>143</v>
      </c>
      <c r="L60" s="18">
        <f t="shared" si="1"/>
        <v>20060368076468</v>
      </c>
    </row>
    <row r="61" spans="1:12" x14ac:dyDescent="0.3">
      <c r="A61" s="19">
        <f>COUNTIFS($B$2:B61,B61)</f>
        <v>3</v>
      </c>
      <c r="B61" s="20" t="s">
        <v>140</v>
      </c>
      <c r="C61" s="21">
        <v>20060368076227</v>
      </c>
      <c r="D61" s="20" t="s">
        <v>17</v>
      </c>
      <c r="E61" s="22">
        <v>12.285927029039463</v>
      </c>
      <c r="F61" s="9"/>
      <c r="G61" s="14" t="str">
        <f t="shared" si="0"/>
        <v>O</v>
      </c>
      <c r="H61" s="15"/>
      <c r="I61" s="16"/>
      <c r="J61" s="15"/>
      <c r="K61" s="17" t="s">
        <v>144</v>
      </c>
      <c r="L61" s="18">
        <f t="shared" si="1"/>
        <v>20060368076469</v>
      </c>
    </row>
    <row r="62" spans="1:12" x14ac:dyDescent="0.3">
      <c r="A62" s="19">
        <f>COUNTIFS($B$2:B62,B62)</f>
        <v>4</v>
      </c>
      <c r="B62" s="20" t="s">
        <v>140</v>
      </c>
      <c r="C62" s="21">
        <v>20060368076227</v>
      </c>
      <c r="D62" s="20" t="s">
        <v>20</v>
      </c>
      <c r="E62" s="22">
        <v>13.775130305286671</v>
      </c>
      <c r="F62" s="9"/>
      <c r="G62" s="14" t="str">
        <f t="shared" si="0"/>
        <v>O</v>
      </c>
      <c r="H62" s="15"/>
      <c r="I62" s="16" t="s">
        <v>145</v>
      </c>
      <c r="J62" s="15"/>
      <c r="K62" s="17" t="s">
        <v>146</v>
      </c>
      <c r="L62" s="18" t="e">
        <f t="shared" si="1"/>
        <v>#N/A</v>
      </c>
    </row>
    <row r="63" spans="1:12" x14ac:dyDescent="0.3">
      <c r="A63" s="19">
        <f>COUNTIFS($B$2:B63,B63)</f>
        <v>5</v>
      </c>
      <c r="B63" s="20" t="s">
        <v>140</v>
      </c>
      <c r="C63" s="21">
        <v>20060368076227</v>
      </c>
      <c r="D63" s="20" t="s">
        <v>23</v>
      </c>
      <c r="E63" s="22">
        <v>1.7870439314966493</v>
      </c>
      <c r="F63" s="9"/>
      <c r="G63" s="14" t="str">
        <f t="shared" si="0"/>
        <v>O</v>
      </c>
      <c r="H63" s="15"/>
      <c r="I63" s="16" t="s">
        <v>147</v>
      </c>
      <c r="J63" s="15"/>
      <c r="K63" s="17" t="s">
        <v>148</v>
      </c>
      <c r="L63" s="18">
        <f t="shared" si="1"/>
        <v>20060368076470</v>
      </c>
    </row>
    <row r="64" spans="1:12" x14ac:dyDescent="0.3">
      <c r="A64" s="19">
        <f>COUNTIFS($B$2:B64,B64)</f>
        <v>6</v>
      </c>
      <c r="B64" s="20" t="s">
        <v>140</v>
      </c>
      <c r="C64" s="21">
        <v>20060368076227</v>
      </c>
      <c r="D64" s="20" t="s">
        <v>26</v>
      </c>
      <c r="E64" s="22">
        <v>5.5100521221146685</v>
      </c>
      <c r="F64" s="9"/>
      <c r="G64" s="14" t="str">
        <f t="shared" si="0"/>
        <v>O</v>
      </c>
      <c r="H64" s="15"/>
      <c r="I64" s="16" t="s">
        <v>149</v>
      </c>
      <c r="J64" s="15"/>
      <c r="K64" s="17" t="s">
        <v>150</v>
      </c>
      <c r="L64" s="18" t="e">
        <f t="shared" si="1"/>
        <v>#N/A</v>
      </c>
    </row>
    <row r="65" spans="1:12" x14ac:dyDescent="0.3">
      <c r="A65" s="19">
        <f>COUNTIFS($B$2:B65,B65)</f>
        <v>7</v>
      </c>
      <c r="B65" s="20" t="s">
        <v>140</v>
      </c>
      <c r="C65" s="21">
        <v>20060368076227</v>
      </c>
      <c r="D65" s="20" t="s">
        <v>29</v>
      </c>
      <c r="E65" s="22">
        <v>0.67014147431124349</v>
      </c>
      <c r="F65" s="9"/>
      <c r="G65" s="14" t="str">
        <f t="shared" si="0"/>
        <v>O</v>
      </c>
      <c r="H65" s="15"/>
      <c r="I65" s="16"/>
      <c r="J65" s="15"/>
      <c r="K65" s="17" t="s">
        <v>151</v>
      </c>
      <c r="L65" s="18">
        <f t="shared" si="1"/>
        <v>20060368076471</v>
      </c>
    </row>
    <row r="66" spans="1:12" x14ac:dyDescent="0.3">
      <c r="A66" s="19">
        <f>COUNTIFS($B$2:B66,B66)</f>
        <v>8</v>
      </c>
      <c r="B66" s="20" t="s">
        <v>140</v>
      </c>
      <c r="C66" s="21">
        <v>20060368076227</v>
      </c>
      <c r="D66" s="20" t="s">
        <v>32</v>
      </c>
      <c r="E66" s="22">
        <v>3.4623976172747581</v>
      </c>
      <c r="F66" s="9"/>
      <c r="G66" s="14" t="str">
        <f t="shared" ref="G66:G129" si="2">IF(D66="","",IF(COUNTIF(I:I,D66)&gt;0,"O","X"))</f>
        <v>O</v>
      </c>
      <c r="H66" s="15"/>
      <c r="I66" s="16"/>
      <c r="J66" s="15"/>
      <c r="K66" s="17" t="s">
        <v>152</v>
      </c>
      <c r="L66" s="18" t="e">
        <f t="shared" ref="L66:L129" si="3">VLOOKUP(K66,B:C,2,FALSE)</f>
        <v>#N/A</v>
      </c>
    </row>
    <row r="67" spans="1:12" x14ac:dyDescent="0.3">
      <c r="A67" s="19">
        <f>COUNTIFS($B$2:B67,B67)</f>
        <v>9</v>
      </c>
      <c r="B67" s="20" t="s">
        <v>140</v>
      </c>
      <c r="C67" s="21">
        <v>20060368076227</v>
      </c>
      <c r="D67" s="20" t="s">
        <v>35</v>
      </c>
      <c r="E67" s="22">
        <v>6.8875651526433357</v>
      </c>
      <c r="F67" s="9"/>
      <c r="G67" s="14" t="str">
        <f t="shared" si="2"/>
        <v>O</v>
      </c>
      <c r="H67" s="15"/>
      <c r="I67" s="16" t="s">
        <v>153</v>
      </c>
      <c r="J67" s="15"/>
      <c r="K67" s="17" t="s">
        <v>154</v>
      </c>
      <c r="L67" s="18">
        <f t="shared" si="3"/>
        <v>20060368076472</v>
      </c>
    </row>
    <row r="68" spans="1:12" x14ac:dyDescent="0.3">
      <c r="A68" s="19">
        <f>COUNTIFS($B$2:B68,B68)</f>
        <v>10</v>
      </c>
      <c r="B68" s="20" t="s">
        <v>140</v>
      </c>
      <c r="C68" s="21">
        <v>20060368076227</v>
      </c>
      <c r="D68" s="20" t="s">
        <v>126</v>
      </c>
      <c r="E68" s="22">
        <v>3.4623976172747581</v>
      </c>
      <c r="F68" s="9"/>
      <c r="G68" s="14" t="str">
        <f t="shared" si="2"/>
        <v>O</v>
      </c>
      <c r="H68" s="15"/>
      <c r="I68" s="16" t="s">
        <v>155</v>
      </c>
      <c r="J68" s="15"/>
      <c r="K68" s="17" t="s">
        <v>156</v>
      </c>
      <c r="L68" s="18" t="e">
        <f t="shared" si="3"/>
        <v>#N/A</v>
      </c>
    </row>
    <row r="69" spans="1:12" x14ac:dyDescent="0.3">
      <c r="A69" s="19">
        <f>COUNTIFS($B$2:B69,B69)</f>
        <v>11</v>
      </c>
      <c r="B69" s="20" t="s">
        <v>140</v>
      </c>
      <c r="C69" s="21">
        <v>20060368076227</v>
      </c>
      <c r="D69" s="20" t="s">
        <v>128</v>
      </c>
      <c r="E69" s="22">
        <v>5.5100521221146685</v>
      </c>
      <c r="F69" s="9"/>
      <c r="G69" s="14" t="str">
        <f t="shared" si="2"/>
        <v>O</v>
      </c>
      <c r="H69" s="15"/>
      <c r="I69" s="16" t="s">
        <v>157</v>
      </c>
      <c r="J69" s="15"/>
      <c r="K69" s="17" t="s">
        <v>158</v>
      </c>
      <c r="L69" s="18">
        <f t="shared" si="3"/>
        <v>20060368076474</v>
      </c>
    </row>
    <row r="70" spans="1:12" x14ac:dyDescent="0.3">
      <c r="A70" s="19">
        <f>COUNTIFS($B$2:B70,B70)</f>
        <v>12</v>
      </c>
      <c r="B70" s="20" t="s">
        <v>140</v>
      </c>
      <c r="C70" s="21">
        <v>20060368076227</v>
      </c>
      <c r="D70" s="20" t="s">
        <v>128</v>
      </c>
      <c r="E70" s="22">
        <v>3.7230081906180188</v>
      </c>
      <c r="F70" s="9"/>
      <c r="G70" s="14" t="str">
        <f t="shared" si="2"/>
        <v>O</v>
      </c>
      <c r="H70" s="15"/>
      <c r="I70" s="16" t="s">
        <v>159</v>
      </c>
      <c r="J70" s="15"/>
      <c r="K70" s="17" t="s">
        <v>160</v>
      </c>
      <c r="L70" s="18">
        <f t="shared" si="3"/>
        <v>20060368076540</v>
      </c>
    </row>
    <row r="71" spans="1:12" x14ac:dyDescent="0.3">
      <c r="A71" s="19">
        <f>COUNTIFS($B$2:B71,B71)</f>
        <v>1</v>
      </c>
      <c r="B71" s="20" t="s">
        <v>161</v>
      </c>
      <c r="C71" s="21">
        <v>20060368076228</v>
      </c>
      <c r="D71" s="20" t="s">
        <v>11</v>
      </c>
      <c r="E71" s="22">
        <v>34.608030592734231</v>
      </c>
      <c r="F71" s="9"/>
      <c r="G71" s="14" t="str">
        <f t="shared" si="2"/>
        <v>O</v>
      </c>
      <c r="H71" s="15"/>
      <c r="I71" s="16" t="s">
        <v>162</v>
      </c>
      <c r="J71" s="15"/>
      <c r="K71" s="17" t="s">
        <v>163</v>
      </c>
      <c r="L71" s="18" t="e">
        <f t="shared" si="3"/>
        <v>#N/A</v>
      </c>
    </row>
    <row r="72" spans="1:12" x14ac:dyDescent="0.3">
      <c r="A72" s="19">
        <f>COUNTIFS($B$2:B72,B72)</f>
        <v>2</v>
      </c>
      <c r="B72" s="20" t="s">
        <v>161</v>
      </c>
      <c r="C72" s="21">
        <v>20060368076228</v>
      </c>
      <c r="D72" s="20" t="s">
        <v>14</v>
      </c>
      <c r="E72" s="22">
        <v>15.296367112810708</v>
      </c>
      <c r="F72" s="9"/>
      <c r="G72" s="14" t="str">
        <f t="shared" si="2"/>
        <v>O</v>
      </c>
      <c r="H72" s="15"/>
      <c r="I72" s="16" t="s">
        <v>164</v>
      </c>
      <c r="J72" s="15"/>
      <c r="K72" s="17" t="s">
        <v>165</v>
      </c>
      <c r="L72" s="18">
        <f t="shared" si="3"/>
        <v>20060368076475</v>
      </c>
    </row>
    <row r="73" spans="1:12" x14ac:dyDescent="0.3">
      <c r="A73" s="19">
        <f>COUNTIFS($B$2:B73,B73)</f>
        <v>3</v>
      </c>
      <c r="B73" s="20" t="s">
        <v>161</v>
      </c>
      <c r="C73" s="21">
        <v>20060368076228</v>
      </c>
      <c r="D73" s="20" t="s">
        <v>17</v>
      </c>
      <c r="E73" s="22">
        <v>13.001912045889103</v>
      </c>
      <c r="F73" s="9"/>
      <c r="G73" s="14" t="str">
        <f t="shared" si="2"/>
        <v>O</v>
      </c>
      <c r="H73" s="15"/>
      <c r="I73" s="16" t="s">
        <v>166</v>
      </c>
      <c r="J73" s="15"/>
      <c r="K73" s="17" t="s">
        <v>167</v>
      </c>
      <c r="L73" s="18">
        <f t="shared" si="3"/>
        <v>200603680764761</v>
      </c>
    </row>
    <row r="74" spans="1:12" x14ac:dyDescent="0.3">
      <c r="A74" s="19">
        <f>COUNTIFS($B$2:B74,B74)</f>
        <v>4</v>
      </c>
      <c r="B74" s="20" t="s">
        <v>161</v>
      </c>
      <c r="C74" s="21">
        <v>20060368076228</v>
      </c>
      <c r="D74" s="20" t="s">
        <v>20</v>
      </c>
      <c r="E74" s="22">
        <v>15.296367112810708</v>
      </c>
      <c r="F74" s="9"/>
      <c r="G74" s="14" t="str">
        <f t="shared" si="2"/>
        <v>O</v>
      </c>
      <c r="H74" s="15"/>
      <c r="I74" s="16" t="s">
        <v>168</v>
      </c>
      <c r="J74" s="15"/>
      <c r="K74" s="17" t="s">
        <v>169</v>
      </c>
      <c r="L74" s="18">
        <f t="shared" si="3"/>
        <v>20060368076476</v>
      </c>
    </row>
    <row r="75" spans="1:12" x14ac:dyDescent="0.3">
      <c r="A75" s="19">
        <f>COUNTIFS($B$2:B75,B75)</f>
        <v>5</v>
      </c>
      <c r="B75" s="20" t="s">
        <v>161</v>
      </c>
      <c r="C75" s="21">
        <v>20060368076228</v>
      </c>
      <c r="D75" s="20" t="s">
        <v>23</v>
      </c>
      <c r="E75" s="22">
        <v>1.9120458891013385</v>
      </c>
      <c r="F75" s="9"/>
      <c r="G75" s="14" t="str">
        <f t="shared" si="2"/>
        <v>O</v>
      </c>
      <c r="H75" s="15"/>
      <c r="I75" s="16" t="s">
        <v>170</v>
      </c>
      <c r="J75" s="15"/>
      <c r="K75" s="17" t="s">
        <v>171</v>
      </c>
      <c r="L75" s="18" t="e">
        <f t="shared" si="3"/>
        <v>#N/A</v>
      </c>
    </row>
    <row r="76" spans="1:12" x14ac:dyDescent="0.3">
      <c r="A76" s="19">
        <f>COUNTIFS($B$2:B76,B76)</f>
        <v>6</v>
      </c>
      <c r="B76" s="20" t="s">
        <v>161</v>
      </c>
      <c r="C76" s="21">
        <v>20060368076228</v>
      </c>
      <c r="D76" s="20" t="s">
        <v>26</v>
      </c>
      <c r="E76" s="22">
        <v>6.1185468451242837</v>
      </c>
      <c r="F76" s="9"/>
      <c r="G76" s="14" t="str">
        <f t="shared" si="2"/>
        <v>O</v>
      </c>
      <c r="H76" s="15"/>
      <c r="I76" s="16" t="s">
        <v>172</v>
      </c>
      <c r="J76" s="15"/>
      <c r="K76" s="17" t="s">
        <v>173</v>
      </c>
      <c r="L76" s="18" t="e">
        <f t="shared" si="3"/>
        <v>#N/A</v>
      </c>
    </row>
    <row r="77" spans="1:12" x14ac:dyDescent="0.3">
      <c r="A77" s="19">
        <f>COUNTIFS($B$2:B77,B77)</f>
        <v>7</v>
      </c>
      <c r="B77" s="20" t="s">
        <v>161</v>
      </c>
      <c r="C77" s="21">
        <v>20060368076228</v>
      </c>
      <c r="D77" s="20" t="s">
        <v>29</v>
      </c>
      <c r="E77" s="22">
        <v>0.76481835564053546</v>
      </c>
      <c r="F77" s="9"/>
      <c r="G77" s="14" t="str">
        <f t="shared" si="2"/>
        <v>O</v>
      </c>
      <c r="H77" s="15"/>
      <c r="I77" s="16" t="s">
        <v>96</v>
      </c>
      <c r="J77" s="15"/>
      <c r="K77" s="17" t="s">
        <v>174</v>
      </c>
      <c r="L77" s="18">
        <f t="shared" si="3"/>
        <v>20060368076478</v>
      </c>
    </row>
    <row r="78" spans="1:12" x14ac:dyDescent="0.3">
      <c r="A78" s="19">
        <f>COUNTIFS($B$2:B78,B78)</f>
        <v>8</v>
      </c>
      <c r="B78" s="20" t="s">
        <v>161</v>
      </c>
      <c r="C78" s="21">
        <v>20060368076228</v>
      </c>
      <c r="D78" s="20" t="s">
        <v>32</v>
      </c>
      <c r="E78" s="22">
        <v>3.8240917782026771</v>
      </c>
      <c r="F78" s="9"/>
      <c r="G78" s="14" t="str">
        <f t="shared" si="2"/>
        <v>O</v>
      </c>
      <c r="H78" s="15"/>
      <c r="I78" s="16" t="s">
        <v>175</v>
      </c>
      <c r="J78" s="15"/>
      <c r="K78" s="17" t="s">
        <v>176</v>
      </c>
      <c r="L78" s="18">
        <f t="shared" si="3"/>
        <v>20060368076479</v>
      </c>
    </row>
    <row r="79" spans="1:12" x14ac:dyDescent="0.3">
      <c r="A79" s="19">
        <f>COUNTIFS($B$2:B79,B79)</f>
        <v>9</v>
      </c>
      <c r="B79" s="20" t="s">
        <v>161</v>
      </c>
      <c r="C79" s="21">
        <v>20060368076228</v>
      </c>
      <c r="D79" s="20" t="s">
        <v>35</v>
      </c>
      <c r="E79" s="22">
        <v>7.6481835564053542</v>
      </c>
      <c r="F79" s="9"/>
      <c r="G79" s="14" t="str">
        <f t="shared" si="2"/>
        <v>O</v>
      </c>
      <c r="H79" s="15"/>
      <c r="I79" s="16"/>
      <c r="J79" s="15"/>
      <c r="K79" s="17" t="s">
        <v>177</v>
      </c>
      <c r="L79" s="18">
        <f t="shared" si="3"/>
        <v>20060368076246</v>
      </c>
    </row>
    <row r="80" spans="1:12" x14ac:dyDescent="0.3">
      <c r="A80" s="19">
        <f>COUNTIFS($B$2:B80,B80)</f>
        <v>10</v>
      </c>
      <c r="B80" s="20" t="s">
        <v>161</v>
      </c>
      <c r="C80" s="21">
        <v>20060368076228</v>
      </c>
      <c r="D80" s="20" t="s">
        <v>178</v>
      </c>
      <c r="E80" s="22">
        <v>1.5296367112810709</v>
      </c>
      <c r="F80" s="9"/>
      <c r="G80" s="14" t="str">
        <f t="shared" si="2"/>
        <v>O</v>
      </c>
      <c r="H80" s="15"/>
      <c r="I80" s="16" t="s">
        <v>179</v>
      </c>
      <c r="J80" s="15"/>
      <c r="K80" s="17" t="s">
        <v>180</v>
      </c>
      <c r="L80" s="18">
        <f t="shared" si="3"/>
        <v>20060368076480</v>
      </c>
    </row>
    <row r="81" spans="1:12" x14ac:dyDescent="0.3">
      <c r="A81" s="19">
        <f>COUNTIFS($B$2:B81,B81)</f>
        <v>11</v>
      </c>
      <c r="B81" s="20" t="s">
        <v>161</v>
      </c>
      <c r="C81" s="21">
        <v>20060368076228</v>
      </c>
      <c r="D81" s="20" t="s">
        <v>181</v>
      </c>
      <c r="E81" s="22">
        <v>2.676864244741874</v>
      </c>
      <c r="F81" s="9"/>
      <c r="G81" s="14" t="str">
        <f t="shared" si="2"/>
        <v>O</v>
      </c>
      <c r="H81" s="15"/>
      <c r="I81" s="16" t="s">
        <v>178</v>
      </c>
      <c r="J81" s="15"/>
      <c r="K81" s="17" t="s">
        <v>182</v>
      </c>
      <c r="L81" s="18">
        <f t="shared" si="3"/>
        <v>20060368076540</v>
      </c>
    </row>
    <row r="82" spans="1:12" x14ac:dyDescent="0.3">
      <c r="A82" s="19">
        <f>COUNTIFS($B$2:B82,B82)</f>
        <v>1</v>
      </c>
      <c r="B82" s="20" t="s">
        <v>183</v>
      </c>
      <c r="C82" s="21">
        <v>20060368076229</v>
      </c>
      <c r="D82" s="20" t="s">
        <v>11</v>
      </c>
      <c r="E82" s="22">
        <v>33.320754716981135</v>
      </c>
      <c r="F82" s="9"/>
      <c r="G82" s="14" t="str">
        <f t="shared" si="2"/>
        <v>O</v>
      </c>
      <c r="H82" s="15"/>
      <c r="I82" s="16" t="s">
        <v>66</v>
      </c>
      <c r="J82" s="15"/>
      <c r="K82" s="17" t="s">
        <v>184</v>
      </c>
      <c r="L82" s="18">
        <f t="shared" si="3"/>
        <v>20060368076481</v>
      </c>
    </row>
    <row r="83" spans="1:12" x14ac:dyDescent="0.3">
      <c r="A83" s="19">
        <f>COUNTIFS($B$2:B83,B83)</f>
        <v>2</v>
      </c>
      <c r="B83" s="20" t="s">
        <v>183</v>
      </c>
      <c r="C83" s="21">
        <v>20060368076229</v>
      </c>
      <c r="D83" s="20" t="s">
        <v>14</v>
      </c>
      <c r="E83" s="22">
        <v>17.660377358490567</v>
      </c>
      <c r="F83" s="9"/>
      <c r="G83" s="14" t="str">
        <f t="shared" si="2"/>
        <v>O</v>
      </c>
      <c r="H83" s="15"/>
      <c r="I83" s="16" t="s">
        <v>185</v>
      </c>
      <c r="J83" s="15"/>
      <c r="K83" s="17" t="s">
        <v>186</v>
      </c>
      <c r="L83" s="18">
        <f t="shared" si="3"/>
        <v>20060368076482</v>
      </c>
    </row>
    <row r="84" spans="1:12" x14ac:dyDescent="0.3">
      <c r="A84" s="19">
        <f>COUNTIFS($B$2:B84,B84)</f>
        <v>3</v>
      </c>
      <c r="B84" s="20" t="s">
        <v>183</v>
      </c>
      <c r="C84" s="21">
        <v>20060368076229</v>
      </c>
      <c r="D84" s="20" t="s">
        <v>17</v>
      </c>
      <c r="E84" s="22">
        <v>12.566037735849056</v>
      </c>
      <c r="F84" s="9"/>
      <c r="G84" s="14" t="str">
        <f t="shared" si="2"/>
        <v>O</v>
      </c>
      <c r="H84" s="15"/>
      <c r="I84" s="16" t="s">
        <v>132</v>
      </c>
      <c r="J84" s="15"/>
      <c r="K84" s="17" t="s">
        <v>187</v>
      </c>
      <c r="L84" s="18" t="e">
        <f t="shared" si="3"/>
        <v>#N/A</v>
      </c>
    </row>
    <row r="85" spans="1:12" x14ac:dyDescent="0.3">
      <c r="A85" s="19">
        <f>COUNTIFS($B$2:B85,B85)</f>
        <v>4</v>
      </c>
      <c r="B85" s="20" t="s">
        <v>183</v>
      </c>
      <c r="C85" s="21">
        <v>20060368076229</v>
      </c>
      <c r="D85" s="20" t="s">
        <v>20</v>
      </c>
      <c r="E85" s="22">
        <v>14.716981132075471</v>
      </c>
      <c r="F85" s="9"/>
      <c r="G85" s="14" t="str">
        <f t="shared" si="2"/>
        <v>O</v>
      </c>
      <c r="H85" s="15"/>
      <c r="I85" s="16" t="s">
        <v>188</v>
      </c>
      <c r="J85" s="15"/>
      <c r="K85" s="17" t="s">
        <v>189</v>
      </c>
      <c r="L85" s="18">
        <f t="shared" si="3"/>
        <v>20060368076483</v>
      </c>
    </row>
    <row r="86" spans="1:12" x14ac:dyDescent="0.3">
      <c r="A86" s="19">
        <f>COUNTIFS($B$2:B86,B86)</f>
        <v>5</v>
      </c>
      <c r="B86" s="20" t="s">
        <v>183</v>
      </c>
      <c r="C86" s="21">
        <v>20060368076229</v>
      </c>
      <c r="D86" s="20" t="s">
        <v>23</v>
      </c>
      <c r="E86" s="22">
        <v>1.8867924528301887</v>
      </c>
      <c r="F86" s="9"/>
      <c r="G86" s="14" t="str">
        <f t="shared" si="2"/>
        <v>O</v>
      </c>
      <c r="H86" s="15"/>
      <c r="I86" s="16" t="s">
        <v>190</v>
      </c>
      <c r="J86" s="15"/>
      <c r="K86" s="17" t="s">
        <v>191</v>
      </c>
      <c r="L86" s="18">
        <f t="shared" si="3"/>
        <v>200603680764831</v>
      </c>
    </row>
    <row r="87" spans="1:12" x14ac:dyDescent="0.3">
      <c r="A87" s="19">
        <f>COUNTIFS($B$2:B87,B87)</f>
        <v>6</v>
      </c>
      <c r="B87" s="20" t="s">
        <v>183</v>
      </c>
      <c r="C87" s="21">
        <v>20060368076229</v>
      </c>
      <c r="D87" s="20" t="s">
        <v>26</v>
      </c>
      <c r="E87" s="22">
        <v>5.8490566037735849</v>
      </c>
      <c r="F87" s="9"/>
      <c r="G87" s="14" t="str">
        <f t="shared" si="2"/>
        <v>O</v>
      </c>
      <c r="H87" s="15"/>
      <c r="I87" s="16" t="s">
        <v>192</v>
      </c>
      <c r="J87" s="15"/>
      <c r="K87" s="17" t="s">
        <v>193</v>
      </c>
      <c r="L87" s="18">
        <f t="shared" si="3"/>
        <v>20060368076484</v>
      </c>
    </row>
    <row r="88" spans="1:12" x14ac:dyDescent="0.3">
      <c r="A88" s="19">
        <f>COUNTIFS($B$2:B88,B88)</f>
        <v>7</v>
      </c>
      <c r="B88" s="20" t="s">
        <v>183</v>
      </c>
      <c r="C88" s="21">
        <v>20060368076229</v>
      </c>
      <c r="D88" s="20" t="s">
        <v>29</v>
      </c>
      <c r="E88" s="22">
        <v>0.75471698113207553</v>
      </c>
      <c r="F88" s="9"/>
      <c r="G88" s="14" t="str">
        <f t="shared" si="2"/>
        <v>O</v>
      </c>
      <c r="H88" s="15"/>
      <c r="I88" s="16" t="s">
        <v>194</v>
      </c>
      <c r="J88" s="15"/>
      <c r="K88" s="17" t="s">
        <v>195</v>
      </c>
      <c r="L88" s="18">
        <f t="shared" si="3"/>
        <v>200603680764841</v>
      </c>
    </row>
    <row r="89" spans="1:12" x14ac:dyDescent="0.3">
      <c r="A89" s="19">
        <f>COUNTIFS($B$2:B89,B89)</f>
        <v>8</v>
      </c>
      <c r="B89" s="20" t="s">
        <v>183</v>
      </c>
      <c r="C89" s="21">
        <v>20060368076229</v>
      </c>
      <c r="D89" s="20" t="s">
        <v>32</v>
      </c>
      <c r="E89" s="22">
        <v>3.6981132075471699</v>
      </c>
      <c r="F89" s="9"/>
      <c r="G89" s="14" t="str">
        <f t="shared" si="2"/>
        <v>O</v>
      </c>
      <c r="H89" s="15"/>
      <c r="I89" s="16" t="s">
        <v>196</v>
      </c>
      <c r="J89" s="15"/>
      <c r="K89" s="17" t="s">
        <v>197</v>
      </c>
      <c r="L89" s="18">
        <f t="shared" si="3"/>
        <v>20060368076485</v>
      </c>
    </row>
    <row r="90" spans="1:12" x14ac:dyDescent="0.3">
      <c r="A90" s="19">
        <f>COUNTIFS($B$2:B90,B90)</f>
        <v>9</v>
      </c>
      <c r="B90" s="20" t="s">
        <v>183</v>
      </c>
      <c r="C90" s="21">
        <v>20060368076229</v>
      </c>
      <c r="D90" s="20" t="s">
        <v>35</v>
      </c>
      <c r="E90" s="22">
        <v>7.3584905660377355</v>
      </c>
      <c r="F90" s="9"/>
      <c r="G90" s="14" t="str">
        <f t="shared" si="2"/>
        <v>O</v>
      </c>
      <c r="H90" s="15"/>
      <c r="I90" s="16"/>
      <c r="J90" s="15"/>
      <c r="K90" s="17" t="s">
        <v>198</v>
      </c>
      <c r="L90" s="18">
        <f t="shared" si="3"/>
        <v>200603680764851</v>
      </c>
    </row>
    <row r="91" spans="1:12" x14ac:dyDescent="0.3">
      <c r="A91" s="19">
        <f>COUNTIFS($B$2:B91,B91)</f>
        <v>10</v>
      </c>
      <c r="B91" s="20" t="s">
        <v>183</v>
      </c>
      <c r="C91" s="21">
        <v>20060368076229</v>
      </c>
      <c r="D91" s="20" t="s">
        <v>199</v>
      </c>
      <c r="E91" s="22">
        <v>2.1886792452830188</v>
      </c>
      <c r="F91" s="9"/>
      <c r="G91" s="14" t="str">
        <f t="shared" si="2"/>
        <v>O</v>
      </c>
      <c r="H91" s="15"/>
      <c r="I91" s="16" t="s">
        <v>200</v>
      </c>
      <c r="J91" s="15"/>
      <c r="K91" s="17" t="s">
        <v>201</v>
      </c>
      <c r="L91" s="18">
        <f t="shared" si="3"/>
        <v>20060368076486</v>
      </c>
    </row>
    <row r="92" spans="1:12" x14ac:dyDescent="0.3">
      <c r="A92" s="19">
        <f>COUNTIFS($B$2:B92,B92)</f>
        <v>11</v>
      </c>
      <c r="B92" s="20" t="s">
        <v>183</v>
      </c>
      <c r="C92" s="21">
        <v>20060368076229</v>
      </c>
      <c r="D92" s="20" t="s">
        <v>202</v>
      </c>
      <c r="E92" s="22">
        <v>1.5094339622641511</v>
      </c>
      <c r="F92" s="9"/>
      <c r="G92" s="14" t="str">
        <f t="shared" si="2"/>
        <v>O</v>
      </c>
      <c r="H92" s="15"/>
      <c r="I92" s="16" t="s">
        <v>203</v>
      </c>
      <c r="J92" s="15"/>
      <c r="K92" s="17" t="s">
        <v>204</v>
      </c>
      <c r="L92" s="18">
        <f t="shared" si="3"/>
        <v>200603680764861</v>
      </c>
    </row>
    <row r="93" spans="1:12" x14ac:dyDescent="0.3">
      <c r="A93" s="19">
        <f>COUNTIFS($B$2:B93,B93)</f>
        <v>12</v>
      </c>
      <c r="B93" s="20" t="s">
        <v>183</v>
      </c>
      <c r="C93" s="21">
        <v>20060368076229</v>
      </c>
      <c r="D93" s="20" t="s">
        <v>205</v>
      </c>
      <c r="E93" s="22">
        <v>1.5094339622641511</v>
      </c>
      <c r="F93" s="9"/>
      <c r="G93" s="14" t="str">
        <f t="shared" si="2"/>
        <v>O</v>
      </c>
      <c r="H93" s="15"/>
      <c r="I93" s="16" t="s">
        <v>206</v>
      </c>
      <c r="J93" s="15"/>
      <c r="K93" s="17" t="s">
        <v>207</v>
      </c>
      <c r="L93" s="18">
        <f t="shared" si="3"/>
        <v>20060368076487</v>
      </c>
    </row>
    <row r="94" spans="1:12" x14ac:dyDescent="0.3">
      <c r="A94" s="19">
        <f>COUNTIFS($B$2:B94,B94)</f>
        <v>13</v>
      </c>
      <c r="B94" s="20" t="s">
        <v>183</v>
      </c>
      <c r="C94" s="21">
        <v>20060368076229</v>
      </c>
      <c r="D94" s="20" t="s">
        <v>208</v>
      </c>
      <c r="E94" s="22">
        <v>1.5094339622641511</v>
      </c>
      <c r="F94" s="9"/>
      <c r="G94" s="14" t="str">
        <f t="shared" si="2"/>
        <v>O</v>
      </c>
      <c r="H94" s="15"/>
      <c r="I94" s="16"/>
      <c r="J94" s="15"/>
      <c r="K94" s="17" t="s">
        <v>209</v>
      </c>
      <c r="L94" s="18">
        <f t="shared" si="3"/>
        <v>20060368076488</v>
      </c>
    </row>
    <row r="95" spans="1:12" x14ac:dyDescent="0.3">
      <c r="A95" s="23">
        <f>COUNTIFS($B$2:B95,B95)</f>
        <v>1</v>
      </c>
      <c r="B95" s="20" t="s">
        <v>37</v>
      </c>
      <c r="C95" s="24">
        <v>20060368076244</v>
      </c>
      <c r="D95" s="20" t="s">
        <v>210</v>
      </c>
      <c r="E95" s="22">
        <v>51.912721665381646</v>
      </c>
      <c r="F95" s="9"/>
      <c r="G95" s="14" t="str">
        <f t="shared" si="2"/>
        <v>O</v>
      </c>
      <c r="H95" s="15"/>
      <c r="I95" s="16" t="s">
        <v>211</v>
      </c>
      <c r="J95" s="15"/>
      <c r="K95" s="17" t="s">
        <v>212</v>
      </c>
      <c r="L95" s="18">
        <f t="shared" si="3"/>
        <v>20060368076489</v>
      </c>
    </row>
    <row r="96" spans="1:12" x14ac:dyDescent="0.3">
      <c r="A96" s="19">
        <f>COUNTIFS($B$2:B96,B96)</f>
        <v>2</v>
      </c>
      <c r="B96" s="20" t="s">
        <v>37</v>
      </c>
      <c r="C96" s="24">
        <v>20060368076244</v>
      </c>
      <c r="D96" s="20" t="s">
        <v>213</v>
      </c>
      <c r="E96" s="22">
        <v>42.578257517347723</v>
      </c>
      <c r="F96" s="9"/>
      <c r="G96" s="14" t="str">
        <f t="shared" si="2"/>
        <v>O</v>
      </c>
      <c r="H96" s="15"/>
      <c r="I96" s="16" t="s">
        <v>214</v>
      </c>
      <c r="J96" s="15"/>
      <c r="K96" s="17" t="s">
        <v>215</v>
      </c>
      <c r="L96" s="18" t="e">
        <f t="shared" si="3"/>
        <v>#N/A</v>
      </c>
    </row>
    <row r="97" spans="1:12" x14ac:dyDescent="0.3">
      <c r="A97" s="19">
        <f>COUNTIFS($B$2:B97,B97)</f>
        <v>3</v>
      </c>
      <c r="B97" s="20" t="s">
        <v>37</v>
      </c>
      <c r="C97" s="24">
        <v>20060368076244</v>
      </c>
      <c r="D97" s="20" t="s">
        <v>17</v>
      </c>
      <c r="E97" s="22">
        <v>13.919814957594447</v>
      </c>
      <c r="F97" s="9"/>
      <c r="G97" s="14" t="str">
        <f t="shared" si="2"/>
        <v>O</v>
      </c>
      <c r="H97" s="15"/>
      <c r="I97" s="16" t="s">
        <v>216</v>
      </c>
      <c r="J97" s="15"/>
      <c r="K97" s="17" t="s">
        <v>217</v>
      </c>
      <c r="L97" s="18">
        <f t="shared" si="3"/>
        <v>20060368076490</v>
      </c>
    </row>
    <row r="98" spans="1:12" x14ac:dyDescent="0.3">
      <c r="A98" s="19">
        <f>COUNTIFS($B$2:B98,B98)</f>
        <v>4</v>
      </c>
      <c r="B98" s="20" t="s">
        <v>37</v>
      </c>
      <c r="C98" s="24">
        <v>20060368076244</v>
      </c>
      <c r="D98" s="20" t="s">
        <v>206</v>
      </c>
      <c r="E98" s="22">
        <v>73.365612952968391</v>
      </c>
      <c r="F98" s="9"/>
      <c r="G98" s="14" t="str">
        <f t="shared" si="2"/>
        <v>O</v>
      </c>
      <c r="H98" s="15"/>
      <c r="I98" s="16" t="s">
        <v>218</v>
      </c>
      <c r="J98" s="15"/>
      <c r="K98" s="17" t="s">
        <v>219</v>
      </c>
      <c r="L98" s="18">
        <f t="shared" si="3"/>
        <v>20060368076491</v>
      </c>
    </row>
    <row r="99" spans="1:12" x14ac:dyDescent="0.3">
      <c r="A99" s="19">
        <f>COUNTIFS($B$2:B99,B99)</f>
        <v>5</v>
      </c>
      <c r="B99" s="20" t="s">
        <v>37</v>
      </c>
      <c r="C99" s="24">
        <v>20060368076244</v>
      </c>
      <c r="D99" s="20" t="s">
        <v>141</v>
      </c>
      <c r="E99" s="22">
        <v>30.623592906707785</v>
      </c>
      <c r="F99" s="9"/>
      <c r="G99" s="14" t="str">
        <f t="shared" si="2"/>
        <v>O</v>
      </c>
      <c r="H99" s="15"/>
      <c r="I99" s="16" t="s">
        <v>220</v>
      </c>
      <c r="J99" s="15"/>
      <c r="K99" s="17" t="s">
        <v>221</v>
      </c>
      <c r="L99" s="18">
        <f t="shared" si="3"/>
        <v>20060368076493</v>
      </c>
    </row>
    <row r="100" spans="1:12" x14ac:dyDescent="0.3">
      <c r="A100" s="19">
        <f>COUNTIFS($B$2:B100,B100)</f>
        <v>6</v>
      </c>
      <c r="B100" s="20" t="s">
        <v>37</v>
      </c>
      <c r="C100" s="24">
        <v>20060368076244</v>
      </c>
      <c r="D100" s="20" t="s">
        <v>222</v>
      </c>
      <c r="E100" s="22">
        <v>0.46672320740169615</v>
      </c>
      <c r="F100" s="9"/>
      <c r="G100" s="14" t="str">
        <f t="shared" si="2"/>
        <v>O</v>
      </c>
      <c r="H100" s="15"/>
      <c r="I100" s="16" t="s">
        <v>223</v>
      </c>
      <c r="J100" s="15"/>
      <c r="K100" s="17" t="s">
        <v>224</v>
      </c>
      <c r="L100" s="18">
        <f t="shared" si="3"/>
        <v>20060368076494</v>
      </c>
    </row>
    <row r="101" spans="1:12" x14ac:dyDescent="0.3">
      <c r="A101" s="23">
        <f>COUNTIFS($B$2:B101,B101)</f>
        <v>1</v>
      </c>
      <c r="B101" s="20" t="s">
        <v>225</v>
      </c>
      <c r="C101" s="21">
        <v>20060368076549</v>
      </c>
      <c r="D101" s="20" t="s">
        <v>210</v>
      </c>
      <c r="E101" s="22">
        <v>28.840400925212023</v>
      </c>
      <c r="F101" s="9"/>
      <c r="G101" s="14" t="str">
        <f t="shared" si="2"/>
        <v>O</v>
      </c>
      <c r="H101" s="15"/>
      <c r="I101" s="16" t="s">
        <v>226</v>
      </c>
      <c r="J101" s="15"/>
      <c r="K101" s="17" t="s">
        <v>227</v>
      </c>
      <c r="L101" s="18">
        <f t="shared" si="3"/>
        <v>20060368076495</v>
      </c>
    </row>
    <row r="102" spans="1:12" x14ac:dyDescent="0.3">
      <c r="A102" s="19">
        <f>COUNTIFS($B$2:B102,B102)</f>
        <v>2</v>
      </c>
      <c r="B102" s="20" t="s">
        <v>225</v>
      </c>
      <c r="C102" s="21">
        <v>20060368076549</v>
      </c>
      <c r="D102" s="20" t="s">
        <v>213</v>
      </c>
      <c r="E102" s="22">
        <v>23.654587509637619</v>
      </c>
      <c r="F102" s="9"/>
      <c r="G102" s="14" t="str">
        <f t="shared" si="2"/>
        <v>O</v>
      </c>
      <c r="H102" s="15"/>
      <c r="I102" s="16" t="s">
        <v>228</v>
      </c>
      <c r="J102" s="15"/>
      <c r="K102" s="17" t="s">
        <v>229</v>
      </c>
      <c r="L102" s="18">
        <f t="shared" si="3"/>
        <v>20060368076496</v>
      </c>
    </row>
    <row r="103" spans="1:12" x14ac:dyDescent="0.3">
      <c r="A103" s="19">
        <f>COUNTIFS($B$2:B103,B103)</f>
        <v>3</v>
      </c>
      <c r="B103" s="20" t="s">
        <v>225</v>
      </c>
      <c r="C103" s="21">
        <v>20060368076549</v>
      </c>
      <c r="D103" s="20" t="s">
        <v>17</v>
      </c>
      <c r="E103" s="22">
        <v>7.7332305319969157</v>
      </c>
      <c r="F103" s="9"/>
      <c r="G103" s="14" t="str">
        <f t="shared" si="2"/>
        <v>O</v>
      </c>
      <c r="H103" s="15"/>
      <c r="I103" s="16" t="s">
        <v>230</v>
      </c>
      <c r="J103" s="15"/>
      <c r="K103" s="17" t="s">
        <v>231</v>
      </c>
      <c r="L103" s="18">
        <f t="shared" si="3"/>
        <v>20060368076497</v>
      </c>
    </row>
    <row r="104" spans="1:12" x14ac:dyDescent="0.3">
      <c r="A104" s="19">
        <f>COUNTIFS($B$2:B104,B104)</f>
        <v>4</v>
      </c>
      <c r="B104" s="20" t="s">
        <v>225</v>
      </c>
      <c r="C104" s="21">
        <v>20060368076549</v>
      </c>
      <c r="D104" s="20" t="s">
        <v>206</v>
      </c>
      <c r="E104" s="22">
        <v>40.758673862760219</v>
      </c>
      <c r="F104" s="9"/>
      <c r="G104" s="14" t="str">
        <f t="shared" si="2"/>
        <v>O</v>
      </c>
      <c r="H104" s="15"/>
      <c r="I104" s="16" t="s">
        <v>232</v>
      </c>
      <c r="J104" s="15"/>
      <c r="K104" s="17" t="s">
        <v>233</v>
      </c>
      <c r="L104" s="18">
        <f t="shared" si="3"/>
        <v>20060368076498</v>
      </c>
    </row>
    <row r="105" spans="1:12" x14ac:dyDescent="0.3">
      <c r="A105" s="19">
        <f>COUNTIFS($B$2:B105,B105)</f>
        <v>5</v>
      </c>
      <c r="B105" s="20" t="s">
        <v>225</v>
      </c>
      <c r="C105" s="21">
        <v>20060368076549</v>
      </c>
      <c r="D105" s="20" t="s">
        <v>141</v>
      </c>
      <c r="E105" s="22">
        <v>17.013107170393212</v>
      </c>
      <c r="F105" s="9"/>
      <c r="G105" s="14" t="str">
        <f t="shared" si="2"/>
        <v>O</v>
      </c>
      <c r="H105" s="15"/>
      <c r="I105" s="16" t="s">
        <v>234</v>
      </c>
      <c r="J105" s="15"/>
      <c r="K105" s="17" t="s">
        <v>235</v>
      </c>
      <c r="L105" s="18" t="e">
        <f t="shared" si="3"/>
        <v>#N/A</v>
      </c>
    </row>
    <row r="106" spans="1:12" x14ac:dyDescent="0.3">
      <c r="A106" s="19">
        <f>COUNTIFS($B$2:B106,B106)</f>
        <v>6</v>
      </c>
      <c r="B106" s="20" t="s">
        <v>225</v>
      </c>
      <c r="C106" s="21">
        <v>20060368076549</v>
      </c>
      <c r="D106" s="20" t="s">
        <v>222</v>
      </c>
      <c r="E106" s="22">
        <v>0.25929067077872009</v>
      </c>
      <c r="F106" s="9"/>
      <c r="G106" s="14" t="str">
        <f t="shared" si="2"/>
        <v>O</v>
      </c>
      <c r="H106" s="15"/>
      <c r="I106" s="16" t="s">
        <v>236</v>
      </c>
      <c r="J106" s="15"/>
      <c r="K106" s="17" t="s">
        <v>237</v>
      </c>
      <c r="L106" s="18">
        <f t="shared" si="3"/>
        <v>20060368076499</v>
      </c>
    </row>
    <row r="107" spans="1:12" x14ac:dyDescent="0.3">
      <c r="A107" s="19"/>
      <c r="B107" s="20"/>
      <c r="C107" s="21"/>
      <c r="D107" s="20"/>
      <c r="E107" s="22"/>
      <c r="F107" s="9"/>
      <c r="G107" s="14" t="str">
        <f t="shared" si="2"/>
        <v/>
      </c>
      <c r="H107" s="15"/>
      <c r="I107" s="16" t="s">
        <v>238</v>
      </c>
      <c r="J107" s="15"/>
      <c r="K107" s="17" t="s">
        <v>239</v>
      </c>
      <c r="L107" s="18">
        <f t="shared" si="3"/>
        <v>200603680764991</v>
      </c>
    </row>
    <row r="108" spans="1:12" x14ac:dyDescent="0.3">
      <c r="A108" s="19"/>
      <c r="B108" s="20"/>
      <c r="C108" s="21"/>
      <c r="D108" s="20"/>
      <c r="E108" s="22"/>
      <c r="F108" s="9"/>
      <c r="G108" s="14" t="str">
        <f t="shared" si="2"/>
        <v/>
      </c>
      <c r="H108" s="15"/>
      <c r="I108" s="16" t="s">
        <v>240</v>
      </c>
      <c r="J108" s="15"/>
      <c r="K108" s="17" t="s">
        <v>241</v>
      </c>
      <c r="L108" s="18">
        <f t="shared" si="3"/>
        <v>20060368076500</v>
      </c>
    </row>
    <row r="109" spans="1:12" x14ac:dyDescent="0.3">
      <c r="A109" s="19"/>
      <c r="B109" s="20"/>
      <c r="C109" s="21"/>
      <c r="D109" s="20"/>
      <c r="E109" s="22"/>
      <c r="F109" s="9"/>
      <c r="G109" s="14" t="str">
        <f t="shared" si="2"/>
        <v/>
      </c>
      <c r="H109" s="15"/>
      <c r="I109" s="16" t="s">
        <v>242</v>
      </c>
      <c r="J109" s="15"/>
      <c r="K109" s="17" t="s">
        <v>243</v>
      </c>
      <c r="L109" s="18">
        <f t="shared" si="3"/>
        <v>200603680765001</v>
      </c>
    </row>
    <row r="110" spans="1:12" x14ac:dyDescent="0.3">
      <c r="A110" s="19"/>
      <c r="B110" s="20"/>
      <c r="C110" s="21"/>
      <c r="D110" s="20"/>
      <c r="E110" s="22"/>
      <c r="F110" s="9"/>
      <c r="G110" s="14" t="str">
        <f t="shared" si="2"/>
        <v/>
      </c>
      <c r="H110" s="15"/>
      <c r="I110" s="16" t="s">
        <v>244</v>
      </c>
      <c r="J110" s="15"/>
      <c r="K110" s="17" t="s">
        <v>245</v>
      </c>
      <c r="L110" s="18">
        <f t="shared" si="3"/>
        <v>20060368076501</v>
      </c>
    </row>
    <row r="111" spans="1:12" x14ac:dyDescent="0.3">
      <c r="A111" s="19"/>
      <c r="B111" s="20"/>
      <c r="C111" s="21"/>
      <c r="D111" s="20"/>
      <c r="E111" s="22"/>
      <c r="F111" s="9"/>
      <c r="G111" s="14" t="str">
        <f t="shared" si="2"/>
        <v/>
      </c>
      <c r="H111" s="15"/>
      <c r="I111" s="16" t="s">
        <v>246</v>
      </c>
      <c r="J111" s="15"/>
      <c r="K111" s="17" t="s">
        <v>247</v>
      </c>
      <c r="L111" s="18">
        <f t="shared" si="3"/>
        <v>20060368076502</v>
      </c>
    </row>
    <row r="112" spans="1:12" x14ac:dyDescent="0.3">
      <c r="A112" s="19"/>
      <c r="B112" s="20"/>
      <c r="C112" s="21"/>
      <c r="D112" s="20"/>
      <c r="E112" s="22"/>
      <c r="F112" s="9"/>
      <c r="G112" s="14" t="str">
        <f t="shared" si="2"/>
        <v/>
      </c>
      <c r="H112" s="15"/>
      <c r="I112" s="16" t="s">
        <v>248</v>
      </c>
      <c r="J112" s="15"/>
      <c r="K112" s="17" t="s">
        <v>249</v>
      </c>
      <c r="L112" s="18">
        <f t="shared" si="3"/>
        <v>20060368076503</v>
      </c>
    </row>
    <row r="113" spans="1:12" x14ac:dyDescent="0.3">
      <c r="A113" s="19"/>
      <c r="B113" s="20"/>
      <c r="C113" s="21"/>
      <c r="D113" s="20"/>
      <c r="E113" s="22"/>
      <c r="F113" s="9"/>
      <c r="G113" s="14" t="str">
        <f t="shared" si="2"/>
        <v/>
      </c>
      <c r="H113" s="15"/>
      <c r="I113" s="16" t="s">
        <v>250</v>
      </c>
      <c r="J113" s="15"/>
      <c r="K113" s="17" t="s">
        <v>251</v>
      </c>
      <c r="L113" s="18">
        <f t="shared" si="3"/>
        <v>20060368076504</v>
      </c>
    </row>
    <row r="114" spans="1:12" x14ac:dyDescent="0.3">
      <c r="A114" s="19"/>
      <c r="B114" s="20"/>
      <c r="C114" s="21"/>
      <c r="D114" s="20"/>
      <c r="E114" s="22"/>
      <c r="F114" s="9"/>
      <c r="G114" s="14" t="str">
        <f t="shared" si="2"/>
        <v/>
      </c>
      <c r="H114" s="15"/>
      <c r="I114" s="16" t="s">
        <v>252</v>
      </c>
      <c r="J114" s="15"/>
      <c r="K114" s="17" t="s">
        <v>253</v>
      </c>
      <c r="L114" s="18">
        <f t="shared" si="3"/>
        <v>200603680765041</v>
      </c>
    </row>
    <row r="115" spans="1:12" x14ac:dyDescent="0.3">
      <c r="A115" s="19"/>
      <c r="B115" s="20"/>
      <c r="C115" s="21"/>
      <c r="D115" s="20"/>
      <c r="E115" s="22"/>
      <c r="F115" s="9"/>
      <c r="G115" s="14" t="str">
        <f t="shared" si="2"/>
        <v/>
      </c>
      <c r="H115" s="15"/>
      <c r="I115" s="16"/>
      <c r="J115" s="15"/>
      <c r="K115" s="17" t="s">
        <v>254</v>
      </c>
      <c r="L115" s="18" t="e">
        <f t="shared" si="3"/>
        <v>#N/A</v>
      </c>
    </row>
    <row r="116" spans="1:12" x14ac:dyDescent="0.3">
      <c r="A116" s="19"/>
      <c r="B116" s="20"/>
      <c r="C116" s="21"/>
      <c r="D116" s="20"/>
      <c r="E116" s="22"/>
      <c r="F116" s="9"/>
      <c r="G116" s="14" t="str">
        <f t="shared" si="2"/>
        <v/>
      </c>
      <c r="H116" s="15"/>
      <c r="I116" s="16" t="s">
        <v>255</v>
      </c>
      <c r="J116" s="15"/>
      <c r="K116" s="17" t="s">
        <v>256</v>
      </c>
      <c r="L116" s="18">
        <f t="shared" si="3"/>
        <v>20060368076532</v>
      </c>
    </row>
    <row r="117" spans="1:12" x14ac:dyDescent="0.3">
      <c r="A117" s="23">
        <f>COUNTIFS($B$2:B117,B117)</f>
        <v>1</v>
      </c>
      <c r="B117" s="20" t="s">
        <v>257</v>
      </c>
      <c r="C117" s="21">
        <v>20060368076245</v>
      </c>
      <c r="D117" s="20" t="s">
        <v>210</v>
      </c>
      <c r="E117" s="22">
        <v>15.488105004101721</v>
      </c>
      <c r="F117" s="9"/>
      <c r="G117" s="14" t="str">
        <f t="shared" si="2"/>
        <v>O</v>
      </c>
      <c r="H117" s="15"/>
      <c r="I117" s="16" t="s">
        <v>205</v>
      </c>
      <c r="J117" s="15"/>
      <c r="K117" s="17" t="s">
        <v>258</v>
      </c>
      <c r="L117" s="18">
        <f t="shared" si="3"/>
        <v>20060368076537</v>
      </c>
    </row>
    <row r="118" spans="1:12" x14ac:dyDescent="0.3">
      <c r="A118" s="19">
        <f>COUNTIFS($B$2:B118,B118)</f>
        <v>2</v>
      </c>
      <c r="B118" s="20" t="s">
        <v>257</v>
      </c>
      <c r="C118" s="21">
        <v>20060368076245</v>
      </c>
      <c r="D118" s="20" t="s">
        <v>213</v>
      </c>
      <c r="E118" s="22">
        <v>13.552091878589007</v>
      </c>
      <c r="F118" s="9"/>
      <c r="G118" s="14" t="str">
        <f t="shared" si="2"/>
        <v>O</v>
      </c>
      <c r="H118" s="15"/>
      <c r="I118" s="16" t="s">
        <v>208</v>
      </c>
      <c r="J118" s="15"/>
      <c r="K118" s="17" t="s">
        <v>259</v>
      </c>
      <c r="L118" s="18">
        <f t="shared" si="3"/>
        <v>200603680765371</v>
      </c>
    </row>
    <row r="119" spans="1:12" x14ac:dyDescent="0.3">
      <c r="A119" s="19">
        <f>COUNTIFS($B$2:B119,B119)</f>
        <v>3</v>
      </c>
      <c r="B119" s="20" t="s">
        <v>257</v>
      </c>
      <c r="C119" s="21">
        <v>20060368076245</v>
      </c>
      <c r="D119" s="20" t="s">
        <v>260</v>
      </c>
      <c r="E119" s="22">
        <v>7.7440525020508604</v>
      </c>
      <c r="F119" s="9"/>
      <c r="G119" s="14" t="str">
        <f t="shared" si="2"/>
        <v>O</v>
      </c>
      <c r="H119" s="15"/>
      <c r="I119" s="16" t="s">
        <v>261</v>
      </c>
      <c r="J119" s="15"/>
      <c r="K119" s="17" t="s">
        <v>262</v>
      </c>
      <c r="L119" s="18">
        <f t="shared" si="3"/>
        <v>20060368076542</v>
      </c>
    </row>
    <row r="120" spans="1:12" x14ac:dyDescent="0.3">
      <c r="A120" s="19">
        <f>COUNTIFS($B$2:B120,B120)</f>
        <v>4</v>
      </c>
      <c r="B120" s="20" t="s">
        <v>257</v>
      </c>
      <c r="C120" s="21">
        <v>20060368076245</v>
      </c>
      <c r="D120" s="20" t="s">
        <v>263</v>
      </c>
      <c r="E120" s="22">
        <v>7.7440525020508604</v>
      </c>
      <c r="F120" s="9"/>
      <c r="G120" s="14" t="str">
        <f t="shared" si="2"/>
        <v>O</v>
      </c>
      <c r="H120" s="15"/>
      <c r="I120" s="16" t="s">
        <v>264</v>
      </c>
      <c r="J120" s="15"/>
      <c r="K120" s="17" t="s">
        <v>265</v>
      </c>
      <c r="L120" s="18">
        <f t="shared" si="3"/>
        <v>20060368076543</v>
      </c>
    </row>
    <row r="121" spans="1:12" x14ac:dyDescent="0.3">
      <c r="A121" s="19">
        <f>COUNTIFS($B$2:B121,B121)</f>
        <v>5</v>
      </c>
      <c r="B121" s="20" t="s">
        <v>257</v>
      </c>
      <c r="C121" s="21">
        <v>20060368076245</v>
      </c>
      <c r="D121" s="20" t="s">
        <v>206</v>
      </c>
      <c r="E121" s="22">
        <v>27.104183757178014</v>
      </c>
      <c r="F121" s="9"/>
      <c r="G121" s="14" t="str">
        <f t="shared" si="2"/>
        <v>O</v>
      </c>
      <c r="H121" s="15"/>
      <c r="I121" s="16" t="s">
        <v>266</v>
      </c>
      <c r="J121" s="15"/>
      <c r="K121" s="17" t="s">
        <v>267</v>
      </c>
      <c r="L121" s="18">
        <f t="shared" si="3"/>
        <v>20060368076543</v>
      </c>
    </row>
    <row r="122" spans="1:12" x14ac:dyDescent="0.3">
      <c r="A122" s="19">
        <f>COUNTIFS($B$2:B122,B122)</f>
        <v>6</v>
      </c>
      <c r="B122" s="20" t="s">
        <v>257</v>
      </c>
      <c r="C122" s="21">
        <v>20060368076245</v>
      </c>
      <c r="D122" s="20" t="s">
        <v>268</v>
      </c>
      <c r="E122" s="22">
        <v>1.5488105004101722</v>
      </c>
      <c r="F122" s="9"/>
      <c r="G122" s="14" t="str">
        <f t="shared" si="2"/>
        <v>O</v>
      </c>
      <c r="H122" s="15"/>
      <c r="I122" s="16" t="s">
        <v>12</v>
      </c>
      <c r="J122" s="15"/>
      <c r="K122" s="17" t="s">
        <v>269</v>
      </c>
      <c r="L122" s="18">
        <f t="shared" si="3"/>
        <v>20060368076243</v>
      </c>
    </row>
    <row r="123" spans="1:12" x14ac:dyDescent="0.3">
      <c r="A123" s="19">
        <f>COUNTIFS($B$2:B123,B123)</f>
        <v>7</v>
      </c>
      <c r="B123" s="20" t="s">
        <v>257</v>
      </c>
      <c r="C123" s="21">
        <v>20060368076245</v>
      </c>
      <c r="D123" s="20" t="s">
        <v>132</v>
      </c>
      <c r="E123" s="22">
        <v>0.7744052502050861</v>
      </c>
      <c r="F123" s="9"/>
      <c r="G123" s="14" t="str">
        <f t="shared" si="2"/>
        <v>O</v>
      </c>
      <c r="H123" s="15"/>
      <c r="I123" s="16" t="s">
        <v>270</v>
      </c>
      <c r="J123" s="15"/>
      <c r="K123" s="17" t="s">
        <v>271</v>
      </c>
      <c r="L123" s="18">
        <f t="shared" si="3"/>
        <v>20060368076541</v>
      </c>
    </row>
    <row r="124" spans="1:12" x14ac:dyDescent="0.3">
      <c r="A124" s="19">
        <f>COUNTIFS($B$2:B124,B124)</f>
        <v>8</v>
      </c>
      <c r="B124" s="20" t="s">
        <v>257</v>
      </c>
      <c r="C124" s="21">
        <v>20060368076245</v>
      </c>
      <c r="D124" s="20" t="s">
        <v>272</v>
      </c>
      <c r="E124" s="22">
        <v>7.7440525020508604</v>
      </c>
      <c r="F124" s="9"/>
      <c r="G124" s="14" t="str">
        <f t="shared" si="2"/>
        <v>O</v>
      </c>
      <c r="H124" s="15"/>
      <c r="I124" s="16" t="s">
        <v>273</v>
      </c>
      <c r="J124" s="15"/>
      <c r="K124" s="17" t="s">
        <v>274</v>
      </c>
      <c r="L124" s="18">
        <f t="shared" si="3"/>
        <v>20060368076242</v>
      </c>
    </row>
    <row r="125" spans="1:12" x14ac:dyDescent="0.3">
      <c r="A125" s="19">
        <f>COUNTIFS($B$2:B125,B125)</f>
        <v>9</v>
      </c>
      <c r="B125" s="20" t="s">
        <v>257</v>
      </c>
      <c r="C125" s="21">
        <v>20060368076245</v>
      </c>
      <c r="D125" s="20" t="s">
        <v>168</v>
      </c>
      <c r="E125" s="22">
        <v>7.2600492206726823</v>
      </c>
      <c r="F125" s="9"/>
      <c r="G125" s="14" t="str">
        <f t="shared" si="2"/>
        <v>O</v>
      </c>
      <c r="H125" s="15"/>
      <c r="I125" s="16"/>
      <c r="J125" s="15"/>
      <c r="K125" s="17" t="s">
        <v>275</v>
      </c>
      <c r="L125" s="18">
        <f t="shared" si="3"/>
        <v>20060368076541</v>
      </c>
    </row>
    <row r="126" spans="1:12" x14ac:dyDescent="0.3">
      <c r="A126" s="19">
        <f>COUNTIFS($B$2:B126,B126)</f>
        <v>10</v>
      </c>
      <c r="B126" s="20" t="s">
        <v>257</v>
      </c>
      <c r="C126" s="21">
        <v>20060368076245</v>
      </c>
      <c r="D126" s="20" t="s">
        <v>21</v>
      </c>
      <c r="E126" s="22">
        <v>29.040196882690729</v>
      </c>
      <c r="F126" s="9"/>
      <c r="G126" s="14" t="str">
        <f t="shared" si="2"/>
        <v>O</v>
      </c>
      <c r="H126" s="15"/>
      <c r="I126" s="16" t="s">
        <v>276</v>
      </c>
      <c r="J126" s="15"/>
      <c r="K126" s="17" t="s">
        <v>277</v>
      </c>
      <c r="L126" s="18">
        <f t="shared" si="3"/>
        <v>20060368076550</v>
      </c>
    </row>
    <row r="127" spans="1:12" x14ac:dyDescent="0.3">
      <c r="A127" s="23">
        <f>COUNTIFS($B$2:B127,B127)</f>
        <v>1</v>
      </c>
      <c r="B127" s="20" t="s">
        <v>278</v>
      </c>
      <c r="C127" s="21">
        <v>20060368076479</v>
      </c>
      <c r="D127" s="20" t="s">
        <v>210</v>
      </c>
      <c r="E127" s="22">
        <v>52.213437148820034</v>
      </c>
      <c r="F127" s="9"/>
      <c r="G127" s="14" t="str">
        <f t="shared" si="2"/>
        <v>O</v>
      </c>
      <c r="H127" s="15"/>
      <c r="I127" s="16" t="s">
        <v>272</v>
      </c>
      <c r="J127" s="15"/>
      <c r="K127" s="17" t="s">
        <v>279</v>
      </c>
      <c r="L127" s="18">
        <f t="shared" si="3"/>
        <v>20060368076560</v>
      </c>
    </row>
    <row r="128" spans="1:12" x14ac:dyDescent="0.3">
      <c r="A128" s="19">
        <f>COUNTIFS($B$2:B128,B128)</f>
        <v>2</v>
      </c>
      <c r="B128" s="20" t="s">
        <v>278</v>
      </c>
      <c r="C128" s="21">
        <v>20060368076479</v>
      </c>
      <c r="D128" s="20" t="s">
        <v>213</v>
      </c>
      <c r="E128" s="22">
        <v>44.754374698988599</v>
      </c>
      <c r="F128" s="9"/>
      <c r="G128" s="14" t="str">
        <f t="shared" si="2"/>
        <v>O</v>
      </c>
      <c r="H128" s="15"/>
      <c r="I128" s="16" t="s">
        <v>280</v>
      </c>
      <c r="J128" s="15"/>
      <c r="K128" s="17" t="s">
        <v>281</v>
      </c>
      <c r="L128" s="18">
        <f t="shared" si="3"/>
        <v>20060368076562</v>
      </c>
    </row>
    <row r="129" spans="1:12" x14ac:dyDescent="0.3">
      <c r="A129" s="19">
        <f>COUNTIFS($B$2:B129,B129)</f>
        <v>3</v>
      </c>
      <c r="B129" s="20" t="s">
        <v>278</v>
      </c>
      <c r="C129" s="21">
        <v>20060368076479</v>
      </c>
      <c r="D129" s="20" t="s">
        <v>263</v>
      </c>
      <c r="E129" s="22">
        <v>8.9508749397977194</v>
      </c>
      <c r="F129" s="9"/>
      <c r="G129" s="14" t="str">
        <f t="shared" si="2"/>
        <v>O</v>
      </c>
      <c r="H129" s="15"/>
      <c r="I129" s="16" t="s">
        <v>282</v>
      </c>
      <c r="J129" s="15"/>
      <c r="K129" s="17" t="s">
        <v>283</v>
      </c>
      <c r="L129" s="18" t="e">
        <f t="shared" si="3"/>
        <v>#N/A</v>
      </c>
    </row>
    <row r="130" spans="1:12" x14ac:dyDescent="0.3">
      <c r="A130" s="19">
        <f>COUNTIFS($B$2:B130,B130)</f>
        <v>4</v>
      </c>
      <c r="B130" s="20" t="s">
        <v>278</v>
      </c>
      <c r="C130" s="21">
        <v>20060368076479</v>
      </c>
      <c r="D130" s="20" t="s">
        <v>255</v>
      </c>
      <c r="E130" s="22">
        <v>10.442687429764007</v>
      </c>
      <c r="F130" s="9"/>
      <c r="G130" s="14" t="str">
        <f t="shared" ref="G130:G166" si="4">IF(D130="","",IF(COUNTIF(I:I,D130)&gt;0,"O","X"))</f>
        <v>O</v>
      </c>
      <c r="H130" s="15"/>
      <c r="I130" s="16" t="s">
        <v>284</v>
      </c>
      <c r="J130" s="15"/>
      <c r="K130" s="17" t="s">
        <v>285</v>
      </c>
      <c r="L130" s="18">
        <f t="shared" ref="L130:L193" si="5">VLOOKUP(K130,B:C,2,FALSE)</f>
        <v>20060368076563</v>
      </c>
    </row>
    <row r="131" spans="1:12" x14ac:dyDescent="0.3">
      <c r="A131" s="19">
        <f>COUNTIFS($B$2:B131,B131)</f>
        <v>5</v>
      </c>
      <c r="B131" s="20" t="s">
        <v>278</v>
      </c>
      <c r="C131" s="21">
        <v>20060368076479</v>
      </c>
      <c r="D131" s="20" t="s">
        <v>206</v>
      </c>
      <c r="E131" s="22">
        <v>74.590624498314341</v>
      </c>
      <c r="F131" s="9"/>
      <c r="G131" s="14" t="str">
        <f t="shared" si="4"/>
        <v>O</v>
      </c>
      <c r="H131" s="15"/>
      <c r="I131" s="16" t="s">
        <v>286</v>
      </c>
      <c r="J131" s="15"/>
      <c r="K131" s="17" t="s">
        <v>287</v>
      </c>
      <c r="L131" s="18">
        <f t="shared" si="5"/>
        <v>20060368076564</v>
      </c>
    </row>
    <row r="132" spans="1:12" x14ac:dyDescent="0.3">
      <c r="A132" s="19">
        <f>COUNTIFS($B$2:B132,B132)</f>
        <v>6</v>
      </c>
      <c r="B132" s="20" t="s">
        <v>278</v>
      </c>
      <c r="C132" s="21">
        <v>20060368076479</v>
      </c>
      <c r="D132" s="20" t="s">
        <v>172</v>
      </c>
      <c r="E132" s="22">
        <v>5.9672499598651472</v>
      </c>
      <c r="F132" s="9"/>
      <c r="G132" s="14" t="str">
        <f t="shared" si="4"/>
        <v>O</v>
      </c>
      <c r="H132" s="15"/>
      <c r="I132" s="16" t="s">
        <v>288</v>
      </c>
      <c r="J132" s="15"/>
      <c r="K132" s="17" t="s">
        <v>289</v>
      </c>
      <c r="L132" s="18" t="e">
        <f t="shared" si="5"/>
        <v>#N/A</v>
      </c>
    </row>
    <row r="133" spans="1:12" x14ac:dyDescent="0.3">
      <c r="A133" s="19">
        <f>COUNTIFS($B$2:B133,B133)</f>
        <v>7</v>
      </c>
      <c r="B133" s="20" t="s">
        <v>278</v>
      </c>
      <c r="C133" s="21">
        <v>20060368076479</v>
      </c>
      <c r="D133" s="20" t="s">
        <v>222</v>
      </c>
      <c r="E133" s="22">
        <v>0.56262642478728531</v>
      </c>
      <c r="F133" s="9"/>
      <c r="G133" s="14" t="str">
        <f t="shared" si="4"/>
        <v>O</v>
      </c>
      <c r="H133" s="15"/>
      <c r="I133" s="16" t="s">
        <v>290</v>
      </c>
      <c r="J133" s="15"/>
      <c r="K133" s="17" t="s">
        <v>291</v>
      </c>
      <c r="L133" s="18">
        <f t="shared" si="5"/>
        <v>20060368076565</v>
      </c>
    </row>
    <row r="134" spans="1:12" x14ac:dyDescent="0.3">
      <c r="A134" s="19">
        <f>COUNTIFS($B$2:B134,B134)</f>
        <v>8</v>
      </c>
      <c r="B134" s="20" t="s">
        <v>278</v>
      </c>
      <c r="C134" s="21">
        <v>20060368076479</v>
      </c>
      <c r="D134" s="20" t="s">
        <v>44</v>
      </c>
      <c r="E134" s="22">
        <v>14.918124899662866</v>
      </c>
      <c r="F134" s="9"/>
      <c r="G134" s="14" t="str">
        <f t="shared" si="4"/>
        <v>O</v>
      </c>
      <c r="H134" s="15"/>
      <c r="I134" s="16" t="s">
        <v>292</v>
      </c>
      <c r="J134" s="15"/>
      <c r="K134" s="17" t="s">
        <v>293</v>
      </c>
      <c r="L134" s="18" t="e">
        <f t="shared" si="5"/>
        <v>#N/A</v>
      </c>
    </row>
    <row r="135" spans="1:12" x14ac:dyDescent="0.3">
      <c r="A135" s="23">
        <f>COUNTIFS($B$2:B135,B135)</f>
        <v>1</v>
      </c>
      <c r="B135" s="20" t="s">
        <v>294</v>
      </c>
      <c r="C135" s="21">
        <v>20060368076247</v>
      </c>
      <c r="D135" s="20" t="s">
        <v>210</v>
      </c>
      <c r="E135" s="22">
        <v>29.01</v>
      </c>
      <c r="F135" s="9"/>
      <c r="G135" s="14" t="str">
        <f>IF(D136="","",IF(COUNTIF(I:I,D136)&gt;0,"O","X"))</f>
        <v>O</v>
      </c>
      <c r="H135" s="15"/>
      <c r="I135" s="16" t="s">
        <v>295</v>
      </c>
      <c r="J135" s="15"/>
      <c r="K135" s="17" t="s">
        <v>296</v>
      </c>
      <c r="L135" s="18">
        <f t="shared" si="5"/>
        <v>20060368076566</v>
      </c>
    </row>
    <row r="136" spans="1:12" x14ac:dyDescent="0.3">
      <c r="A136" s="19">
        <f>COUNTIFS($B$2:B136,B136)</f>
        <v>2</v>
      </c>
      <c r="B136" s="20" t="s">
        <v>294</v>
      </c>
      <c r="C136" s="21">
        <v>20060368076247</v>
      </c>
      <c r="D136" s="20" t="s">
        <v>213</v>
      </c>
      <c r="E136" s="22">
        <v>24.86354149943811</v>
      </c>
      <c r="F136" s="9"/>
      <c r="G136" s="14" t="str">
        <f>IF(D137="","",IF(COUNTIF(I:I,D137)&gt;0,"O","X"))</f>
        <v>O</v>
      </c>
      <c r="H136" s="15"/>
      <c r="I136" s="16" t="s">
        <v>32</v>
      </c>
      <c r="J136" s="15"/>
      <c r="K136" s="17" t="s">
        <v>297</v>
      </c>
      <c r="L136" s="18" t="e">
        <f t="shared" si="5"/>
        <v>#N/A</v>
      </c>
    </row>
    <row r="137" spans="1:12" x14ac:dyDescent="0.3">
      <c r="A137" s="19">
        <f>COUNTIFS($B$2:B137,B137)</f>
        <v>3</v>
      </c>
      <c r="B137" s="20" t="s">
        <v>294</v>
      </c>
      <c r="C137" s="21">
        <v>20060368076247</v>
      </c>
      <c r="D137" s="20" t="s">
        <v>263</v>
      </c>
      <c r="E137" s="22">
        <v>4.9727082998876222</v>
      </c>
      <c r="F137" s="9"/>
      <c r="G137" s="14" t="str">
        <f t="shared" ref="G137:G200" si="6">IF(D137="","",IF(COUNTIF(I:I,D137)&gt;0,"O","X"))</f>
        <v>O</v>
      </c>
      <c r="H137" s="15"/>
      <c r="I137" s="16" t="s">
        <v>298</v>
      </c>
      <c r="J137" s="15">
        <v>10000</v>
      </c>
      <c r="K137" s="17" t="s">
        <v>299</v>
      </c>
      <c r="L137" s="18">
        <f t="shared" si="5"/>
        <v>20060368076567</v>
      </c>
    </row>
    <row r="138" spans="1:12" x14ac:dyDescent="0.3">
      <c r="A138" s="19">
        <f>COUNTIFS($B$2:B138,B138)</f>
        <v>4</v>
      </c>
      <c r="B138" s="20" t="s">
        <v>294</v>
      </c>
      <c r="C138" s="21">
        <v>20060368076247</v>
      </c>
      <c r="D138" s="20" t="s">
        <v>255</v>
      </c>
      <c r="E138" s="22">
        <v>5.8014930165355585</v>
      </c>
      <c r="F138" s="9"/>
      <c r="G138" s="14" t="str">
        <f t="shared" si="6"/>
        <v>O</v>
      </c>
      <c r="H138" s="15"/>
      <c r="I138" s="16"/>
      <c r="J138" s="15"/>
      <c r="K138" s="17" t="s">
        <v>300</v>
      </c>
      <c r="L138" s="18" t="e">
        <f t="shared" si="5"/>
        <v>#N/A</v>
      </c>
    </row>
    <row r="139" spans="1:12" x14ac:dyDescent="0.3">
      <c r="A139" s="19">
        <f>COUNTIFS($B$2:B139,B139)</f>
        <v>5</v>
      </c>
      <c r="B139" s="20" t="s">
        <v>294</v>
      </c>
      <c r="C139" s="21">
        <v>20060368076247</v>
      </c>
      <c r="D139" s="20" t="s">
        <v>206</v>
      </c>
      <c r="E139" s="22">
        <v>41.439235832396854</v>
      </c>
      <c r="F139" s="9"/>
      <c r="G139" s="14" t="str">
        <f t="shared" si="6"/>
        <v>O</v>
      </c>
      <c r="H139" s="15"/>
      <c r="I139" s="16" t="s">
        <v>301</v>
      </c>
      <c r="J139" s="15"/>
      <c r="K139" s="17" t="s">
        <v>302</v>
      </c>
      <c r="L139" s="18">
        <f t="shared" si="5"/>
        <v>20060368076568</v>
      </c>
    </row>
    <row r="140" spans="1:12" x14ac:dyDescent="0.3">
      <c r="A140" s="19">
        <f>COUNTIFS($B$2:B140,B140)</f>
        <v>6</v>
      </c>
      <c r="B140" s="20" t="s">
        <v>294</v>
      </c>
      <c r="C140" s="21">
        <v>20060368076247</v>
      </c>
      <c r="D140" s="20" t="s">
        <v>172</v>
      </c>
      <c r="E140" s="22">
        <v>3.3151388665917487</v>
      </c>
      <c r="F140" s="9"/>
      <c r="G140" s="14" t="str">
        <f t="shared" si="6"/>
        <v>O</v>
      </c>
      <c r="H140" s="15"/>
      <c r="I140" s="16" t="s">
        <v>303</v>
      </c>
      <c r="J140" s="15"/>
      <c r="K140" s="17" t="s">
        <v>304</v>
      </c>
      <c r="L140" s="18">
        <f t="shared" si="5"/>
        <v>20060368076278</v>
      </c>
    </row>
    <row r="141" spans="1:12" x14ac:dyDescent="0.3">
      <c r="A141" s="19">
        <f>COUNTIFS($B$2:B141,B141)</f>
        <v>7</v>
      </c>
      <c r="B141" s="20" t="s">
        <v>294</v>
      </c>
      <c r="C141" s="21">
        <v>20060368076247</v>
      </c>
      <c r="D141" s="20" t="s">
        <v>222</v>
      </c>
      <c r="E141" s="22">
        <v>0.31257023599293626</v>
      </c>
      <c r="F141" s="9"/>
      <c r="G141" s="14" t="str">
        <f t="shared" si="6"/>
        <v>O</v>
      </c>
      <c r="H141" s="15"/>
      <c r="I141" s="16" t="s">
        <v>305</v>
      </c>
      <c r="J141" s="15">
        <v>60</v>
      </c>
      <c r="K141" s="17" t="s">
        <v>306</v>
      </c>
      <c r="L141" s="18">
        <f t="shared" si="5"/>
        <v>20060368076570</v>
      </c>
    </row>
    <row r="142" spans="1:12" x14ac:dyDescent="0.3">
      <c r="A142" s="19">
        <f>COUNTIFS($B$2:B142,B142)</f>
        <v>8</v>
      </c>
      <c r="B142" s="20" t="s">
        <v>294</v>
      </c>
      <c r="C142" s="21">
        <v>20060368076247</v>
      </c>
      <c r="D142" s="20" t="s">
        <v>44</v>
      </c>
      <c r="E142" s="22">
        <v>8.28784716647937</v>
      </c>
      <c r="F142" s="9"/>
      <c r="G142" s="14" t="str">
        <f t="shared" si="6"/>
        <v>O</v>
      </c>
      <c r="H142" s="15"/>
      <c r="I142" s="16" t="s">
        <v>307</v>
      </c>
      <c r="J142" s="15"/>
      <c r="K142" s="17" t="s">
        <v>308</v>
      </c>
      <c r="L142" s="18">
        <f t="shared" si="5"/>
        <v>20060368076571</v>
      </c>
    </row>
    <row r="143" spans="1:12" x14ac:dyDescent="0.3">
      <c r="A143" s="23">
        <f>COUNTIFS($B$2:B143,B143)</f>
        <v>1</v>
      </c>
      <c r="B143" s="20" t="s">
        <v>309</v>
      </c>
      <c r="C143" s="21">
        <v>20060368076249</v>
      </c>
      <c r="D143" s="20" t="s">
        <v>210</v>
      </c>
      <c r="E143" s="22">
        <v>41.763191763191763</v>
      </c>
      <c r="F143" s="9"/>
      <c r="G143" s="14" t="str">
        <f t="shared" si="6"/>
        <v>O</v>
      </c>
      <c r="H143" s="15"/>
      <c r="I143" s="16" t="s">
        <v>310</v>
      </c>
      <c r="J143" s="15"/>
      <c r="K143" s="17" t="s">
        <v>311</v>
      </c>
      <c r="L143" s="18">
        <f t="shared" si="5"/>
        <v>20060368076575</v>
      </c>
    </row>
    <row r="144" spans="1:12" x14ac:dyDescent="0.3">
      <c r="A144" s="19">
        <f>COUNTIFS($B$2:B144,B144)</f>
        <v>2</v>
      </c>
      <c r="B144" s="20" t="s">
        <v>309</v>
      </c>
      <c r="C144" s="21">
        <v>20060368076249</v>
      </c>
      <c r="D144" s="20" t="s">
        <v>11</v>
      </c>
      <c r="E144" s="22">
        <v>6.9858429858429858</v>
      </c>
      <c r="F144" s="9"/>
      <c r="G144" s="14" t="str">
        <f t="shared" si="6"/>
        <v>O</v>
      </c>
      <c r="H144" s="15"/>
      <c r="I144" s="16" t="s">
        <v>312</v>
      </c>
      <c r="J144" s="15"/>
      <c r="K144" s="17" t="s">
        <v>313</v>
      </c>
      <c r="L144" s="18">
        <f t="shared" si="5"/>
        <v>20060368076576</v>
      </c>
    </row>
    <row r="145" spans="1:12" x14ac:dyDescent="0.3">
      <c r="A145" s="19">
        <f>COUNTIFS($B$2:B145,B145)</f>
        <v>3</v>
      </c>
      <c r="B145" s="20" t="s">
        <v>309</v>
      </c>
      <c r="C145" s="21">
        <v>20060368076249</v>
      </c>
      <c r="D145" s="20" t="s">
        <v>213</v>
      </c>
      <c r="E145" s="22">
        <v>16.705276705276706</v>
      </c>
      <c r="F145" s="9"/>
      <c r="G145" s="14" t="str">
        <f t="shared" si="6"/>
        <v>O</v>
      </c>
      <c r="H145" s="15"/>
      <c r="I145" s="16" t="s">
        <v>314</v>
      </c>
      <c r="J145" s="15"/>
      <c r="K145" s="17" t="s">
        <v>315</v>
      </c>
      <c r="L145" s="18">
        <f t="shared" si="5"/>
        <v>20060368076577</v>
      </c>
    </row>
    <row r="146" spans="1:12" x14ac:dyDescent="0.3">
      <c r="A146" s="19">
        <f>COUNTIFS($B$2:B146,B146)</f>
        <v>4</v>
      </c>
      <c r="B146" s="20" t="s">
        <v>309</v>
      </c>
      <c r="C146" s="21">
        <v>20060368076249</v>
      </c>
      <c r="D146" s="20" t="s">
        <v>206</v>
      </c>
      <c r="E146" s="22">
        <v>49.204633204633211</v>
      </c>
      <c r="F146" s="9"/>
      <c r="G146" s="14" t="str">
        <f t="shared" si="6"/>
        <v>O</v>
      </c>
      <c r="H146" s="15"/>
      <c r="I146" s="16" t="s">
        <v>316</v>
      </c>
      <c r="J146" s="15"/>
      <c r="K146" s="17" t="s">
        <v>317</v>
      </c>
      <c r="L146" s="18">
        <f t="shared" si="5"/>
        <v>20060368076578</v>
      </c>
    </row>
    <row r="147" spans="1:12" x14ac:dyDescent="0.3">
      <c r="A147" s="19">
        <f>COUNTIFS($B$2:B147,B147)</f>
        <v>5</v>
      </c>
      <c r="B147" s="20" t="s">
        <v>309</v>
      </c>
      <c r="C147" s="21">
        <v>20060368076249</v>
      </c>
      <c r="D147" s="20" t="s">
        <v>222</v>
      </c>
      <c r="E147" s="22">
        <v>0.30373230373230381</v>
      </c>
      <c r="F147" s="9"/>
      <c r="G147" s="14" t="str">
        <f t="shared" si="6"/>
        <v>O</v>
      </c>
      <c r="H147" s="15"/>
      <c r="I147" s="16" t="s">
        <v>318</v>
      </c>
      <c r="J147" s="15"/>
      <c r="K147" s="17" t="s">
        <v>319</v>
      </c>
      <c r="L147" s="18">
        <f t="shared" si="5"/>
        <v>200603680765781</v>
      </c>
    </row>
    <row r="148" spans="1:12" x14ac:dyDescent="0.3">
      <c r="A148" s="19">
        <f>COUNTIFS($B$2:B148,B148)</f>
        <v>6</v>
      </c>
      <c r="B148" s="20" t="s">
        <v>309</v>
      </c>
      <c r="C148" s="21">
        <v>20060368076249</v>
      </c>
      <c r="D148" s="20" t="s">
        <v>102</v>
      </c>
      <c r="E148" s="22">
        <v>3.0373230373230378</v>
      </c>
      <c r="F148" s="9"/>
      <c r="G148" s="14" t="str">
        <f t="shared" si="6"/>
        <v>O</v>
      </c>
      <c r="H148" s="15"/>
      <c r="I148" s="16" t="s">
        <v>320</v>
      </c>
      <c r="J148" s="15"/>
      <c r="K148" s="17" t="s">
        <v>321</v>
      </c>
      <c r="L148" s="18" t="e">
        <f t="shared" si="5"/>
        <v>#N/A</v>
      </c>
    </row>
    <row r="149" spans="1:12" x14ac:dyDescent="0.3">
      <c r="A149" s="23">
        <f>COUNTIFS($B$2:B149,B149)</f>
        <v>1</v>
      </c>
      <c r="B149" s="20" t="s">
        <v>322</v>
      </c>
      <c r="C149" s="21">
        <v>20060368076250</v>
      </c>
      <c r="D149" s="20" t="s">
        <v>206</v>
      </c>
      <c r="E149" s="22">
        <v>44.847840531561431</v>
      </c>
      <c r="F149" s="9"/>
      <c r="G149" s="14" t="str">
        <f t="shared" si="6"/>
        <v>O</v>
      </c>
      <c r="H149" s="15"/>
      <c r="I149" s="16" t="s">
        <v>323</v>
      </c>
      <c r="J149" s="15">
        <v>5000</v>
      </c>
      <c r="K149" s="17" t="s">
        <v>324</v>
      </c>
      <c r="L149" s="18" t="e">
        <f t="shared" si="5"/>
        <v>#N/A</v>
      </c>
    </row>
    <row r="150" spans="1:12" x14ac:dyDescent="0.3">
      <c r="A150" s="19">
        <f>COUNTIFS($B$2:B150,B150)</f>
        <v>2</v>
      </c>
      <c r="B150" s="20" t="s">
        <v>322</v>
      </c>
      <c r="C150" s="21">
        <v>20060368076250</v>
      </c>
      <c r="D150" s="20" t="s">
        <v>325</v>
      </c>
      <c r="E150" s="22">
        <v>0.70564784053156093</v>
      </c>
      <c r="F150" s="9"/>
      <c r="G150" s="14" t="str">
        <f t="shared" si="6"/>
        <v>O</v>
      </c>
      <c r="H150" s="15"/>
      <c r="I150" s="16" t="s">
        <v>326</v>
      </c>
      <c r="J150" s="15"/>
      <c r="K150" s="17" t="s">
        <v>327</v>
      </c>
      <c r="L150" s="18">
        <f t="shared" si="5"/>
        <v>20060368076580</v>
      </c>
    </row>
    <row r="151" spans="1:12" x14ac:dyDescent="0.3">
      <c r="A151" s="19">
        <f>COUNTIFS($B$2:B151,B151)</f>
        <v>3</v>
      </c>
      <c r="B151" s="20" t="s">
        <v>322</v>
      </c>
      <c r="C151" s="21">
        <v>20060368076250</v>
      </c>
      <c r="D151" s="20" t="s">
        <v>172</v>
      </c>
      <c r="E151" s="22">
        <v>5.0179401993355484</v>
      </c>
      <c r="F151" s="9"/>
      <c r="G151" s="14" t="str">
        <f t="shared" si="6"/>
        <v>O</v>
      </c>
      <c r="H151" s="15"/>
      <c r="I151" s="16" t="s">
        <v>328</v>
      </c>
      <c r="J151" s="15"/>
      <c r="K151" s="17" t="s">
        <v>329</v>
      </c>
      <c r="L151" s="18">
        <f t="shared" si="5"/>
        <v>200603680765801</v>
      </c>
    </row>
    <row r="152" spans="1:12" x14ac:dyDescent="0.3">
      <c r="A152" s="19">
        <f>COUNTIFS($B$2:B152,B152)</f>
        <v>4</v>
      </c>
      <c r="B152" s="20" t="s">
        <v>322</v>
      </c>
      <c r="C152" s="21">
        <v>20060368076250</v>
      </c>
      <c r="D152" s="20" t="s">
        <v>196</v>
      </c>
      <c r="E152" s="22">
        <v>43.122923588039903</v>
      </c>
      <c r="F152" s="9"/>
      <c r="G152" s="14" t="str">
        <f t="shared" si="6"/>
        <v>O</v>
      </c>
      <c r="H152" s="15"/>
      <c r="I152" s="16" t="s">
        <v>330</v>
      </c>
      <c r="J152" s="15"/>
      <c r="K152" s="17" t="s">
        <v>331</v>
      </c>
      <c r="L152" s="18">
        <f t="shared" si="5"/>
        <v>20060368076581</v>
      </c>
    </row>
    <row r="153" spans="1:12" x14ac:dyDescent="0.3">
      <c r="A153" s="19">
        <f>COUNTIFS($B$2:B153,B153)</f>
        <v>5</v>
      </c>
      <c r="B153" s="20" t="s">
        <v>322</v>
      </c>
      <c r="C153" s="21">
        <v>20060368076250</v>
      </c>
      <c r="D153" s="20" t="s">
        <v>157</v>
      </c>
      <c r="E153" s="22">
        <v>17.24916943521589</v>
      </c>
      <c r="F153" s="9"/>
      <c r="G153" s="14" t="str">
        <f t="shared" si="6"/>
        <v>O</v>
      </c>
      <c r="H153" s="15"/>
      <c r="I153" s="16" t="s">
        <v>332</v>
      </c>
      <c r="J153" s="15"/>
      <c r="K153" s="17" t="s">
        <v>333</v>
      </c>
      <c r="L153" s="18" t="e">
        <f t="shared" si="5"/>
        <v>#N/A</v>
      </c>
    </row>
    <row r="154" spans="1:12" x14ac:dyDescent="0.3">
      <c r="A154" s="19">
        <f>COUNTIFS($B$2:B154,B154)</f>
        <v>6</v>
      </c>
      <c r="B154" s="20" t="s">
        <v>322</v>
      </c>
      <c r="C154" s="21">
        <v>20060368076250</v>
      </c>
      <c r="D154" s="20" t="s">
        <v>12</v>
      </c>
      <c r="E154" s="22">
        <v>7.0564784053156089</v>
      </c>
      <c r="F154" s="9"/>
      <c r="G154" s="14" t="str">
        <f t="shared" si="6"/>
        <v>O</v>
      </c>
      <c r="H154" s="15"/>
      <c r="I154" s="16" t="s">
        <v>334</v>
      </c>
      <c r="J154" s="15"/>
      <c r="K154" s="17" t="s">
        <v>335</v>
      </c>
      <c r="L154" s="18">
        <f t="shared" si="5"/>
        <v>20060368076582</v>
      </c>
    </row>
    <row r="155" spans="1:12" x14ac:dyDescent="0.3">
      <c r="A155" s="23">
        <f>COUNTIFS($B$2:B155,B155)</f>
        <v>1</v>
      </c>
      <c r="B155" s="20" t="s">
        <v>336</v>
      </c>
      <c r="C155" s="21">
        <v>20060368076251</v>
      </c>
      <c r="D155" s="20" t="s">
        <v>206</v>
      </c>
      <c r="E155" s="22">
        <v>50.487098472880454</v>
      </c>
      <c r="F155" s="9"/>
      <c r="G155" s="14" t="str">
        <f t="shared" si="6"/>
        <v>O</v>
      </c>
      <c r="H155" s="15"/>
      <c r="I155" s="16" t="s">
        <v>337</v>
      </c>
      <c r="J155" s="15"/>
      <c r="K155" s="17" t="s">
        <v>338</v>
      </c>
      <c r="L155" s="18" t="e">
        <f t="shared" si="5"/>
        <v>#N/A</v>
      </c>
    </row>
    <row r="156" spans="1:12" x14ac:dyDescent="0.3">
      <c r="A156" s="19">
        <f>COUNTIFS($B$2:B156,B156)</f>
        <v>2</v>
      </c>
      <c r="B156" s="20" t="s">
        <v>336</v>
      </c>
      <c r="C156" s="21">
        <v>20060368076251</v>
      </c>
      <c r="D156" s="20" t="s">
        <v>222</v>
      </c>
      <c r="E156" s="22">
        <v>0.71458662453923105</v>
      </c>
      <c r="F156" s="9"/>
      <c r="G156" s="14" t="str">
        <f t="shared" si="6"/>
        <v>O</v>
      </c>
      <c r="H156" s="15"/>
      <c r="I156" s="16" t="s">
        <v>339</v>
      </c>
      <c r="J156" s="15"/>
      <c r="K156" s="17" t="s">
        <v>340</v>
      </c>
      <c r="L156" s="18">
        <f t="shared" si="5"/>
        <v>420060368076595</v>
      </c>
    </row>
    <row r="157" spans="1:12" x14ac:dyDescent="0.3">
      <c r="A157" s="19">
        <f>COUNTIFS($B$2:B157,B157)</f>
        <v>3</v>
      </c>
      <c r="B157" s="20" t="s">
        <v>336</v>
      </c>
      <c r="C157" s="21">
        <v>20060368076251</v>
      </c>
      <c r="D157" s="20" t="s">
        <v>210</v>
      </c>
      <c r="E157" s="22">
        <v>42.71985255397577</v>
      </c>
      <c r="F157" s="9"/>
      <c r="G157" s="14" t="str">
        <f t="shared" si="6"/>
        <v>O</v>
      </c>
      <c r="H157" s="15"/>
      <c r="I157" s="16"/>
      <c r="J157" s="15"/>
      <c r="K157" s="17" t="s">
        <v>341</v>
      </c>
      <c r="L157" s="18">
        <f t="shared" si="5"/>
        <v>20060368076595</v>
      </c>
    </row>
    <row r="158" spans="1:12" x14ac:dyDescent="0.3">
      <c r="A158" s="19">
        <f>COUNTIFS($B$2:B158,B158)</f>
        <v>4</v>
      </c>
      <c r="B158" s="20" t="s">
        <v>336</v>
      </c>
      <c r="C158" s="21">
        <v>20060368076251</v>
      </c>
      <c r="D158" s="20" t="s">
        <v>213</v>
      </c>
      <c r="E158" s="22">
        <v>17.087941021590311</v>
      </c>
      <c r="F158" s="9"/>
      <c r="G158" s="14" t="str">
        <f t="shared" si="6"/>
        <v>O</v>
      </c>
      <c r="H158" s="15"/>
      <c r="I158" s="16"/>
      <c r="J158" s="15"/>
      <c r="K158" s="17" t="s">
        <v>342</v>
      </c>
      <c r="L158" s="18">
        <f t="shared" si="5"/>
        <v>20060368076596</v>
      </c>
    </row>
    <row r="159" spans="1:12" x14ac:dyDescent="0.3">
      <c r="A159" s="19">
        <f>COUNTIFS($B$2:B159,B159)</f>
        <v>5</v>
      </c>
      <c r="B159" s="20" t="s">
        <v>336</v>
      </c>
      <c r="C159" s="21">
        <v>20060368076251</v>
      </c>
      <c r="D159" s="20" t="s">
        <v>11</v>
      </c>
      <c r="E159" s="22">
        <v>6.9905213270142168</v>
      </c>
      <c r="F159" s="9"/>
      <c r="G159" s="14" t="str">
        <f t="shared" si="6"/>
        <v>O</v>
      </c>
      <c r="H159" s="15"/>
      <c r="I159" s="16" t="s">
        <v>343</v>
      </c>
      <c r="J159" s="15"/>
      <c r="K159" s="17" t="s">
        <v>344</v>
      </c>
      <c r="L159" s="18">
        <f t="shared" si="5"/>
        <v>20060368076598</v>
      </c>
    </row>
    <row r="160" spans="1:12" x14ac:dyDescent="0.3">
      <c r="A160" s="23">
        <f>COUNTIFS($B$2:B160,B160)</f>
        <v>1</v>
      </c>
      <c r="B160" s="20" t="s">
        <v>345</v>
      </c>
      <c r="C160" s="21">
        <v>20060368076252</v>
      </c>
      <c r="D160" s="20" t="s">
        <v>210</v>
      </c>
      <c r="E160" s="22">
        <v>42.590891193069957</v>
      </c>
      <c r="F160" s="9"/>
      <c r="G160" s="14" t="str">
        <f t="shared" si="6"/>
        <v>O</v>
      </c>
      <c r="H160" s="15"/>
      <c r="I160" s="16"/>
      <c r="J160" s="15"/>
      <c r="K160" s="17" t="s">
        <v>346</v>
      </c>
      <c r="L160" s="18">
        <f t="shared" si="5"/>
        <v>20060368076602</v>
      </c>
    </row>
    <row r="161" spans="1:12" x14ac:dyDescent="0.3">
      <c r="A161" s="19">
        <f>COUNTIFS($B$2:B161,B161)</f>
        <v>2</v>
      </c>
      <c r="B161" s="20" t="s">
        <v>345</v>
      </c>
      <c r="C161" s="21">
        <v>20060368076252</v>
      </c>
      <c r="D161" s="20" t="s">
        <v>157</v>
      </c>
      <c r="E161" s="22">
        <v>17.036356477227987</v>
      </c>
      <c r="F161" s="9"/>
      <c r="G161" s="14" t="str">
        <f t="shared" si="6"/>
        <v>O</v>
      </c>
      <c r="H161" s="15"/>
      <c r="I161" s="16" t="s">
        <v>347</v>
      </c>
      <c r="J161" s="15">
        <v>210000</v>
      </c>
      <c r="K161" s="17" t="s">
        <v>348</v>
      </c>
      <c r="L161" s="18">
        <f t="shared" si="5"/>
        <v>20060368076609</v>
      </c>
    </row>
    <row r="162" spans="1:12" x14ac:dyDescent="0.3">
      <c r="A162" s="19">
        <f>COUNTIFS($B$2:B162,B162)</f>
        <v>3</v>
      </c>
      <c r="B162" s="20" t="s">
        <v>345</v>
      </c>
      <c r="C162" s="21">
        <v>20060368076252</v>
      </c>
      <c r="D162" s="20" t="s">
        <v>11</v>
      </c>
      <c r="E162" s="22">
        <v>6.9694185588659936</v>
      </c>
      <c r="F162" s="9"/>
      <c r="G162" s="14" t="str">
        <f t="shared" si="6"/>
        <v>O</v>
      </c>
      <c r="H162" s="15"/>
      <c r="I162" s="16" t="s">
        <v>349</v>
      </c>
      <c r="J162" s="15"/>
      <c r="K162" s="17" t="s">
        <v>350</v>
      </c>
      <c r="L162" s="18">
        <f t="shared" si="5"/>
        <v>20060368076609</v>
      </c>
    </row>
    <row r="163" spans="1:12" x14ac:dyDescent="0.3">
      <c r="A163" s="19">
        <f>COUNTIFS($B$2:B163,B163)</f>
        <v>4</v>
      </c>
      <c r="B163" s="20" t="s">
        <v>345</v>
      </c>
      <c r="C163" s="21">
        <v>20060368076252</v>
      </c>
      <c r="D163" s="20" t="s">
        <v>206</v>
      </c>
      <c r="E163" s="22">
        <v>46.462790392439956</v>
      </c>
      <c r="F163" s="9"/>
      <c r="G163" s="14" t="str">
        <f t="shared" si="6"/>
        <v>O</v>
      </c>
      <c r="H163" s="15"/>
      <c r="I163" s="16" t="s">
        <v>351</v>
      </c>
      <c r="J163" s="15"/>
      <c r="K163" s="17" t="s">
        <v>352</v>
      </c>
      <c r="L163" s="18">
        <f t="shared" si="5"/>
        <v>20060368076610</v>
      </c>
    </row>
    <row r="164" spans="1:12" x14ac:dyDescent="0.3">
      <c r="A164" s="19">
        <f>COUNTIFS($B$2:B164,B164)</f>
        <v>5</v>
      </c>
      <c r="B164" s="20" t="s">
        <v>345</v>
      </c>
      <c r="C164" s="21">
        <v>20060368076252</v>
      </c>
      <c r="D164" s="20" t="s">
        <v>222</v>
      </c>
      <c r="E164" s="22">
        <v>0.29426433915211969</v>
      </c>
      <c r="F164" s="9"/>
      <c r="G164" s="14" t="str">
        <f t="shared" si="6"/>
        <v>O</v>
      </c>
      <c r="H164" s="15"/>
      <c r="I164" s="16" t="s">
        <v>353</v>
      </c>
      <c r="J164" s="15"/>
      <c r="K164" s="17" t="s">
        <v>354</v>
      </c>
      <c r="L164" s="18" t="e">
        <f t="shared" si="5"/>
        <v>#N/A</v>
      </c>
    </row>
    <row r="165" spans="1:12" x14ac:dyDescent="0.3">
      <c r="A165" s="19">
        <f>COUNTIFS($B$2:B165,B165)</f>
        <v>6</v>
      </c>
      <c r="B165" s="20" t="s">
        <v>345</v>
      </c>
      <c r="C165" s="21">
        <v>20060368076252</v>
      </c>
      <c r="D165" s="20" t="s">
        <v>185</v>
      </c>
      <c r="E165" s="22">
        <v>4.6462790392439945</v>
      </c>
      <c r="F165" s="9"/>
      <c r="G165" s="14" t="str">
        <f t="shared" si="6"/>
        <v>O</v>
      </c>
      <c r="H165" s="15"/>
      <c r="I165" s="16"/>
      <c r="J165" s="15"/>
      <c r="K165" s="17" t="s">
        <v>355</v>
      </c>
      <c r="L165" s="18">
        <f t="shared" si="5"/>
        <v>20060368076611</v>
      </c>
    </row>
    <row r="166" spans="1:12" x14ac:dyDescent="0.3">
      <c r="A166" s="19"/>
      <c r="B166" s="20"/>
      <c r="C166" s="25"/>
      <c r="D166" s="20"/>
      <c r="E166" s="22"/>
      <c r="F166" s="9"/>
      <c r="G166" s="14" t="str">
        <f t="shared" si="6"/>
        <v/>
      </c>
      <c r="H166" s="15"/>
      <c r="I166" s="16" t="s">
        <v>356</v>
      </c>
      <c r="J166" s="15"/>
      <c r="K166" s="17" t="s">
        <v>357</v>
      </c>
      <c r="L166" s="18">
        <f t="shared" si="5"/>
        <v>20060368076625</v>
      </c>
    </row>
    <row r="167" spans="1:12" x14ac:dyDescent="0.3">
      <c r="A167" s="19"/>
      <c r="B167" s="20"/>
      <c r="C167" s="25"/>
      <c r="D167" s="20"/>
      <c r="E167" s="22"/>
      <c r="F167" s="9"/>
      <c r="G167" s="14" t="str">
        <f t="shared" si="6"/>
        <v/>
      </c>
      <c r="H167" s="15"/>
      <c r="I167" s="16" t="s">
        <v>134</v>
      </c>
      <c r="J167" s="15"/>
      <c r="K167" s="17" t="s">
        <v>358</v>
      </c>
      <c r="L167" s="18">
        <f t="shared" si="5"/>
        <v>20060368076626</v>
      </c>
    </row>
    <row r="168" spans="1:12" x14ac:dyDescent="0.3">
      <c r="A168" s="19"/>
      <c r="B168" s="20"/>
      <c r="C168" s="25"/>
      <c r="D168" s="20"/>
      <c r="E168" s="22"/>
      <c r="F168" s="9"/>
      <c r="G168" s="14" t="str">
        <f t="shared" si="6"/>
        <v/>
      </c>
      <c r="H168" s="15"/>
      <c r="I168" s="16"/>
      <c r="J168" s="15"/>
      <c r="K168" s="17" t="s">
        <v>359</v>
      </c>
      <c r="L168" s="18">
        <f t="shared" si="5"/>
        <v>20060368076646</v>
      </c>
    </row>
    <row r="169" spans="1:12" x14ac:dyDescent="0.3">
      <c r="A169" s="19"/>
      <c r="B169" s="20"/>
      <c r="C169" s="25"/>
      <c r="D169" s="20"/>
      <c r="E169" s="22"/>
      <c r="F169" s="9"/>
      <c r="G169" s="14" t="str">
        <f t="shared" si="6"/>
        <v/>
      </c>
      <c r="H169" s="15"/>
      <c r="I169" s="16" t="s">
        <v>360</v>
      </c>
      <c r="J169" s="15"/>
      <c r="K169" s="17" t="s">
        <v>361</v>
      </c>
      <c r="L169" s="18">
        <f t="shared" si="5"/>
        <v>20060368076646</v>
      </c>
    </row>
    <row r="170" spans="1:12" x14ac:dyDescent="0.3">
      <c r="A170" s="19"/>
      <c r="B170" s="20"/>
      <c r="C170" s="25"/>
      <c r="D170" s="20"/>
      <c r="E170" s="22"/>
      <c r="F170" s="9"/>
      <c r="G170" s="14" t="str">
        <f t="shared" si="6"/>
        <v/>
      </c>
      <c r="H170" s="15"/>
      <c r="I170" s="16" t="s">
        <v>362</v>
      </c>
      <c r="J170" s="15"/>
      <c r="K170" s="17" t="s">
        <v>363</v>
      </c>
      <c r="L170" s="18">
        <f t="shared" si="5"/>
        <v>20060368076647</v>
      </c>
    </row>
    <row r="171" spans="1:12" x14ac:dyDescent="0.3">
      <c r="A171" s="19"/>
      <c r="B171" s="20"/>
      <c r="C171" s="25"/>
      <c r="D171" s="20"/>
      <c r="E171" s="22"/>
      <c r="F171" s="9"/>
      <c r="G171" s="14" t="str">
        <f t="shared" si="6"/>
        <v/>
      </c>
      <c r="H171" s="15"/>
      <c r="I171" s="16" t="s">
        <v>364</v>
      </c>
      <c r="J171" s="15"/>
      <c r="K171" s="17" t="s">
        <v>365</v>
      </c>
      <c r="L171" s="18">
        <f t="shared" si="5"/>
        <v>20060368076647</v>
      </c>
    </row>
    <row r="172" spans="1:12" x14ac:dyDescent="0.3">
      <c r="A172" s="19"/>
      <c r="B172" s="20"/>
      <c r="C172" s="25"/>
      <c r="D172" s="20"/>
      <c r="E172" s="22"/>
      <c r="F172" s="9"/>
      <c r="G172" s="14" t="str">
        <f t="shared" si="6"/>
        <v/>
      </c>
      <c r="H172" s="15"/>
      <c r="I172" s="16" t="s">
        <v>366</v>
      </c>
      <c r="J172" s="15"/>
      <c r="K172" s="17" t="s">
        <v>367</v>
      </c>
      <c r="L172" s="18">
        <f t="shared" si="5"/>
        <v>20060368076648</v>
      </c>
    </row>
    <row r="173" spans="1:12" x14ac:dyDescent="0.3">
      <c r="A173" s="19"/>
      <c r="B173" s="20"/>
      <c r="C173" s="25"/>
      <c r="D173" s="20"/>
      <c r="E173" s="22"/>
      <c r="F173" s="9"/>
      <c r="G173" s="14" t="str">
        <f t="shared" si="6"/>
        <v/>
      </c>
      <c r="H173" s="15"/>
      <c r="I173" s="16" t="s">
        <v>368</v>
      </c>
      <c r="J173" s="15"/>
      <c r="K173" s="17" t="s">
        <v>369</v>
      </c>
      <c r="L173" s="18">
        <f t="shared" si="5"/>
        <v>20060368076648</v>
      </c>
    </row>
    <row r="174" spans="1:12" x14ac:dyDescent="0.3">
      <c r="A174" s="19"/>
      <c r="B174" s="20"/>
      <c r="C174" s="25"/>
      <c r="D174" s="20"/>
      <c r="E174" s="22"/>
      <c r="F174" s="9"/>
      <c r="G174" s="14" t="str">
        <f t="shared" si="6"/>
        <v/>
      </c>
      <c r="H174" s="15"/>
      <c r="I174" s="16" t="s">
        <v>370</v>
      </c>
      <c r="J174" s="15"/>
      <c r="K174" s="17" t="s">
        <v>371</v>
      </c>
      <c r="L174" s="18">
        <f t="shared" si="5"/>
        <v>20060368076649</v>
      </c>
    </row>
    <row r="175" spans="1:12" x14ac:dyDescent="0.3">
      <c r="A175" s="19"/>
      <c r="B175" s="20"/>
      <c r="C175" s="25"/>
      <c r="D175" s="20"/>
      <c r="E175" s="22"/>
      <c r="F175" s="9"/>
      <c r="G175" s="14" t="str">
        <f t="shared" si="6"/>
        <v/>
      </c>
      <c r="H175" s="15"/>
      <c r="I175" s="16"/>
      <c r="J175" s="15"/>
      <c r="K175" s="17" t="s">
        <v>372</v>
      </c>
      <c r="L175" s="18">
        <f t="shared" si="5"/>
        <v>20060368076649</v>
      </c>
    </row>
    <row r="176" spans="1:12" x14ac:dyDescent="0.3">
      <c r="A176" s="19"/>
      <c r="B176" s="20"/>
      <c r="C176" s="25"/>
      <c r="D176" s="20"/>
      <c r="E176" s="22"/>
      <c r="F176" s="9"/>
      <c r="G176" s="14" t="str">
        <f t="shared" si="6"/>
        <v/>
      </c>
      <c r="H176" s="15"/>
      <c r="I176" s="16"/>
      <c r="J176" s="15"/>
      <c r="K176" s="17" t="s">
        <v>373</v>
      </c>
      <c r="L176" s="18">
        <f t="shared" si="5"/>
        <v>20060368076650</v>
      </c>
    </row>
    <row r="177" spans="1:12" x14ac:dyDescent="0.3">
      <c r="A177" s="19"/>
      <c r="B177" s="20"/>
      <c r="C177" s="25"/>
      <c r="D177" s="20"/>
      <c r="E177" s="22"/>
      <c r="F177" s="9"/>
      <c r="G177" s="14" t="str">
        <f t="shared" si="6"/>
        <v/>
      </c>
      <c r="H177" s="15"/>
      <c r="I177" s="16"/>
      <c r="J177" s="15"/>
      <c r="K177" s="17" t="s">
        <v>374</v>
      </c>
      <c r="L177" s="18">
        <f t="shared" si="5"/>
        <v>20060368076650</v>
      </c>
    </row>
    <row r="178" spans="1:12" x14ac:dyDescent="0.3">
      <c r="A178" s="19"/>
      <c r="B178" s="20"/>
      <c r="C178" s="25"/>
      <c r="D178" s="20"/>
      <c r="E178" s="22"/>
      <c r="F178" s="9"/>
      <c r="G178" s="14" t="str">
        <f t="shared" si="6"/>
        <v/>
      </c>
      <c r="H178" s="15"/>
      <c r="I178" s="16" t="s">
        <v>375</v>
      </c>
      <c r="J178" s="15"/>
      <c r="K178" s="17" t="s">
        <v>376</v>
      </c>
      <c r="L178" s="18">
        <f t="shared" si="5"/>
        <v>20060368076651</v>
      </c>
    </row>
    <row r="179" spans="1:12" x14ac:dyDescent="0.3">
      <c r="A179" s="19">
        <f>COUNTIFS($B$2:B179,B179)</f>
        <v>1</v>
      </c>
      <c r="B179" s="20" t="s">
        <v>377</v>
      </c>
      <c r="C179" s="21">
        <v>20060368076254</v>
      </c>
      <c r="D179" s="20" t="s">
        <v>284</v>
      </c>
      <c r="E179" s="22">
        <v>48.875855327468223</v>
      </c>
      <c r="F179" s="9"/>
      <c r="G179" s="14" t="str">
        <f t="shared" si="6"/>
        <v>O</v>
      </c>
      <c r="H179" s="15"/>
      <c r="I179" s="16" t="s">
        <v>378</v>
      </c>
      <c r="J179" s="15"/>
      <c r="K179" s="17" t="s">
        <v>379</v>
      </c>
      <c r="L179" s="18">
        <f t="shared" si="5"/>
        <v>20060368076651</v>
      </c>
    </row>
    <row r="180" spans="1:12" x14ac:dyDescent="0.3">
      <c r="A180" s="19">
        <f>COUNTIFS($B$2:B180,B180)</f>
        <v>2</v>
      </c>
      <c r="B180" s="20" t="s">
        <v>377</v>
      </c>
      <c r="C180" s="21">
        <v>20060368076254</v>
      </c>
      <c r="D180" s="20" t="s">
        <v>206</v>
      </c>
      <c r="E180" s="22">
        <v>20.946795140343525</v>
      </c>
      <c r="F180" s="9"/>
      <c r="G180" s="14" t="str">
        <f t="shared" si="6"/>
        <v>O</v>
      </c>
      <c r="H180" s="15"/>
      <c r="I180" s="16" t="s">
        <v>380</v>
      </c>
      <c r="J180" s="15"/>
      <c r="K180" s="17" t="s">
        <v>381</v>
      </c>
      <c r="L180" s="18">
        <f t="shared" si="5"/>
        <v>20060368076652</v>
      </c>
    </row>
    <row r="181" spans="1:12" x14ac:dyDescent="0.3">
      <c r="A181" s="19">
        <f>COUNTIFS($B$2:B181,B181)</f>
        <v>3</v>
      </c>
      <c r="B181" s="20" t="s">
        <v>377</v>
      </c>
      <c r="C181" s="21">
        <v>20060368076254</v>
      </c>
      <c r="D181" s="20" t="s">
        <v>157</v>
      </c>
      <c r="E181" s="22">
        <v>4.1893590280687052</v>
      </c>
      <c r="F181" s="9"/>
      <c r="G181" s="14" t="str">
        <f t="shared" si="6"/>
        <v>O</v>
      </c>
      <c r="H181" s="15"/>
      <c r="I181" s="16"/>
      <c r="J181" s="15"/>
      <c r="K181" s="17" t="s">
        <v>382</v>
      </c>
      <c r="L181" s="18">
        <f t="shared" si="5"/>
        <v>200603680766521</v>
      </c>
    </row>
    <row r="182" spans="1:12" x14ac:dyDescent="0.3">
      <c r="A182" s="19">
        <f>COUNTIFS($B$2:B182,B182)</f>
        <v>4</v>
      </c>
      <c r="B182" s="20" t="s">
        <v>377</v>
      </c>
      <c r="C182" s="21">
        <v>20060368076254</v>
      </c>
      <c r="D182" s="20" t="s">
        <v>155</v>
      </c>
      <c r="E182" s="22">
        <v>1.8852115626309174</v>
      </c>
      <c r="F182" s="9"/>
      <c r="G182" s="14" t="str">
        <f t="shared" si="6"/>
        <v>O</v>
      </c>
      <c r="H182" s="15"/>
      <c r="I182" s="16" t="s">
        <v>383</v>
      </c>
      <c r="J182" s="15"/>
      <c r="K182" s="17" t="s">
        <v>384</v>
      </c>
      <c r="L182" s="18">
        <f t="shared" si="5"/>
        <v>20060368076653</v>
      </c>
    </row>
    <row r="183" spans="1:12" x14ac:dyDescent="0.3">
      <c r="A183" s="19">
        <f>COUNTIFS($B$2:B183,B183)</f>
        <v>5</v>
      </c>
      <c r="B183" s="20" t="s">
        <v>377</v>
      </c>
      <c r="C183" s="21">
        <v>20060368076254</v>
      </c>
      <c r="D183" s="20" t="s">
        <v>164</v>
      </c>
      <c r="E183" s="22">
        <v>0.69822650467811753</v>
      </c>
      <c r="F183" s="9"/>
      <c r="G183" s="14" t="str">
        <f t="shared" si="6"/>
        <v>O</v>
      </c>
      <c r="H183" s="15"/>
      <c r="I183" s="16" t="s">
        <v>385</v>
      </c>
      <c r="J183" s="15"/>
      <c r="K183" s="17" t="s">
        <v>386</v>
      </c>
      <c r="L183" s="18">
        <f t="shared" si="5"/>
        <v>20060368076654</v>
      </c>
    </row>
    <row r="184" spans="1:12" x14ac:dyDescent="0.3">
      <c r="A184" s="19">
        <f>COUNTIFS($B$2:B184,B184)</f>
        <v>6</v>
      </c>
      <c r="B184" s="20" t="s">
        <v>377</v>
      </c>
      <c r="C184" s="21">
        <v>20060368076254</v>
      </c>
      <c r="D184" s="20" t="s">
        <v>114</v>
      </c>
      <c r="E184" s="22">
        <v>39.100684261974585</v>
      </c>
      <c r="F184" s="9"/>
      <c r="G184" s="14" t="str">
        <f t="shared" si="6"/>
        <v>O</v>
      </c>
      <c r="H184" s="15"/>
      <c r="I184" s="16" t="s">
        <v>387</v>
      </c>
      <c r="J184" s="15"/>
      <c r="K184" s="17" t="s">
        <v>388</v>
      </c>
      <c r="L184" s="18">
        <f t="shared" si="5"/>
        <v>20060368076655</v>
      </c>
    </row>
    <row r="185" spans="1:12" x14ac:dyDescent="0.3">
      <c r="A185" s="19">
        <f>COUNTIFS($B$2:B185,B185)</f>
        <v>7</v>
      </c>
      <c r="B185" s="20" t="s">
        <v>377</v>
      </c>
      <c r="C185" s="21">
        <v>20060368076254</v>
      </c>
      <c r="D185" s="20" t="s">
        <v>218</v>
      </c>
      <c r="E185" s="22">
        <v>0.52366987850858815</v>
      </c>
      <c r="F185" s="9"/>
      <c r="G185" s="14" t="str">
        <f t="shared" si="6"/>
        <v>O</v>
      </c>
      <c r="H185" s="15"/>
      <c r="I185" s="16" t="s">
        <v>389</v>
      </c>
      <c r="J185" s="15"/>
      <c r="K185" s="17" t="s">
        <v>390</v>
      </c>
      <c r="L185" s="18">
        <f t="shared" si="5"/>
        <v>20060368076656</v>
      </c>
    </row>
    <row r="186" spans="1:12" x14ac:dyDescent="0.3">
      <c r="A186" s="19">
        <f>COUNTIFS($B$2:B186,B186)</f>
        <v>8</v>
      </c>
      <c r="B186" s="20" t="s">
        <v>377</v>
      </c>
      <c r="C186" s="21">
        <v>20060368076254</v>
      </c>
      <c r="D186" s="20" t="s">
        <v>170</v>
      </c>
      <c r="E186" s="22">
        <v>3.1420192710515291</v>
      </c>
      <c r="F186" s="9"/>
      <c r="G186" s="14" t="str">
        <f t="shared" si="6"/>
        <v>O</v>
      </c>
      <c r="H186" s="15"/>
      <c r="I186" s="16"/>
      <c r="J186" s="15"/>
      <c r="K186" s="17" t="s">
        <v>391</v>
      </c>
      <c r="L186" s="18">
        <f t="shared" si="5"/>
        <v>20060368076657</v>
      </c>
    </row>
    <row r="187" spans="1:12" x14ac:dyDescent="0.3">
      <c r="A187" s="19">
        <f>COUNTIFS($B$2:B187,B187)</f>
        <v>9</v>
      </c>
      <c r="B187" s="20" t="s">
        <v>377</v>
      </c>
      <c r="C187" s="21">
        <v>20060368076254</v>
      </c>
      <c r="D187" s="20" t="s">
        <v>228</v>
      </c>
      <c r="E187" s="22">
        <v>20.946795140343525</v>
      </c>
      <c r="F187" s="9"/>
      <c r="G187" s="14" t="str">
        <f t="shared" si="6"/>
        <v>O</v>
      </c>
      <c r="H187" s="15"/>
      <c r="I187" s="16"/>
      <c r="J187" s="15"/>
      <c r="K187" s="17" t="s">
        <v>392</v>
      </c>
      <c r="L187" s="18">
        <f t="shared" si="5"/>
        <v>20060368076658</v>
      </c>
    </row>
    <row r="188" spans="1:12" x14ac:dyDescent="0.3">
      <c r="A188" s="19">
        <f>COUNTIFS($B$2:B188,B188)</f>
        <v>10</v>
      </c>
      <c r="B188" s="20" t="s">
        <v>377</v>
      </c>
      <c r="C188" s="21">
        <v>20060368076254</v>
      </c>
      <c r="D188" s="20" t="s">
        <v>196</v>
      </c>
      <c r="E188" s="22">
        <v>3.1420192710515291</v>
      </c>
      <c r="F188" s="9"/>
      <c r="G188" s="14" t="str">
        <f t="shared" si="6"/>
        <v>O</v>
      </c>
      <c r="H188" s="15"/>
      <c r="I188" s="16"/>
      <c r="J188" s="15"/>
      <c r="K188" s="17" t="s">
        <v>393</v>
      </c>
      <c r="L188" s="18" t="e">
        <f t="shared" si="5"/>
        <v>#N/A</v>
      </c>
    </row>
    <row r="189" spans="1:12" x14ac:dyDescent="0.3">
      <c r="A189" s="19">
        <f>COUNTIFS($B$2:B189,B189)</f>
        <v>11</v>
      </c>
      <c r="B189" s="20" t="s">
        <v>377</v>
      </c>
      <c r="C189" s="21">
        <v>20060368076254</v>
      </c>
      <c r="D189" s="20" t="s">
        <v>33</v>
      </c>
      <c r="E189" s="22">
        <v>15.710096355257647</v>
      </c>
      <c r="F189" s="9"/>
      <c r="G189" s="14" t="str">
        <f t="shared" si="6"/>
        <v>O</v>
      </c>
      <c r="H189" s="15"/>
      <c r="I189" s="16"/>
      <c r="J189" s="15"/>
      <c r="K189" s="17" t="s">
        <v>394</v>
      </c>
      <c r="L189" s="18">
        <f t="shared" si="5"/>
        <v>20060368076659</v>
      </c>
    </row>
    <row r="190" spans="1:12" x14ac:dyDescent="0.3">
      <c r="A190" s="19">
        <f>COUNTIFS($B$2:B190,B190)</f>
        <v>12</v>
      </c>
      <c r="B190" s="20" t="s">
        <v>377</v>
      </c>
      <c r="C190" s="21">
        <v>20060368076254</v>
      </c>
      <c r="D190" s="20" t="s">
        <v>276</v>
      </c>
      <c r="E190" s="22">
        <v>20.946795140343525</v>
      </c>
      <c r="F190" s="9"/>
      <c r="G190" s="14" t="str">
        <f t="shared" si="6"/>
        <v>O</v>
      </c>
      <c r="H190" s="15"/>
      <c r="I190" s="16"/>
      <c r="J190" s="15"/>
      <c r="K190" s="17" t="s">
        <v>395</v>
      </c>
      <c r="L190" s="18">
        <f t="shared" si="5"/>
        <v>20060368076667</v>
      </c>
    </row>
    <row r="191" spans="1:12" x14ac:dyDescent="0.3">
      <c r="A191" s="19">
        <f>COUNTIFS($B$2:B191,B191)</f>
        <v>13</v>
      </c>
      <c r="B191" s="20" t="s">
        <v>377</v>
      </c>
      <c r="C191" s="21">
        <v>20060368076254</v>
      </c>
      <c r="D191" s="20" t="s">
        <v>58</v>
      </c>
      <c r="E191" s="22">
        <v>69.91379310344827</v>
      </c>
      <c r="F191" s="9"/>
      <c r="G191" s="14" t="str">
        <f t="shared" si="6"/>
        <v>O</v>
      </c>
      <c r="H191" s="15"/>
      <c r="I191" s="16"/>
      <c r="J191" s="15"/>
      <c r="K191" s="17" t="s">
        <v>396</v>
      </c>
      <c r="L191" s="18">
        <f t="shared" si="5"/>
        <v>20060368076668</v>
      </c>
    </row>
    <row r="192" spans="1:12" x14ac:dyDescent="0.3">
      <c r="A192" s="19"/>
      <c r="B192" s="20"/>
      <c r="C192" s="21"/>
      <c r="D192" s="20"/>
      <c r="E192" s="22"/>
      <c r="F192" s="9"/>
      <c r="G192" s="14" t="str">
        <f t="shared" si="6"/>
        <v/>
      </c>
      <c r="H192" s="15"/>
      <c r="I192" s="16"/>
      <c r="J192" s="15"/>
      <c r="K192" s="17" t="s">
        <v>397</v>
      </c>
      <c r="L192" s="18">
        <f t="shared" si="5"/>
        <v>20060368076669</v>
      </c>
    </row>
    <row r="193" spans="1:12" x14ac:dyDescent="0.3">
      <c r="A193" s="23">
        <f>COUNTIFS($B$2:B193,B193)</f>
        <v>1</v>
      </c>
      <c r="B193" s="20" t="s">
        <v>398</v>
      </c>
      <c r="C193" s="21">
        <v>20060368076237</v>
      </c>
      <c r="D193" s="20" t="s">
        <v>210</v>
      </c>
      <c r="E193" s="22">
        <v>36.207710464201412</v>
      </c>
      <c r="F193" s="9"/>
      <c r="G193" s="14" t="str">
        <f t="shared" si="6"/>
        <v>O</v>
      </c>
      <c r="H193" s="15"/>
      <c r="I193" s="16"/>
      <c r="J193" s="15"/>
      <c r="K193" s="17" t="s">
        <v>399</v>
      </c>
      <c r="L193" s="18">
        <f t="shared" si="5"/>
        <v>20060368076670</v>
      </c>
    </row>
    <row r="194" spans="1:12" x14ac:dyDescent="0.3">
      <c r="A194" s="19">
        <f>COUNTIFS($B$2:B194,B194)</f>
        <v>2</v>
      </c>
      <c r="B194" s="20" t="s">
        <v>398</v>
      </c>
      <c r="C194" s="21">
        <v>20060368076237</v>
      </c>
      <c r="D194" s="20" t="s">
        <v>213</v>
      </c>
      <c r="E194" s="22">
        <v>13.57789142407553</v>
      </c>
      <c r="F194" s="9"/>
      <c r="G194" s="14" t="str">
        <f t="shared" si="6"/>
        <v>O</v>
      </c>
      <c r="H194" s="15"/>
      <c r="I194" s="16" t="s">
        <v>400</v>
      </c>
      <c r="J194" s="15"/>
      <c r="K194" s="17" t="s">
        <v>401</v>
      </c>
      <c r="L194" s="18">
        <f t="shared" ref="L194:L246" si="7">VLOOKUP(K194,B:C,2,FALSE)</f>
        <v>20060368076675</v>
      </c>
    </row>
    <row r="195" spans="1:12" x14ac:dyDescent="0.3">
      <c r="A195" s="19">
        <f>COUNTIFS($B$2:B195,B195)</f>
        <v>3</v>
      </c>
      <c r="B195" s="20" t="s">
        <v>398</v>
      </c>
      <c r="C195" s="21">
        <v>20060368076237</v>
      </c>
      <c r="D195" s="20" t="s">
        <v>263</v>
      </c>
      <c r="E195" s="22">
        <v>3.620771046420141</v>
      </c>
      <c r="F195" s="9"/>
      <c r="G195" s="14" t="str">
        <f t="shared" si="6"/>
        <v>O</v>
      </c>
      <c r="H195" s="15"/>
      <c r="I195" s="16" t="s">
        <v>402</v>
      </c>
      <c r="J195" s="15"/>
      <c r="K195" s="17" t="s">
        <v>403</v>
      </c>
      <c r="L195" s="18">
        <f t="shared" si="7"/>
        <v>20060368076676</v>
      </c>
    </row>
    <row r="196" spans="1:12" x14ac:dyDescent="0.3">
      <c r="A196" s="19">
        <f>COUNTIFS($B$2:B196,B196)</f>
        <v>4</v>
      </c>
      <c r="B196" s="20" t="s">
        <v>398</v>
      </c>
      <c r="C196" s="21">
        <v>20060368076237</v>
      </c>
      <c r="D196" s="20" t="s">
        <v>404</v>
      </c>
      <c r="E196" s="22">
        <v>4.5259638080251765</v>
      </c>
      <c r="F196" s="9"/>
      <c r="G196" s="14" t="str">
        <f t="shared" si="6"/>
        <v>O</v>
      </c>
      <c r="H196" s="15"/>
      <c r="I196" s="16" t="s">
        <v>405</v>
      </c>
      <c r="J196" s="15"/>
      <c r="K196" s="17" t="s">
        <v>406</v>
      </c>
      <c r="L196" s="18" t="e">
        <f t="shared" si="7"/>
        <v>#N/A</v>
      </c>
    </row>
    <row r="197" spans="1:12" x14ac:dyDescent="0.3">
      <c r="A197" s="19">
        <f>COUNTIFS($B$2:B197,B197)</f>
        <v>5</v>
      </c>
      <c r="B197" s="20" t="s">
        <v>398</v>
      </c>
      <c r="C197" s="21">
        <v>20060368076237</v>
      </c>
      <c r="D197" s="20" t="s">
        <v>222</v>
      </c>
      <c r="E197" s="22">
        <v>0.32494099134539733</v>
      </c>
      <c r="F197" s="9"/>
      <c r="G197" s="14" t="str">
        <f t="shared" si="6"/>
        <v>O</v>
      </c>
      <c r="H197" s="15"/>
      <c r="I197" s="16" t="s">
        <v>407</v>
      </c>
      <c r="J197" s="15"/>
      <c r="K197" s="17" t="s">
        <v>408</v>
      </c>
      <c r="L197" s="18" t="e">
        <f t="shared" si="7"/>
        <v>#N/A</v>
      </c>
    </row>
    <row r="198" spans="1:12" x14ac:dyDescent="0.3">
      <c r="A198" s="19">
        <f>COUNTIFS($B$2:B198,B198)</f>
        <v>6</v>
      </c>
      <c r="B198" s="20" t="s">
        <v>398</v>
      </c>
      <c r="C198" s="21">
        <v>20060368076237</v>
      </c>
      <c r="D198" s="20" t="s">
        <v>206</v>
      </c>
      <c r="E198" s="22">
        <v>48.880409126671907</v>
      </c>
      <c r="F198" s="9"/>
      <c r="G198" s="14" t="str">
        <f t="shared" si="6"/>
        <v>O</v>
      </c>
      <c r="H198" s="15"/>
      <c r="I198" s="16" t="s">
        <v>409</v>
      </c>
      <c r="J198" s="15"/>
      <c r="K198" s="17" t="s">
        <v>410</v>
      </c>
      <c r="L198" s="18" t="e">
        <f t="shared" si="7"/>
        <v>#N/A</v>
      </c>
    </row>
    <row r="199" spans="1:12" x14ac:dyDescent="0.3">
      <c r="A199" s="19">
        <f>COUNTIFS($B$2:B199,B199)</f>
        <v>7</v>
      </c>
      <c r="B199" s="20" t="s">
        <v>398</v>
      </c>
      <c r="C199" s="21">
        <v>20060368076237</v>
      </c>
      <c r="D199" s="20" t="s">
        <v>272</v>
      </c>
      <c r="E199" s="22">
        <v>10.862313139260424</v>
      </c>
      <c r="F199" s="9"/>
      <c r="G199" s="14" t="str">
        <f t="shared" si="6"/>
        <v>O</v>
      </c>
      <c r="H199" s="15"/>
      <c r="I199" s="16" t="s">
        <v>411</v>
      </c>
      <c r="J199" s="15"/>
      <c r="K199" s="17" t="s">
        <v>412</v>
      </c>
      <c r="L199" s="18" t="e">
        <f t="shared" si="7"/>
        <v>#N/A</v>
      </c>
    </row>
    <row r="200" spans="1:12" x14ac:dyDescent="0.3">
      <c r="A200" s="19">
        <f>COUNTIFS($B$2:B200,B200)</f>
        <v>1</v>
      </c>
      <c r="B200" s="20" t="s">
        <v>413</v>
      </c>
      <c r="C200" s="21">
        <v>20060368076258</v>
      </c>
      <c r="D200" s="20" t="s">
        <v>284</v>
      </c>
      <c r="E200" s="22">
        <v>100</v>
      </c>
      <c r="F200" s="9"/>
      <c r="G200" s="14" t="str">
        <f t="shared" si="6"/>
        <v>O</v>
      </c>
      <c r="H200" s="15"/>
      <c r="I200" s="16" t="s">
        <v>414</v>
      </c>
      <c r="J200" s="15"/>
      <c r="K200" s="17" t="s">
        <v>415</v>
      </c>
      <c r="L200" s="18" t="e">
        <f t="shared" si="7"/>
        <v>#N/A</v>
      </c>
    </row>
    <row r="201" spans="1:12" x14ac:dyDescent="0.3">
      <c r="A201" s="19">
        <f>COUNTIFS($B$2:B201,B201)</f>
        <v>2</v>
      </c>
      <c r="B201" s="20" t="s">
        <v>413</v>
      </c>
      <c r="C201" s="21">
        <v>20060368076258</v>
      </c>
      <c r="D201" s="20" t="s">
        <v>206</v>
      </c>
      <c r="E201" s="22">
        <v>25</v>
      </c>
      <c r="F201" s="9"/>
      <c r="G201" s="14" t="str">
        <f t="shared" ref="G201:G246" si="8">IF(D201="","",IF(COUNTIF(I:I,D201)&gt;0,"O","X"))</f>
        <v>O</v>
      </c>
      <c r="H201" s="15"/>
      <c r="I201" s="16" t="s">
        <v>416</v>
      </c>
      <c r="J201" s="15"/>
      <c r="K201" s="17" t="s">
        <v>417</v>
      </c>
      <c r="L201" s="18" t="e">
        <f t="shared" si="7"/>
        <v>#N/A</v>
      </c>
    </row>
    <row r="202" spans="1:12" x14ac:dyDescent="0.3">
      <c r="A202" s="19">
        <f>COUNTIFS($B$2:B202,B202)</f>
        <v>3</v>
      </c>
      <c r="B202" s="20" t="s">
        <v>413</v>
      </c>
      <c r="C202" s="21">
        <v>20060368076258</v>
      </c>
      <c r="D202" s="20" t="s">
        <v>418</v>
      </c>
      <c r="E202" s="22">
        <v>2.0249999999999999</v>
      </c>
      <c r="F202" s="9"/>
      <c r="G202" s="14" t="str">
        <f t="shared" si="8"/>
        <v>O</v>
      </c>
      <c r="H202" s="15"/>
      <c r="I202" s="16"/>
      <c r="J202" s="15"/>
      <c r="K202" s="17" t="s">
        <v>419</v>
      </c>
      <c r="L202" s="18" t="e">
        <f t="shared" si="7"/>
        <v>#N/A</v>
      </c>
    </row>
    <row r="203" spans="1:12" x14ac:dyDescent="0.3">
      <c r="A203" s="19">
        <f>COUNTIFS($B$2:B203,B203)</f>
        <v>4</v>
      </c>
      <c r="B203" s="20" t="s">
        <v>413</v>
      </c>
      <c r="C203" s="21">
        <v>20060368076258</v>
      </c>
      <c r="D203" s="20" t="s">
        <v>164</v>
      </c>
      <c r="E203" s="22">
        <v>1.25</v>
      </c>
      <c r="F203" s="9"/>
      <c r="G203" s="14" t="str">
        <f t="shared" si="8"/>
        <v>O</v>
      </c>
      <c r="H203" s="15"/>
      <c r="I203" s="16"/>
      <c r="J203" s="15"/>
      <c r="K203" s="17" t="s">
        <v>420</v>
      </c>
      <c r="L203" s="18" t="e">
        <f t="shared" si="7"/>
        <v>#N/A</v>
      </c>
    </row>
    <row r="204" spans="1:12" x14ac:dyDescent="0.3">
      <c r="A204" s="19">
        <f>COUNTIFS($B$2:B204,B204)</f>
        <v>5</v>
      </c>
      <c r="B204" s="20" t="s">
        <v>413</v>
      </c>
      <c r="C204" s="21">
        <v>20060368076258</v>
      </c>
      <c r="D204" s="20" t="s">
        <v>421</v>
      </c>
      <c r="E204" s="22">
        <v>12.5</v>
      </c>
      <c r="F204" s="9"/>
      <c r="G204" s="14" t="str">
        <f t="shared" si="8"/>
        <v>O</v>
      </c>
      <c r="H204" s="15"/>
      <c r="I204" s="16"/>
      <c r="J204" s="15"/>
      <c r="K204" s="17" t="s">
        <v>422</v>
      </c>
      <c r="L204" s="18">
        <f t="shared" si="7"/>
        <v>20060368076766</v>
      </c>
    </row>
    <row r="205" spans="1:12" x14ac:dyDescent="0.3">
      <c r="A205" s="19">
        <f>COUNTIFS($B$2:B205,B205)</f>
        <v>6</v>
      </c>
      <c r="B205" s="20" t="s">
        <v>413</v>
      </c>
      <c r="C205" s="24">
        <v>20060368076258</v>
      </c>
      <c r="D205" s="20" t="s">
        <v>295</v>
      </c>
      <c r="E205" s="22">
        <v>0.25</v>
      </c>
      <c r="F205" s="9"/>
      <c r="G205" s="14" t="str">
        <f t="shared" si="8"/>
        <v>O</v>
      </c>
      <c r="H205" s="15"/>
      <c r="I205" s="16"/>
      <c r="J205" s="15"/>
      <c r="K205" s="17" t="s">
        <v>423</v>
      </c>
      <c r="L205" s="18" t="e">
        <f t="shared" si="7"/>
        <v>#N/A</v>
      </c>
    </row>
    <row r="206" spans="1:12" x14ac:dyDescent="0.3">
      <c r="A206" s="19">
        <f>COUNTIFS($B$2:B206,B206)</f>
        <v>7</v>
      </c>
      <c r="B206" s="20" t="s">
        <v>413</v>
      </c>
      <c r="C206" s="21">
        <v>20060368076258</v>
      </c>
      <c r="D206" s="20" t="s">
        <v>424</v>
      </c>
      <c r="E206" s="22">
        <v>1</v>
      </c>
      <c r="F206" s="9"/>
      <c r="G206" s="14" t="str">
        <f t="shared" si="8"/>
        <v>O</v>
      </c>
      <c r="H206" s="15"/>
      <c r="I206" s="16"/>
      <c r="J206" s="15"/>
      <c r="K206" s="17" t="s">
        <v>425</v>
      </c>
      <c r="L206" s="18">
        <f t="shared" si="7"/>
        <v>20060368076749</v>
      </c>
    </row>
    <row r="207" spans="1:12" x14ac:dyDescent="0.3">
      <c r="A207" s="19">
        <f>COUNTIFS($B$2:B207,B207)</f>
        <v>8</v>
      </c>
      <c r="B207" s="20" t="s">
        <v>413</v>
      </c>
      <c r="C207" s="21">
        <v>20060368076258</v>
      </c>
      <c r="D207" s="20" t="s">
        <v>114</v>
      </c>
      <c r="E207" s="22">
        <v>82.5</v>
      </c>
      <c r="F207" s="9"/>
      <c r="G207" s="14" t="str">
        <f t="shared" si="8"/>
        <v>O</v>
      </c>
      <c r="H207" s="15"/>
      <c r="I207" s="16"/>
      <c r="J207" s="15"/>
      <c r="K207" s="17" t="s">
        <v>426</v>
      </c>
      <c r="L207" s="18">
        <f t="shared" si="7"/>
        <v>20060368076750</v>
      </c>
    </row>
    <row r="208" spans="1:12" x14ac:dyDescent="0.3">
      <c r="A208" s="19">
        <f>COUNTIFS($B$2:B208,B208)</f>
        <v>9</v>
      </c>
      <c r="B208" s="20" t="s">
        <v>413</v>
      </c>
      <c r="C208" s="21">
        <v>20060368076258</v>
      </c>
      <c r="D208" s="20" t="s">
        <v>427</v>
      </c>
      <c r="E208" s="22">
        <v>6.25</v>
      </c>
      <c r="F208" s="9"/>
      <c r="G208" s="14" t="str">
        <f t="shared" si="8"/>
        <v>O</v>
      </c>
      <c r="H208" s="15"/>
      <c r="I208" s="16"/>
      <c r="J208" s="15"/>
      <c r="K208" s="17" t="s">
        <v>428</v>
      </c>
      <c r="L208" s="18">
        <f t="shared" si="7"/>
        <v>20060368076751</v>
      </c>
    </row>
    <row r="209" spans="1:12" x14ac:dyDescent="0.3">
      <c r="A209" s="19">
        <f>COUNTIFS($B$2:B209,B209)</f>
        <v>10</v>
      </c>
      <c r="B209" s="20" t="s">
        <v>413</v>
      </c>
      <c r="C209" s="21">
        <v>20060368076258</v>
      </c>
      <c r="D209" s="20" t="s">
        <v>429</v>
      </c>
      <c r="E209" s="22">
        <v>26.875</v>
      </c>
      <c r="F209" s="9"/>
      <c r="G209" s="14" t="str">
        <f t="shared" si="8"/>
        <v>O</v>
      </c>
      <c r="H209" s="15"/>
      <c r="I209" s="16"/>
      <c r="J209" s="15"/>
      <c r="K209" s="17" t="s">
        <v>430</v>
      </c>
      <c r="L209" s="18">
        <f t="shared" si="7"/>
        <v>20060368076752</v>
      </c>
    </row>
    <row r="210" spans="1:12" x14ac:dyDescent="0.3">
      <c r="A210" s="19"/>
      <c r="B210" s="20"/>
      <c r="C210" s="25"/>
      <c r="D210" s="20"/>
      <c r="E210" s="22"/>
      <c r="F210" s="9"/>
      <c r="G210" s="14" t="str">
        <f t="shared" si="8"/>
        <v/>
      </c>
      <c r="H210" s="15"/>
      <c r="I210" s="16"/>
      <c r="J210" s="15"/>
      <c r="K210" s="17" t="s">
        <v>431</v>
      </c>
      <c r="L210" s="18">
        <f t="shared" si="7"/>
        <v>20060368076754</v>
      </c>
    </row>
    <row r="211" spans="1:12" x14ac:dyDescent="0.3">
      <c r="A211" s="19"/>
      <c r="B211" s="20"/>
      <c r="C211" s="25"/>
      <c r="D211" s="20"/>
      <c r="E211" s="22"/>
      <c r="F211" s="9"/>
      <c r="G211" s="14" t="str">
        <f t="shared" si="8"/>
        <v/>
      </c>
      <c r="H211" s="15"/>
      <c r="I211" s="16"/>
      <c r="J211" s="15"/>
      <c r="K211" s="17" t="s">
        <v>432</v>
      </c>
      <c r="L211" s="18" t="e">
        <f t="shared" si="7"/>
        <v>#N/A</v>
      </c>
    </row>
    <row r="212" spans="1:12" x14ac:dyDescent="0.3">
      <c r="A212" s="19"/>
      <c r="B212" s="20"/>
      <c r="C212" s="25"/>
      <c r="D212" s="20"/>
      <c r="E212" s="22"/>
      <c r="F212" s="9"/>
      <c r="G212" s="14" t="str">
        <f t="shared" si="8"/>
        <v/>
      </c>
      <c r="H212" s="15"/>
      <c r="I212" s="16"/>
      <c r="J212" s="15"/>
      <c r="K212" s="17" t="s">
        <v>433</v>
      </c>
      <c r="L212" s="18" t="e">
        <f t="shared" si="7"/>
        <v>#N/A</v>
      </c>
    </row>
    <row r="213" spans="1:12" x14ac:dyDescent="0.3">
      <c r="A213" s="19"/>
      <c r="B213" s="20"/>
      <c r="C213" s="25"/>
      <c r="D213" s="20"/>
      <c r="E213" s="22"/>
      <c r="F213" s="9"/>
      <c r="G213" s="14" t="str">
        <f t="shared" si="8"/>
        <v/>
      </c>
      <c r="H213" s="15"/>
      <c r="I213" s="16"/>
      <c r="J213" s="15"/>
      <c r="K213" s="17" t="s">
        <v>434</v>
      </c>
      <c r="L213" s="18" t="e">
        <f t="shared" si="7"/>
        <v>#N/A</v>
      </c>
    </row>
    <row r="214" spans="1:12" x14ac:dyDescent="0.3">
      <c r="A214" s="19"/>
      <c r="B214" s="20"/>
      <c r="C214" s="25"/>
      <c r="D214" s="20"/>
      <c r="E214" s="22"/>
      <c r="F214" s="9"/>
      <c r="G214" s="14" t="str">
        <f t="shared" si="8"/>
        <v/>
      </c>
      <c r="H214" s="15"/>
      <c r="I214" s="16"/>
      <c r="J214" s="15"/>
      <c r="K214" s="17" t="s">
        <v>435</v>
      </c>
      <c r="L214" s="18">
        <f t="shared" si="7"/>
        <v>20060368076756</v>
      </c>
    </row>
    <row r="215" spans="1:12" x14ac:dyDescent="0.3">
      <c r="A215" s="19"/>
      <c r="B215" s="20"/>
      <c r="C215" s="25"/>
      <c r="D215" s="20"/>
      <c r="E215" s="22"/>
      <c r="F215" s="9"/>
      <c r="G215" s="14" t="str">
        <f t="shared" si="8"/>
        <v/>
      </c>
      <c r="H215" s="15"/>
      <c r="I215" s="16"/>
      <c r="J215" s="15"/>
      <c r="K215" s="17" t="s">
        <v>436</v>
      </c>
      <c r="L215" s="18">
        <f t="shared" si="7"/>
        <v>20060368076757</v>
      </c>
    </row>
    <row r="216" spans="1:12" x14ac:dyDescent="0.3">
      <c r="A216" s="19"/>
      <c r="B216" s="20"/>
      <c r="C216" s="25"/>
      <c r="D216" s="20"/>
      <c r="E216" s="22"/>
      <c r="F216" s="9"/>
      <c r="G216" s="14" t="str">
        <f t="shared" si="8"/>
        <v/>
      </c>
      <c r="H216" s="15"/>
      <c r="I216" s="16"/>
      <c r="J216" s="15"/>
      <c r="K216" s="17" t="s">
        <v>437</v>
      </c>
      <c r="L216" s="18" t="e">
        <f t="shared" si="7"/>
        <v>#N/A</v>
      </c>
    </row>
    <row r="217" spans="1:12" x14ac:dyDescent="0.3">
      <c r="A217" s="19"/>
      <c r="B217" s="20"/>
      <c r="C217" s="25"/>
      <c r="D217" s="20"/>
      <c r="E217" s="22"/>
      <c r="F217" s="9"/>
      <c r="G217" s="14" t="str">
        <f t="shared" si="8"/>
        <v/>
      </c>
      <c r="H217" s="15"/>
      <c r="I217" s="16"/>
      <c r="J217" s="15"/>
      <c r="K217" s="17" t="s">
        <v>438</v>
      </c>
      <c r="L217" s="18">
        <f t="shared" si="7"/>
        <v>20060368076758</v>
      </c>
    </row>
    <row r="218" spans="1:12" x14ac:dyDescent="0.3">
      <c r="A218" s="19"/>
      <c r="B218" s="20"/>
      <c r="C218" s="25"/>
      <c r="D218" s="20"/>
      <c r="E218" s="22"/>
      <c r="F218" s="9"/>
      <c r="G218" s="14" t="str">
        <f t="shared" si="8"/>
        <v/>
      </c>
      <c r="H218" s="15"/>
      <c r="I218" s="16"/>
      <c r="J218" s="15"/>
      <c r="K218" s="17" t="s">
        <v>439</v>
      </c>
      <c r="L218" s="18">
        <f t="shared" si="7"/>
        <v>20060368076759</v>
      </c>
    </row>
    <row r="219" spans="1:12" x14ac:dyDescent="0.3">
      <c r="A219" s="19"/>
      <c r="B219" s="20"/>
      <c r="C219" s="25"/>
      <c r="D219" s="20"/>
      <c r="E219" s="22"/>
      <c r="F219" s="9"/>
      <c r="G219" s="14" t="str">
        <f t="shared" si="8"/>
        <v/>
      </c>
      <c r="H219" s="15"/>
      <c r="I219" s="16"/>
      <c r="J219" s="15"/>
      <c r="K219" s="17" t="s">
        <v>440</v>
      </c>
      <c r="L219" s="18">
        <f t="shared" si="7"/>
        <v>20060368076760</v>
      </c>
    </row>
    <row r="220" spans="1:12" x14ac:dyDescent="0.3">
      <c r="A220" s="19"/>
      <c r="B220" s="20"/>
      <c r="C220" s="25"/>
      <c r="D220" s="20"/>
      <c r="E220" s="22"/>
      <c r="F220" s="9"/>
      <c r="G220" s="14" t="str">
        <f t="shared" si="8"/>
        <v/>
      </c>
      <c r="H220" s="15"/>
      <c r="I220" s="16"/>
      <c r="J220" s="15"/>
      <c r="K220" s="17" t="s">
        <v>441</v>
      </c>
      <c r="L220" s="18">
        <f t="shared" si="7"/>
        <v>20060368076761</v>
      </c>
    </row>
    <row r="221" spans="1:12" x14ac:dyDescent="0.3">
      <c r="A221" s="19"/>
      <c r="B221" s="20"/>
      <c r="C221" s="25"/>
      <c r="D221" s="20"/>
      <c r="E221" s="22"/>
      <c r="F221" s="9"/>
      <c r="G221" s="14" t="str">
        <f t="shared" si="8"/>
        <v/>
      </c>
      <c r="H221" s="15"/>
      <c r="I221" s="16"/>
      <c r="J221" s="15"/>
      <c r="K221" s="17" t="s">
        <v>442</v>
      </c>
      <c r="L221" s="18" t="e">
        <f t="shared" si="7"/>
        <v>#N/A</v>
      </c>
    </row>
    <row r="222" spans="1:12" x14ac:dyDescent="0.3">
      <c r="A222" s="19"/>
      <c r="B222" s="20"/>
      <c r="C222" s="25"/>
      <c r="D222" s="20"/>
      <c r="E222" s="22"/>
      <c r="F222" s="9"/>
      <c r="G222" s="14" t="str">
        <f t="shared" si="8"/>
        <v/>
      </c>
      <c r="H222" s="15"/>
      <c r="I222" s="16"/>
      <c r="J222" s="15"/>
      <c r="K222" s="17" t="s">
        <v>443</v>
      </c>
      <c r="L222" s="18">
        <f t="shared" si="7"/>
        <v>20060368076762</v>
      </c>
    </row>
    <row r="223" spans="1:12" x14ac:dyDescent="0.3">
      <c r="A223" s="19"/>
      <c r="B223" s="20"/>
      <c r="C223" s="25"/>
      <c r="D223" s="20"/>
      <c r="E223" s="22"/>
      <c r="F223" s="9"/>
      <c r="G223" s="14" t="str">
        <f t="shared" si="8"/>
        <v/>
      </c>
      <c r="H223" s="15"/>
      <c r="I223" s="16"/>
      <c r="J223" s="15"/>
      <c r="K223" s="17" t="s">
        <v>444</v>
      </c>
      <c r="L223" s="18">
        <f t="shared" si="7"/>
        <v>20060368076763</v>
      </c>
    </row>
    <row r="224" spans="1:12" x14ac:dyDescent="0.3">
      <c r="A224" s="19">
        <f>COUNTIFS($B$2:B224,B224)</f>
        <v>1</v>
      </c>
      <c r="B224" s="26" t="s">
        <v>445</v>
      </c>
      <c r="C224" s="27">
        <v>20060368076260</v>
      </c>
      <c r="D224" s="26" t="s">
        <v>284</v>
      </c>
      <c r="E224" s="28">
        <v>92.6</v>
      </c>
      <c r="F224" s="9"/>
      <c r="G224" s="14" t="str">
        <f t="shared" si="8"/>
        <v>O</v>
      </c>
      <c r="H224" s="15"/>
      <c r="I224" s="16"/>
      <c r="J224" s="15"/>
      <c r="K224" s="17" t="s">
        <v>446</v>
      </c>
      <c r="L224" s="18" t="e">
        <f t="shared" si="7"/>
        <v>#N/A</v>
      </c>
    </row>
    <row r="225" spans="1:12" x14ac:dyDescent="0.3">
      <c r="A225" s="19">
        <f>COUNTIFS($B$2:B225,B225)</f>
        <v>2</v>
      </c>
      <c r="B225" s="26" t="s">
        <v>445</v>
      </c>
      <c r="C225" s="27">
        <v>20060368076260</v>
      </c>
      <c r="D225" s="26" t="s">
        <v>206</v>
      </c>
      <c r="E225" s="28">
        <v>10.3</v>
      </c>
      <c r="F225" s="9"/>
      <c r="G225" s="14" t="str">
        <f t="shared" si="8"/>
        <v>O</v>
      </c>
      <c r="H225" s="15"/>
      <c r="I225" s="16"/>
      <c r="J225" s="15"/>
      <c r="K225" s="17" t="s">
        <v>447</v>
      </c>
      <c r="L225" s="18">
        <f t="shared" si="7"/>
        <v>20060368076764</v>
      </c>
    </row>
    <row r="226" spans="1:12" x14ac:dyDescent="0.3">
      <c r="A226" s="19">
        <f>COUNTIFS($B$2:B226,B226)</f>
        <v>3</v>
      </c>
      <c r="B226" s="26" t="s">
        <v>445</v>
      </c>
      <c r="C226" s="27">
        <v>20060368076260</v>
      </c>
      <c r="D226" s="26" t="s">
        <v>157</v>
      </c>
      <c r="E226" s="28">
        <v>16.5</v>
      </c>
      <c r="F226" s="9"/>
      <c r="G226" s="14" t="str">
        <f t="shared" si="8"/>
        <v>O</v>
      </c>
      <c r="H226" s="15"/>
      <c r="I226" s="16"/>
      <c r="J226" s="15"/>
      <c r="K226" s="17" t="s">
        <v>448</v>
      </c>
      <c r="L226" s="18">
        <f t="shared" si="7"/>
        <v>20060368076765</v>
      </c>
    </row>
    <row r="227" spans="1:12" x14ac:dyDescent="0.3">
      <c r="A227" s="19">
        <f>COUNTIFS($B$2:B227,B227)</f>
        <v>4</v>
      </c>
      <c r="B227" s="26" t="s">
        <v>445</v>
      </c>
      <c r="C227" s="27">
        <v>20060368076260</v>
      </c>
      <c r="D227" s="26" t="s">
        <v>155</v>
      </c>
      <c r="E227" s="28">
        <v>1.7</v>
      </c>
      <c r="F227" s="9"/>
      <c r="G227" s="14" t="str">
        <f t="shared" si="8"/>
        <v>O</v>
      </c>
      <c r="H227" s="15"/>
      <c r="I227" s="16"/>
      <c r="J227" s="15"/>
      <c r="K227" s="17" t="s">
        <v>449</v>
      </c>
      <c r="L227" s="18" t="e">
        <f t="shared" si="7"/>
        <v>#N/A</v>
      </c>
    </row>
    <row r="228" spans="1:12" x14ac:dyDescent="0.3">
      <c r="A228" s="19">
        <f>COUNTIFS($B$2:B228,B228)</f>
        <v>5</v>
      </c>
      <c r="B228" s="26" t="s">
        <v>445</v>
      </c>
      <c r="C228" s="27">
        <v>20060368076260</v>
      </c>
      <c r="D228" s="26" t="s">
        <v>196</v>
      </c>
      <c r="E228" s="28">
        <v>16.5</v>
      </c>
      <c r="F228" s="9"/>
      <c r="G228" s="14" t="str">
        <f t="shared" si="8"/>
        <v>O</v>
      </c>
      <c r="H228" s="15"/>
      <c r="I228" s="16"/>
      <c r="J228" s="15"/>
      <c r="K228" s="17" t="s">
        <v>450</v>
      </c>
      <c r="L228" s="18">
        <f t="shared" si="7"/>
        <v>20060368076767</v>
      </c>
    </row>
    <row r="229" spans="1:12" x14ac:dyDescent="0.3">
      <c r="A229" s="19">
        <f>COUNTIFS($B$2:B229,B229)</f>
        <v>6</v>
      </c>
      <c r="B229" s="26" t="s">
        <v>445</v>
      </c>
      <c r="C229" s="27">
        <v>20060368076260</v>
      </c>
      <c r="D229" s="26" t="s">
        <v>48</v>
      </c>
      <c r="E229" s="28">
        <v>6.2</v>
      </c>
      <c r="F229" s="9"/>
      <c r="G229" s="14" t="str">
        <f t="shared" si="8"/>
        <v>O</v>
      </c>
      <c r="H229" s="15"/>
      <c r="I229" s="16"/>
      <c r="J229" s="15"/>
      <c r="K229" s="17" t="s">
        <v>451</v>
      </c>
      <c r="L229" s="18">
        <f t="shared" si="7"/>
        <v>20060368076768</v>
      </c>
    </row>
    <row r="230" spans="1:12" x14ac:dyDescent="0.3">
      <c r="A230" s="19">
        <f>COUNTIFS($B$2:B230,B230)</f>
        <v>7</v>
      </c>
      <c r="B230" s="26" t="s">
        <v>445</v>
      </c>
      <c r="C230" s="27">
        <v>20060368076260</v>
      </c>
      <c r="D230" s="26" t="s">
        <v>216</v>
      </c>
      <c r="E230" s="28">
        <v>2.0725388601036268</v>
      </c>
      <c r="F230" s="9"/>
      <c r="G230" s="14" t="str">
        <f t="shared" si="8"/>
        <v>O</v>
      </c>
      <c r="H230" s="15"/>
      <c r="I230" s="16"/>
      <c r="J230" s="15"/>
      <c r="K230" s="17" t="s">
        <v>452</v>
      </c>
      <c r="L230" s="18" t="e">
        <f t="shared" si="7"/>
        <v>#N/A</v>
      </c>
    </row>
    <row r="231" spans="1:12" x14ac:dyDescent="0.3">
      <c r="A231" s="19">
        <f>COUNTIFS($B$2:B231,B231)</f>
        <v>8</v>
      </c>
      <c r="B231" s="26" t="s">
        <v>445</v>
      </c>
      <c r="C231" s="27">
        <v>20060368076260</v>
      </c>
      <c r="D231" s="26" t="s">
        <v>111</v>
      </c>
      <c r="E231" s="28">
        <v>20.6</v>
      </c>
      <c r="F231" s="9"/>
      <c r="G231" s="14" t="str">
        <f t="shared" si="8"/>
        <v>O</v>
      </c>
      <c r="H231" s="15"/>
      <c r="I231" s="16"/>
      <c r="J231" s="15"/>
      <c r="K231" s="17" t="s">
        <v>453</v>
      </c>
      <c r="L231" s="18">
        <f t="shared" si="7"/>
        <v>20060368076769</v>
      </c>
    </row>
    <row r="232" spans="1:12" x14ac:dyDescent="0.3">
      <c r="A232" s="19">
        <f>COUNTIFS($B$2:B232,B232)</f>
        <v>9</v>
      </c>
      <c r="B232" s="26" t="s">
        <v>445</v>
      </c>
      <c r="C232" s="27">
        <v>20060368076260</v>
      </c>
      <c r="D232" s="26" t="s">
        <v>164</v>
      </c>
      <c r="E232" s="28">
        <v>3.6</v>
      </c>
      <c r="F232" s="9"/>
      <c r="G232" s="14" t="str">
        <f t="shared" si="8"/>
        <v>O</v>
      </c>
      <c r="H232" s="15"/>
      <c r="I232" s="16"/>
      <c r="J232" s="15"/>
      <c r="K232" s="17" t="s">
        <v>454</v>
      </c>
      <c r="L232" s="18" t="e">
        <f t="shared" si="7"/>
        <v>#N/A</v>
      </c>
    </row>
    <row r="233" spans="1:12" x14ac:dyDescent="0.3">
      <c r="A233" s="19">
        <f>COUNTIFS($B$2:B233,B233)</f>
        <v>10</v>
      </c>
      <c r="B233" s="26" t="s">
        <v>445</v>
      </c>
      <c r="C233" s="27">
        <v>20060368076260</v>
      </c>
      <c r="D233" s="26" t="s">
        <v>218</v>
      </c>
      <c r="E233" s="28">
        <v>0.41450777202072542</v>
      </c>
      <c r="F233" s="9"/>
      <c r="G233" s="14" t="str">
        <f t="shared" si="8"/>
        <v>O</v>
      </c>
      <c r="H233" s="15"/>
      <c r="I233" s="16"/>
      <c r="J233" s="15"/>
      <c r="K233" s="17" t="s">
        <v>455</v>
      </c>
      <c r="L233" s="18">
        <f t="shared" si="7"/>
        <v>20060368076771</v>
      </c>
    </row>
    <row r="234" spans="1:12" x14ac:dyDescent="0.3">
      <c r="A234" s="19">
        <f>COUNTIFS($B$2:B234,B234)</f>
        <v>11</v>
      </c>
      <c r="B234" s="26" t="s">
        <v>445</v>
      </c>
      <c r="C234" s="27">
        <v>20060368076260</v>
      </c>
      <c r="D234" s="26" t="s">
        <v>116</v>
      </c>
      <c r="E234" s="28">
        <v>16.5</v>
      </c>
      <c r="F234" s="9"/>
      <c r="G234" s="14" t="str">
        <f t="shared" si="8"/>
        <v>O</v>
      </c>
      <c r="H234" s="15"/>
      <c r="I234" s="16"/>
      <c r="J234" s="15"/>
      <c r="K234" s="17" t="s">
        <v>456</v>
      </c>
      <c r="L234" s="18" t="e">
        <f t="shared" si="7"/>
        <v>#N/A</v>
      </c>
    </row>
    <row r="235" spans="1:12" x14ac:dyDescent="0.3">
      <c r="A235" s="19">
        <f>COUNTIFS($B$2:B235,B235)</f>
        <v>12</v>
      </c>
      <c r="B235" s="26" t="s">
        <v>445</v>
      </c>
      <c r="C235" s="27">
        <v>20060368076260</v>
      </c>
      <c r="D235" s="26" t="s">
        <v>114</v>
      </c>
      <c r="E235" s="28">
        <v>20.6</v>
      </c>
      <c r="F235" s="9"/>
      <c r="G235" s="14" t="str">
        <f t="shared" si="8"/>
        <v>O</v>
      </c>
      <c r="H235" s="15"/>
      <c r="K235" s="17" t="s">
        <v>457</v>
      </c>
      <c r="L235" s="18" t="e">
        <f t="shared" si="7"/>
        <v>#N/A</v>
      </c>
    </row>
    <row r="236" spans="1:12" x14ac:dyDescent="0.3">
      <c r="A236" s="19">
        <f>COUNTIFS($B$2:B236,B236)</f>
        <v>13</v>
      </c>
      <c r="B236" s="26" t="s">
        <v>445</v>
      </c>
      <c r="C236" s="27">
        <v>20060368076260</v>
      </c>
      <c r="D236" s="26" t="s">
        <v>228</v>
      </c>
      <c r="E236" s="28">
        <v>20.6</v>
      </c>
      <c r="F236" s="9"/>
      <c r="G236" s="14" t="str">
        <f t="shared" si="8"/>
        <v>O</v>
      </c>
      <c r="H236" s="15"/>
      <c r="K236" s="17" t="s">
        <v>458</v>
      </c>
      <c r="L236" s="18" t="e">
        <f t="shared" si="7"/>
        <v>#N/A</v>
      </c>
    </row>
    <row r="237" spans="1:12" x14ac:dyDescent="0.3">
      <c r="A237" s="19">
        <f>COUNTIFS($B$2:B237,B237)</f>
        <v>14</v>
      </c>
      <c r="B237" s="26" t="s">
        <v>445</v>
      </c>
      <c r="C237" s="27">
        <v>20060368076260</v>
      </c>
      <c r="D237" s="29" t="s">
        <v>284</v>
      </c>
      <c r="E237" s="30">
        <v>10.3</v>
      </c>
      <c r="F237" s="9" t="s">
        <v>459</v>
      </c>
      <c r="G237" s="14" t="str">
        <f t="shared" si="8"/>
        <v>O</v>
      </c>
      <c r="H237" s="15"/>
      <c r="K237" s="17" t="s">
        <v>460</v>
      </c>
      <c r="L237" s="18" t="e">
        <f t="shared" si="7"/>
        <v>#N/A</v>
      </c>
    </row>
    <row r="238" spans="1:12" x14ac:dyDescent="0.3">
      <c r="A238" s="31">
        <f>COUNTIFS($B$2:B238,B238)</f>
        <v>1</v>
      </c>
      <c r="B238" s="26" t="s">
        <v>75</v>
      </c>
      <c r="C238" s="32">
        <v>20060368076262</v>
      </c>
      <c r="D238" s="26" t="s">
        <v>284</v>
      </c>
      <c r="E238" s="28">
        <v>48.2</v>
      </c>
      <c r="F238" s="9"/>
      <c r="G238" s="14" t="str">
        <f t="shared" si="8"/>
        <v>O</v>
      </c>
      <c r="H238" s="15"/>
      <c r="K238" s="17" t="s">
        <v>461</v>
      </c>
      <c r="L238" s="18" t="e">
        <f t="shared" si="7"/>
        <v>#N/A</v>
      </c>
    </row>
    <row r="239" spans="1:12" x14ac:dyDescent="0.3">
      <c r="A239" s="31">
        <f>COUNTIFS($B$2:B239,B239)</f>
        <v>2</v>
      </c>
      <c r="B239" s="26" t="s">
        <v>75</v>
      </c>
      <c r="C239" s="32">
        <v>20060368076262</v>
      </c>
      <c r="D239" s="26" t="s">
        <v>206</v>
      </c>
      <c r="E239" s="28">
        <v>38.6</v>
      </c>
      <c r="F239" s="9"/>
      <c r="G239" s="14" t="str">
        <f t="shared" si="8"/>
        <v>O</v>
      </c>
      <c r="H239" s="15"/>
      <c r="K239" s="17" t="s">
        <v>462</v>
      </c>
      <c r="L239" s="18">
        <f t="shared" si="7"/>
        <v>20060368076789</v>
      </c>
    </row>
    <row r="240" spans="1:12" x14ac:dyDescent="0.3">
      <c r="A240" s="31">
        <f>COUNTIFS($B$2:B240,B240)</f>
        <v>3</v>
      </c>
      <c r="B240" s="26" t="s">
        <v>75</v>
      </c>
      <c r="C240" s="32">
        <v>20060368076262</v>
      </c>
      <c r="D240" s="26" t="s">
        <v>463</v>
      </c>
      <c r="E240" s="28">
        <v>9.6</v>
      </c>
      <c r="F240" s="9"/>
      <c r="G240" s="14" t="str">
        <f t="shared" si="8"/>
        <v>O</v>
      </c>
      <c r="H240" s="15"/>
      <c r="K240" s="17" t="s">
        <v>464</v>
      </c>
      <c r="L240" s="18">
        <f t="shared" si="7"/>
        <v>20060368076807</v>
      </c>
    </row>
    <row r="241" spans="1:12" x14ac:dyDescent="0.3">
      <c r="A241" s="31">
        <f>COUNTIFS($B$2:B241,B241)</f>
        <v>4</v>
      </c>
      <c r="B241" s="26" t="s">
        <v>75</v>
      </c>
      <c r="C241" s="32">
        <v>20060368076262</v>
      </c>
      <c r="D241" s="26" t="s">
        <v>114</v>
      </c>
      <c r="E241" s="28">
        <v>67.5</v>
      </c>
      <c r="F241" s="9"/>
      <c r="G241" s="14" t="str">
        <f t="shared" si="8"/>
        <v>O</v>
      </c>
      <c r="H241" s="15"/>
      <c r="K241" s="17" t="s">
        <v>465</v>
      </c>
      <c r="L241" s="18" t="e">
        <f t="shared" si="7"/>
        <v>#N/A</v>
      </c>
    </row>
    <row r="242" spans="1:12" x14ac:dyDescent="0.3">
      <c r="A242" s="31">
        <f>COUNTIFS($B$2:B242,B242)</f>
        <v>5</v>
      </c>
      <c r="B242" s="26" t="s">
        <v>75</v>
      </c>
      <c r="C242" s="32">
        <v>20060368076262</v>
      </c>
      <c r="D242" s="26" t="s">
        <v>218</v>
      </c>
      <c r="E242" s="28">
        <v>0.96913137114142134</v>
      </c>
      <c r="F242" s="9"/>
      <c r="G242" s="14" t="str">
        <f t="shared" si="8"/>
        <v>O</v>
      </c>
      <c r="H242" s="15"/>
      <c r="K242" s="17" t="s">
        <v>466</v>
      </c>
      <c r="L242" s="18">
        <f t="shared" si="7"/>
        <v>20060368076811</v>
      </c>
    </row>
    <row r="243" spans="1:12" x14ac:dyDescent="0.3">
      <c r="A243" s="31">
        <f>COUNTIFS($B$2:B243,B243)</f>
        <v>6</v>
      </c>
      <c r="B243" s="26" t="s">
        <v>75</v>
      </c>
      <c r="C243" s="32">
        <v>20060368076262</v>
      </c>
      <c r="D243" s="26" t="s">
        <v>41</v>
      </c>
      <c r="E243" s="28">
        <v>12.211055276381909</v>
      </c>
      <c r="F243" s="9"/>
      <c r="G243" s="14" t="str">
        <f t="shared" si="8"/>
        <v>O</v>
      </c>
      <c r="H243" s="15"/>
      <c r="K243" s="17" t="s">
        <v>467</v>
      </c>
      <c r="L243" s="18" t="e">
        <f t="shared" si="7"/>
        <v>#N/A</v>
      </c>
    </row>
    <row r="244" spans="1:12" x14ac:dyDescent="0.3">
      <c r="A244" s="31">
        <f>COUNTIFS($B$2:B244,B244)</f>
        <v>7</v>
      </c>
      <c r="B244" s="26" t="s">
        <v>75</v>
      </c>
      <c r="C244" s="32">
        <v>20060368076262</v>
      </c>
      <c r="D244" s="26" t="s">
        <v>44</v>
      </c>
      <c r="E244" s="28">
        <v>19.3</v>
      </c>
      <c r="F244" s="9"/>
      <c r="G244" s="14" t="str">
        <f t="shared" si="8"/>
        <v>O</v>
      </c>
      <c r="H244" s="15"/>
      <c r="K244" s="17" t="s">
        <v>468</v>
      </c>
      <c r="L244" s="18">
        <f t="shared" si="7"/>
        <v>20060368076812</v>
      </c>
    </row>
    <row r="245" spans="1:12" x14ac:dyDescent="0.3">
      <c r="A245" s="31">
        <f>COUNTIFS($B$2:B245,B245)</f>
        <v>8</v>
      </c>
      <c r="B245" s="26" t="s">
        <v>75</v>
      </c>
      <c r="C245" s="32">
        <v>20060368076262</v>
      </c>
      <c r="D245" s="26" t="s">
        <v>272</v>
      </c>
      <c r="E245" s="28">
        <v>28</v>
      </c>
      <c r="F245" s="9"/>
      <c r="G245" s="14" t="str">
        <f t="shared" si="8"/>
        <v>O</v>
      </c>
      <c r="H245" s="15"/>
      <c r="K245" s="17" t="s">
        <v>469</v>
      </c>
      <c r="L245" s="18" t="e">
        <f t="shared" si="7"/>
        <v>#N/A</v>
      </c>
    </row>
    <row r="246" spans="1:12" x14ac:dyDescent="0.3">
      <c r="A246" s="31">
        <f>COUNTIFS($B$2:B246,B246)</f>
        <v>9</v>
      </c>
      <c r="B246" s="26" t="s">
        <v>75</v>
      </c>
      <c r="C246" s="32">
        <v>20060368076262</v>
      </c>
      <c r="D246" s="26" t="s">
        <v>421</v>
      </c>
      <c r="E246" s="28">
        <v>41.5</v>
      </c>
      <c r="F246" s="9"/>
      <c r="G246" s="14" t="str">
        <f t="shared" si="8"/>
        <v>O</v>
      </c>
      <c r="H246" s="15"/>
      <c r="K246" s="17" t="s">
        <v>470</v>
      </c>
      <c r="L246" s="18">
        <f t="shared" si="7"/>
        <v>20060368076813</v>
      </c>
    </row>
    <row r="247" spans="1:12" x14ac:dyDescent="0.3">
      <c r="A247" s="31">
        <f>COUNTIFS($B$2:B247,B247)</f>
        <v>10</v>
      </c>
      <c r="B247" s="26" t="s">
        <v>75</v>
      </c>
      <c r="C247" s="32">
        <v>20060368076262</v>
      </c>
      <c r="D247" s="29" t="s">
        <v>284</v>
      </c>
      <c r="E247" s="30">
        <v>20.75</v>
      </c>
      <c r="F247" s="9" t="s">
        <v>459</v>
      </c>
      <c r="G247" s="14"/>
      <c r="H247" s="15"/>
      <c r="K247" s="17"/>
      <c r="L247" s="18"/>
    </row>
    <row r="248" spans="1:12" x14ac:dyDescent="0.3">
      <c r="A248" s="31">
        <f>COUNTIFS($B$2:B248,B248)</f>
        <v>11</v>
      </c>
      <c r="B248" s="26" t="s">
        <v>75</v>
      </c>
      <c r="C248" s="32">
        <v>20060368076262</v>
      </c>
      <c r="D248" s="26" t="s">
        <v>164</v>
      </c>
      <c r="E248" s="28">
        <v>2.1</v>
      </c>
      <c r="F248" s="9"/>
      <c r="G248" s="14" t="str">
        <f t="shared" ref="G248:G259" si="9">IF(D248="","",IF(COUNTIF(I:I,D248)&gt;0,"O","X"))</f>
        <v>O</v>
      </c>
      <c r="H248" s="15"/>
      <c r="K248" s="17" t="s">
        <v>471</v>
      </c>
      <c r="L248" s="18" t="e">
        <f t="shared" ref="L248:L259" si="10">VLOOKUP(K248,B:C,2,FALSE)</f>
        <v>#N/A</v>
      </c>
    </row>
    <row r="249" spans="1:12" x14ac:dyDescent="0.3">
      <c r="A249" s="31">
        <f>COUNTIFS($B$2:B249,B249)</f>
        <v>12</v>
      </c>
      <c r="B249" s="26" t="s">
        <v>75</v>
      </c>
      <c r="C249" s="32">
        <v>20060368076262</v>
      </c>
      <c r="D249" s="26" t="s">
        <v>295</v>
      </c>
      <c r="E249" s="28">
        <v>0.1938262742282843</v>
      </c>
      <c r="F249" s="9"/>
      <c r="G249" s="14" t="str">
        <f t="shared" si="9"/>
        <v>O</v>
      </c>
      <c r="H249" s="15"/>
      <c r="K249" s="17" t="s">
        <v>472</v>
      </c>
      <c r="L249" s="18">
        <f t="shared" si="10"/>
        <v>20060368076814</v>
      </c>
    </row>
    <row r="250" spans="1:12" x14ac:dyDescent="0.3">
      <c r="A250" s="31">
        <f>COUNTIFS($B$2:B250,B250)</f>
        <v>13</v>
      </c>
      <c r="B250" s="26" t="s">
        <v>75</v>
      </c>
      <c r="C250" s="32">
        <v>20060368076262</v>
      </c>
      <c r="D250" s="26" t="s">
        <v>418</v>
      </c>
      <c r="E250" s="28">
        <v>1.7444364680545585</v>
      </c>
      <c r="F250" s="9"/>
      <c r="G250" s="14" t="str">
        <f t="shared" si="9"/>
        <v>O</v>
      </c>
      <c r="H250" s="15"/>
      <c r="K250" s="17" t="s">
        <v>473</v>
      </c>
      <c r="L250" s="18" t="e">
        <f t="shared" si="10"/>
        <v>#N/A</v>
      </c>
    </row>
    <row r="251" spans="1:12" x14ac:dyDescent="0.3">
      <c r="A251" s="31">
        <f>COUNTIFS($B$2:B251,B251)</f>
        <v>1</v>
      </c>
      <c r="B251" s="26" t="s">
        <v>77</v>
      </c>
      <c r="C251" s="32">
        <v>20060368076264</v>
      </c>
      <c r="D251" s="26" t="s">
        <v>284</v>
      </c>
      <c r="E251" s="28">
        <v>231.9</v>
      </c>
      <c r="F251" s="9"/>
      <c r="G251" s="14" t="str">
        <f t="shared" si="9"/>
        <v>O</v>
      </c>
      <c r="H251" s="15"/>
      <c r="K251" s="17" t="s">
        <v>474</v>
      </c>
      <c r="L251" s="18">
        <f t="shared" si="10"/>
        <v>20060368076586</v>
      </c>
    </row>
    <row r="252" spans="1:12" x14ac:dyDescent="0.3">
      <c r="A252" s="31">
        <f>COUNTIFS($B$2:B252,B252)</f>
        <v>2</v>
      </c>
      <c r="B252" s="26" t="s">
        <v>77</v>
      </c>
      <c r="C252" s="32">
        <v>20060368076264</v>
      </c>
      <c r="D252" s="26" t="s">
        <v>157</v>
      </c>
      <c r="E252" s="28">
        <v>28.9</v>
      </c>
      <c r="F252" s="9"/>
      <c r="G252" s="14" t="str">
        <f t="shared" si="9"/>
        <v>O</v>
      </c>
      <c r="H252" s="15"/>
      <c r="K252" s="17" t="s">
        <v>475</v>
      </c>
      <c r="L252" s="18" t="e">
        <f t="shared" si="10"/>
        <v>#N/A</v>
      </c>
    </row>
    <row r="253" spans="1:12" x14ac:dyDescent="0.3">
      <c r="A253" s="31">
        <f>COUNTIFS($B$2:B253,B253)</f>
        <v>3</v>
      </c>
      <c r="B253" s="26" t="s">
        <v>77</v>
      </c>
      <c r="C253" s="32">
        <v>20060368076264</v>
      </c>
      <c r="D253" s="26" t="s">
        <v>155</v>
      </c>
      <c r="E253" s="28">
        <v>4.5999999999999996</v>
      </c>
      <c r="F253" s="9"/>
      <c r="G253" s="14" t="str">
        <f t="shared" si="9"/>
        <v>O</v>
      </c>
      <c r="H253" s="15"/>
      <c r="K253" s="17" t="s">
        <v>476</v>
      </c>
      <c r="L253" s="18" t="e">
        <f t="shared" si="10"/>
        <v>#N/A</v>
      </c>
    </row>
    <row r="254" spans="1:12" x14ac:dyDescent="0.3">
      <c r="A254" s="31">
        <f>COUNTIFS($B$2:B254,B254)</f>
        <v>4</v>
      </c>
      <c r="B254" s="26" t="s">
        <v>77</v>
      </c>
      <c r="C254" s="32">
        <v>20060368076264</v>
      </c>
      <c r="D254" s="26" t="s">
        <v>84</v>
      </c>
      <c r="E254" s="28">
        <v>73.2</v>
      </c>
      <c r="F254" s="9"/>
      <c r="G254" s="14" t="str">
        <f t="shared" si="9"/>
        <v>O</v>
      </c>
      <c r="H254" s="15"/>
      <c r="K254" s="17" t="s">
        <v>477</v>
      </c>
      <c r="L254" s="18" t="e">
        <f t="shared" si="10"/>
        <v>#N/A</v>
      </c>
    </row>
    <row r="255" spans="1:12" x14ac:dyDescent="0.3">
      <c r="A255" s="31">
        <f>COUNTIFS($B$2:B255,B255)</f>
        <v>5</v>
      </c>
      <c r="B255" s="26" t="s">
        <v>77</v>
      </c>
      <c r="C255" s="32">
        <v>20060368076264</v>
      </c>
      <c r="D255" s="26" t="s">
        <v>164</v>
      </c>
      <c r="E255" s="28">
        <v>8.1999999999999993</v>
      </c>
      <c r="F255" s="9"/>
      <c r="G255" s="14" t="str">
        <f t="shared" si="9"/>
        <v>O</v>
      </c>
      <c r="H255" s="15"/>
      <c r="K255" s="17" t="s">
        <v>478</v>
      </c>
      <c r="L255" s="18" t="e">
        <f t="shared" si="10"/>
        <v>#N/A</v>
      </c>
    </row>
    <row r="256" spans="1:12" x14ac:dyDescent="0.3">
      <c r="A256" s="31">
        <f>COUNTIFS($B$2:B256,B256)</f>
        <v>6</v>
      </c>
      <c r="B256" s="26" t="s">
        <v>77</v>
      </c>
      <c r="C256" s="32">
        <v>20060368076264</v>
      </c>
      <c r="D256" s="26" t="s">
        <v>111</v>
      </c>
      <c r="E256" s="28">
        <v>126.87102771412511</v>
      </c>
      <c r="F256" s="9"/>
      <c r="G256" s="14" t="str">
        <f t="shared" si="9"/>
        <v>O</v>
      </c>
      <c r="H256" s="15"/>
      <c r="K256" s="17" t="s">
        <v>479</v>
      </c>
      <c r="L256" s="18">
        <f t="shared" si="10"/>
        <v>20060368076540</v>
      </c>
    </row>
    <row r="257" spans="1:12" x14ac:dyDescent="0.3">
      <c r="A257" s="31">
        <f>COUNTIFS($B$2:B257,B257)</f>
        <v>7</v>
      </c>
      <c r="B257" s="26" t="s">
        <v>77</v>
      </c>
      <c r="C257" s="32">
        <v>20060368076264</v>
      </c>
      <c r="D257" s="26" t="s">
        <v>114</v>
      </c>
      <c r="E257" s="28">
        <v>13.316615504345194</v>
      </c>
      <c r="F257" s="9"/>
      <c r="G257" s="14" t="str">
        <f t="shared" si="9"/>
        <v>O</v>
      </c>
      <c r="H257" s="15"/>
      <c r="K257" s="17" t="s">
        <v>480</v>
      </c>
      <c r="L257" s="18">
        <f t="shared" si="10"/>
        <v>20060368076541</v>
      </c>
    </row>
    <row r="258" spans="1:12" x14ac:dyDescent="0.3">
      <c r="A258" s="31">
        <f>COUNTIFS($B$2:B258,B258)</f>
        <v>8</v>
      </c>
      <c r="B258" s="26" t="s">
        <v>77</v>
      </c>
      <c r="C258" s="32">
        <v>20060368076264</v>
      </c>
      <c r="D258" s="26" t="s">
        <v>218</v>
      </c>
      <c r="E258" s="28">
        <v>0.96848112758874128</v>
      </c>
      <c r="F258" s="9"/>
      <c r="G258" s="14" t="str">
        <f t="shared" si="9"/>
        <v>O</v>
      </c>
      <c r="H258" s="15"/>
      <c r="K258" s="17" t="s">
        <v>481</v>
      </c>
      <c r="L258" s="18">
        <f t="shared" si="10"/>
        <v>20060368076550</v>
      </c>
    </row>
    <row r="259" spans="1:12" x14ac:dyDescent="0.3">
      <c r="A259" s="31">
        <f>COUNTIFS($B$2:B259,B259)</f>
        <v>9</v>
      </c>
      <c r="B259" s="26" t="s">
        <v>77</v>
      </c>
      <c r="C259" s="32">
        <v>20060368076264</v>
      </c>
      <c r="D259" s="26" t="s">
        <v>228</v>
      </c>
      <c r="E259" s="28">
        <v>48.908296943231434</v>
      </c>
      <c r="F259" s="9"/>
      <c r="G259" s="14" t="str">
        <f t="shared" si="9"/>
        <v>O</v>
      </c>
      <c r="H259" s="15"/>
      <c r="K259" s="17" t="s">
        <v>482</v>
      </c>
      <c r="L259" s="18">
        <f t="shared" si="10"/>
        <v>320060368076462</v>
      </c>
    </row>
    <row r="260" spans="1:12" x14ac:dyDescent="0.3">
      <c r="A260" s="31">
        <f>COUNTIFS($B$2:B260,B260)</f>
        <v>10</v>
      </c>
      <c r="B260" s="26" t="s">
        <v>77</v>
      </c>
      <c r="C260" s="32">
        <v>20060368076264</v>
      </c>
      <c r="D260" s="26" t="s">
        <v>284</v>
      </c>
      <c r="E260" s="30">
        <v>24.4541</v>
      </c>
      <c r="F260" s="9" t="s">
        <v>459</v>
      </c>
      <c r="G260" s="14"/>
      <c r="H260" s="15"/>
      <c r="K260" s="17"/>
      <c r="L260" s="18"/>
    </row>
    <row r="261" spans="1:12" x14ac:dyDescent="0.3">
      <c r="A261" s="31">
        <f>COUNTIFS($B$2:B261,B261)</f>
        <v>11</v>
      </c>
      <c r="B261" s="26" t="s">
        <v>77</v>
      </c>
      <c r="C261" s="32">
        <v>20060368076264</v>
      </c>
      <c r="D261" s="26" t="s">
        <v>196</v>
      </c>
      <c r="E261" s="28">
        <v>24.454148471615717</v>
      </c>
      <c r="F261" s="9"/>
      <c r="G261" s="14" t="str">
        <f t="shared" ref="G261:G280" si="11">IF(D261="","",IF(COUNTIF(I:I,D261)&gt;0,"O","X"))</f>
        <v>O</v>
      </c>
      <c r="H261" s="15"/>
      <c r="K261" s="17" t="s">
        <v>483</v>
      </c>
      <c r="L261" s="18">
        <f>VLOOKUP(K261,B:C,2,FALSE)</f>
        <v>320060368076462</v>
      </c>
    </row>
    <row r="262" spans="1:12" x14ac:dyDescent="0.3">
      <c r="A262" s="19"/>
      <c r="B262" s="20"/>
      <c r="C262" s="25"/>
      <c r="D262" s="20"/>
      <c r="E262" s="22"/>
      <c r="F262" s="9"/>
      <c r="G262" s="14" t="str">
        <f t="shared" si="11"/>
        <v/>
      </c>
      <c r="H262" s="15"/>
      <c r="K262" s="17" t="s">
        <v>484</v>
      </c>
      <c r="L262" s="18">
        <f>VLOOKUP(K262,B:C,2,FALSE)</f>
        <v>320060368076580</v>
      </c>
    </row>
    <row r="263" spans="1:12" x14ac:dyDescent="0.3">
      <c r="A263" s="19"/>
      <c r="B263" s="20"/>
      <c r="C263" s="21"/>
      <c r="D263" s="20"/>
      <c r="E263" s="22"/>
      <c r="F263" s="9"/>
      <c r="G263" s="14" t="str">
        <f t="shared" si="11"/>
        <v/>
      </c>
      <c r="H263" s="15"/>
      <c r="K263" s="17" t="s">
        <v>485</v>
      </c>
      <c r="L263" s="18">
        <f>VLOOKUP(K263,B:C,2,FALSE)</f>
        <v>320060368076561</v>
      </c>
    </row>
    <row r="264" spans="1:12" ht="17.25" thickBot="1" x14ac:dyDescent="0.35">
      <c r="A264" s="19"/>
      <c r="B264" s="20"/>
      <c r="C264" s="21"/>
      <c r="D264" s="20"/>
      <c r="E264" s="22"/>
      <c r="F264" s="9"/>
      <c r="G264" s="14" t="str">
        <f t="shared" si="11"/>
        <v/>
      </c>
      <c r="H264" s="15"/>
      <c r="K264" s="33" t="s">
        <v>486</v>
      </c>
      <c r="L264" s="34">
        <f>VLOOKUP(K264,B:C,2,FALSE)</f>
        <v>20060368076561</v>
      </c>
    </row>
    <row r="265" spans="1:12" x14ac:dyDescent="0.3">
      <c r="A265" s="19"/>
      <c r="B265" s="20"/>
      <c r="C265" s="21"/>
      <c r="D265" s="20"/>
      <c r="E265" s="22"/>
      <c r="F265" s="9"/>
      <c r="G265" s="14" t="str">
        <f t="shared" si="11"/>
        <v/>
      </c>
      <c r="H265" s="15"/>
      <c r="L265" s="35"/>
    </row>
    <row r="266" spans="1:12" x14ac:dyDescent="0.3">
      <c r="A266" s="19"/>
      <c r="B266" s="20"/>
      <c r="C266" s="21"/>
      <c r="D266" s="20"/>
      <c r="E266" s="22"/>
      <c r="F266" s="9"/>
      <c r="G266" s="14" t="str">
        <f t="shared" si="11"/>
        <v/>
      </c>
      <c r="H266" s="15"/>
      <c r="L266" s="35"/>
    </row>
    <row r="267" spans="1:12" x14ac:dyDescent="0.3">
      <c r="A267" s="19"/>
      <c r="B267" s="20"/>
      <c r="C267" s="21"/>
      <c r="D267" s="20"/>
      <c r="E267" s="22"/>
      <c r="F267" s="9"/>
      <c r="G267" s="14" t="str">
        <f t="shared" si="11"/>
        <v/>
      </c>
      <c r="H267" s="15"/>
      <c r="L267" s="35"/>
    </row>
    <row r="268" spans="1:12" x14ac:dyDescent="0.3">
      <c r="A268" s="19"/>
      <c r="B268" s="20"/>
      <c r="C268" s="21"/>
      <c r="D268" s="20"/>
      <c r="E268" s="22"/>
      <c r="F268" s="9"/>
      <c r="G268" s="14" t="str">
        <f t="shared" si="11"/>
        <v/>
      </c>
      <c r="H268" s="15"/>
      <c r="L268" s="35"/>
    </row>
    <row r="269" spans="1:12" x14ac:dyDescent="0.3">
      <c r="A269" s="19"/>
      <c r="B269" s="20"/>
      <c r="C269" s="21"/>
      <c r="D269" s="20"/>
      <c r="E269" s="22"/>
      <c r="F269" s="9"/>
      <c r="G269" s="14" t="str">
        <f t="shared" si="11"/>
        <v/>
      </c>
      <c r="H269" s="15"/>
      <c r="L269" s="35"/>
    </row>
    <row r="270" spans="1:12" x14ac:dyDescent="0.3">
      <c r="A270" s="19"/>
      <c r="B270" s="20"/>
      <c r="C270" s="21"/>
      <c r="D270" s="20"/>
      <c r="E270" s="22"/>
      <c r="F270" s="9"/>
      <c r="G270" s="14" t="str">
        <f t="shared" si="11"/>
        <v/>
      </c>
      <c r="H270" s="15"/>
      <c r="L270" s="35"/>
    </row>
    <row r="271" spans="1:12" x14ac:dyDescent="0.3">
      <c r="A271" s="19"/>
      <c r="B271" s="20"/>
      <c r="C271" s="21"/>
      <c r="D271" s="20"/>
      <c r="E271" s="22"/>
      <c r="F271" s="9"/>
      <c r="G271" s="14" t="str">
        <f t="shared" si="11"/>
        <v/>
      </c>
      <c r="H271" s="15"/>
      <c r="L271" s="35"/>
    </row>
    <row r="272" spans="1:12" x14ac:dyDescent="0.3">
      <c r="A272" s="19"/>
      <c r="B272" s="20"/>
      <c r="C272" s="21"/>
      <c r="D272" s="20"/>
      <c r="E272" s="22"/>
      <c r="F272" s="9"/>
      <c r="G272" s="14" t="str">
        <f t="shared" si="11"/>
        <v/>
      </c>
      <c r="H272" s="15"/>
      <c r="L272" s="35"/>
    </row>
    <row r="273" spans="1:12" x14ac:dyDescent="0.3">
      <c r="A273" s="19"/>
      <c r="B273" s="20"/>
      <c r="C273" s="21"/>
      <c r="D273" s="20"/>
      <c r="E273" s="22"/>
      <c r="F273" s="9"/>
      <c r="G273" s="14" t="str">
        <f t="shared" si="11"/>
        <v/>
      </c>
      <c r="H273" s="15"/>
      <c r="L273" s="35"/>
    </row>
    <row r="274" spans="1:12" x14ac:dyDescent="0.3">
      <c r="A274" s="31">
        <f>COUNTIFS($B$2:B274,B274)</f>
        <v>1</v>
      </c>
      <c r="B274" s="26" t="s">
        <v>81</v>
      </c>
      <c r="C274" s="36">
        <v>20060368076266</v>
      </c>
      <c r="D274" s="26" t="s">
        <v>284</v>
      </c>
      <c r="E274" s="28">
        <v>172.97297297297297</v>
      </c>
      <c r="F274" s="9"/>
      <c r="G274" s="14" t="str">
        <f t="shared" si="11"/>
        <v>O</v>
      </c>
      <c r="H274" s="15"/>
      <c r="L274" s="35"/>
    </row>
    <row r="275" spans="1:12" x14ac:dyDescent="0.3">
      <c r="A275" s="31">
        <f>COUNTIFS($B$2:B275,B275)</f>
        <v>2</v>
      </c>
      <c r="B275" s="26" t="s">
        <v>81</v>
      </c>
      <c r="C275" s="36">
        <v>20060368076266</v>
      </c>
      <c r="D275" s="26" t="s">
        <v>118</v>
      </c>
      <c r="E275" s="28">
        <v>43.243243243243242</v>
      </c>
      <c r="F275" s="9"/>
      <c r="G275" s="14" t="str">
        <f t="shared" si="11"/>
        <v>O</v>
      </c>
      <c r="H275" s="15"/>
      <c r="L275" s="35"/>
    </row>
    <row r="276" spans="1:12" x14ac:dyDescent="0.3">
      <c r="A276" s="31">
        <f>COUNTIFS($B$2:B276,B276)</f>
        <v>3</v>
      </c>
      <c r="B276" s="26" t="s">
        <v>81</v>
      </c>
      <c r="C276" s="36">
        <v>20060368076266</v>
      </c>
      <c r="D276" s="26" t="s">
        <v>487</v>
      </c>
      <c r="E276" s="28">
        <v>19.219219219219219</v>
      </c>
      <c r="F276" s="9"/>
      <c r="G276" s="14" t="str">
        <f t="shared" si="11"/>
        <v>O</v>
      </c>
      <c r="H276" s="15"/>
      <c r="L276" s="35"/>
    </row>
    <row r="277" spans="1:12" x14ac:dyDescent="0.3">
      <c r="A277" s="31">
        <f>COUNTIFS($B$2:B277,B277)</f>
        <v>4</v>
      </c>
      <c r="B277" s="26" t="s">
        <v>81</v>
      </c>
      <c r="C277" s="36">
        <v>20060368076266</v>
      </c>
      <c r="D277" s="26" t="s">
        <v>418</v>
      </c>
      <c r="E277" s="28">
        <v>2.1621621621621623</v>
      </c>
      <c r="F277" s="9"/>
      <c r="G277" s="14" t="str">
        <f t="shared" si="11"/>
        <v>O</v>
      </c>
      <c r="H277" s="15"/>
      <c r="L277" s="35"/>
    </row>
    <row r="278" spans="1:12" x14ac:dyDescent="0.3">
      <c r="A278" s="31">
        <f>COUNTIFS($B$2:B278,B278)</f>
        <v>5</v>
      </c>
      <c r="B278" s="26" t="s">
        <v>81</v>
      </c>
      <c r="C278" s="36">
        <v>20060368076266</v>
      </c>
      <c r="D278" s="26" t="s">
        <v>488</v>
      </c>
      <c r="E278" s="28">
        <v>18.018018018018019</v>
      </c>
      <c r="F278" s="9"/>
      <c r="G278" s="14" t="str">
        <f t="shared" si="11"/>
        <v>O</v>
      </c>
      <c r="H278" s="15"/>
      <c r="L278" s="35"/>
    </row>
    <row r="279" spans="1:12" x14ac:dyDescent="0.3">
      <c r="A279" s="31">
        <f>COUNTIFS($B$2:B279,B279)</f>
        <v>6</v>
      </c>
      <c r="B279" s="26" t="s">
        <v>81</v>
      </c>
      <c r="C279" s="36">
        <v>20060368076266</v>
      </c>
      <c r="D279" s="26" t="s">
        <v>489</v>
      </c>
      <c r="E279" s="28">
        <v>4.2042042042042045</v>
      </c>
      <c r="F279" s="9"/>
      <c r="G279" s="14" t="str">
        <f t="shared" si="11"/>
        <v>O</v>
      </c>
      <c r="H279" s="15"/>
      <c r="L279" s="35"/>
    </row>
    <row r="280" spans="1:12" x14ac:dyDescent="0.3">
      <c r="A280" s="31">
        <f>COUNTIFS($B$2:B280,B280)</f>
        <v>7</v>
      </c>
      <c r="B280" s="26" t="s">
        <v>81</v>
      </c>
      <c r="C280" s="36">
        <v>20060368076266</v>
      </c>
      <c r="D280" s="26" t="s">
        <v>421</v>
      </c>
      <c r="E280" s="28">
        <v>48.048048048048052</v>
      </c>
      <c r="F280" s="9"/>
      <c r="G280" s="14" t="str">
        <f t="shared" si="11"/>
        <v>O</v>
      </c>
      <c r="H280" s="15"/>
      <c r="L280" s="35"/>
    </row>
    <row r="281" spans="1:12" x14ac:dyDescent="0.3">
      <c r="A281" s="31">
        <f>COUNTIFS($B$2:B281,B281)</f>
        <v>8</v>
      </c>
      <c r="B281" s="26" t="s">
        <v>81</v>
      </c>
      <c r="C281" s="36">
        <v>20060368076266</v>
      </c>
      <c r="D281" s="26" t="s">
        <v>284</v>
      </c>
      <c r="E281" s="30">
        <v>24</v>
      </c>
      <c r="F281" s="9"/>
      <c r="G281" s="14"/>
      <c r="H281" s="15"/>
      <c r="L281" s="35"/>
    </row>
    <row r="282" spans="1:12" x14ac:dyDescent="0.3">
      <c r="A282" s="31">
        <f>COUNTIFS($B$2:B282,B282)</f>
        <v>9</v>
      </c>
      <c r="B282" s="26" t="s">
        <v>81</v>
      </c>
      <c r="C282" s="36">
        <v>20060368076266</v>
      </c>
      <c r="D282" s="26" t="s">
        <v>490</v>
      </c>
      <c r="E282" s="28">
        <v>26.426426426426428</v>
      </c>
      <c r="F282" s="9"/>
      <c r="G282" s="14" t="str">
        <f t="shared" ref="G282:G287" si="12">IF(D282="","",IF(COUNTIF(I:I,D282)&gt;0,"O","X"))</f>
        <v>O</v>
      </c>
      <c r="H282" s="15"/>
      <c r="L282" s="35"/>
    </row>
    <row r="283" spans="1:12" x14ac:dyDescent="0.3">
      <c r="A283" s="31">
        <f>COUNTIFS($B$2:B283,B283)</f>
        <v>10</v>
      </c>
      <c r="B283" s="26" t="s">
        <v>81</v>
      </c>
      <c r="C283" s="36">
        <v>20060368076266</v>
      </c>
      <c r="D283" s="26" t="s">
        <v>114</v>
      </c>
      <c r="E283" s="28">
        <v>81.681681681681681</v>
      </c>
      <c r="F283" s="9"/>
      <c r="G283" s="14" t="str">
        <f t="shared" si="12"/>
        <v>O</v>
      </c>
      <c r="H283" s="15"/>
      <c r="L283" s="35"/>
    </row>
    <row r="284" spans="1:12" x14ac:dyDescent="0.3">
      <c r="A284" s="31">
        <f>COUNTIFS($B$2:B284,B284)</f>
        <v>11</v>
      </c>
      <c r="B284" s="26" t="s">
        <v>81</v>
      </c>
      <c r="C284" s="36">
        <v>20060368076266</v>
      </c>
      <c r="D284" s="26" t="s">
        <v>54</v>
      </c>
      <c r="E284" s="28">
        <v>24.024024024024026</v>
      </c>
      <c r="F284" s="9"/>
      <c r="G284" s="14" t="str">
        <f t="shared" si="12"/>
        <v>O</v>
      </c>
      <c r="H284" s="15"/>
      <c r="L284" s="35"/>
    </row>
    <row r="285" spans="1:12" x14ac:dyDescent="0.3">
      <c r="A285" s="31">
        <f>COUNTIFS($B$2:B285,B285)</f>
        <v>1</v>
      </c>
      <c r="B285" s="26" t="s">
        <v>491</v>
      </c>
      <c r="C285" s="27">
        <v>20060368076269</v>
      </c>
      <c r="D285" s="26" t="s">
        <v>284</v>
      </c>
      <c r="E285" s="28">
        <v>78.461601993199992</v>
      </c>
      <c r="F285" s="9"/>
      <c r="G285" s="14" t="str">
        <f t="shared" si="12"/>
        <v>O</v>
      </c>
      <c r="H285" s="15"/>
      <c r="L285" s="35"/>
    </row>
    <row r="286" spans="1:12" x14ac:dyDescent="0.3">
      <c r="A286" s="31">
        <f>COUNTIFS($B$2:B286,B286)</f>
        <v>2</v>
      </c>
      <c r="B286" s="26" t="s">
        <v>491</v>
      </c>
      <c r="C286" s="27">
        <v>20060368076269</v>
      </c>
      <c r="D286" s="26" t="s">
        <v>157</v>
      </c>
      <c r="E286" s="28">
        <v>1.5692320398640001</v>
      </c>
      <c r="F286" s="9"/>
      <c r="G286" s="14" t="str">
        <f t="shared" si="12"/>
        <v>O</v>
      </c>
      <c r="H286" s="15"/>
      <c r="L286" s="35"/>
    </row>
    <row r="287" spans="1:12" x14ac:dyDescent="0.3">
      <c r="A287" s="31">
        <f>COUNTIFS($B$2:B287,B287)</f>
        <v>3</v>
      </c>
      <c r="B287" s="26" t="s">
        <v>491</v>
      </c>
      <c r="C287" s="27">
        <v>20060368076269</v>
      </c>
      <c r="D287" s="26" t="s">
        <v>421</v>
      </c>
      <c r="E287" s="28">
        <v>15.692320398639998</v>
      </c>
      <c r="F287" s="9"/>
      <c r="G287" s="14" t="str">
        <f t="shared" si="12"/>
        <v>O</v>
      </c>
      <c r="H287" s="15"/>
      <c r="L287" s="35"/>
    </row>
    <row r="288" spans="1:12" x14ac:dyDescent="0.3">
      <c r="A288" s="31">
        <v>1</v>
      </c>
      <c r="B288" s="26" t="s">
        <v>85</v>
      </c>
      <c r="C288" s="27">
        <v>20060368076269</v>
      </c>
      <c r="D288" s="29" t="s">
        <v>284</v>
      </c>
      <c r="E288" s="30">
        <v>7.8461600000000002</v>
      </c>
      <c r="F288" s="9" t="s">
        <v>459</v>
      </c>
      <c r="G288" s="14"/>
      <c r="H288" s="15"/>
      <c r="L288" s="35"/>
    </row>
    <row r="289" spans="1:12" x14ac:dyDescent="0.3">
      <c r="A289" s="31">
        <f>COUNTIFS($B$2:B289,B289)</f>
        <v>5</v>
      </c>
      <c r="B289" s="26" t="s">
        <v>491</v>
      </c>
      <c r="C289" s="37">
        <v>20060368076269</v>
      </c>
      <c r="D289" s="26" t="s">
        <v>295</v>
      </c>
      <c r="E289" s="28">
        <v>0.20923093864853332</v>
      </c>
      <c r="F289" s="9"/>
      <c r="G289" s="14" t="str">
        <f t="shared" ref="G289:G301" si="13">IF(D289="","",IF(COUNTIF(I:I,D289)&gt;0,"O","X"))</f>
        <v>O</v>
      </c>
      <c r="H289" s="15"/>
      <c r="L289" s="35"/>
    </row>
    <row r="290" spans="1:12" x14ac:dyDescent="0.3">
      <c r="A290" s="31">
        <f>COUNTIFS($B$2:B290,B290)</f>
        <v>6</v>
      </c>
      <c r="B290" s="26" t="s">
        <v>491</v>
      </c>
      <c r="C290" s="27">
        <v>20060368076269</v>
      </c>
      <c r="D290" s="26" t="s">
        <v>489</v>
      </c>
      <c r="E290" s="28">
        <v>2.3538480597959999</v>
      </c>
      <c r="F290" s="9"/>
      <c r="G290" s="14" t="str">
        <f t="shared" si="13"/>
        <v>O</v>
      </c>
      <c r="H290" s="15"/>
      <c r="L290" s="35"/>
    </row>
    <row r="291" spans="1:12" x14ac:dyDescent="0.3">
      <c r="A291" s="31">
        <f>COUNTIFS($B$2:B291,B291)</f>
        <v>7</v>
      </c>
      <c r="B291" s="26" t="s">
        <v>491</v>
      </c>
      <c r="C291" s="27">
        <v>20060368076269</v>
      </c>
      <c r="D291" s="26" t="s">
        <v>114</v>
      </c>
      <c r="E291" s="28">
        <v>65.384668327666674</v>
      </c>
      <c r="F291" s="9"/>
      <c r="G291" s="14" t="str">
        <f t="shared" si="13"/>
        <v>O</v>
      </c>
      <c r="H291" s="15"/>
      <c r="L291" s="35"/>
    </row>
    <row r="292" spans="1:12" x14ac:dyDescent="0.3">
      <c r="A292" s="31">
        <f>COUNTIFS($B$2:B292,B292)</f>
        <v>8</v>
      </c>
      <c r="B292" s="26" t="s">
        <v>491</v>
      </c>
      <c r="C292" s="27">
        <v>20060368076269</v>
      </c>
      <c r="D292" s="26" t="s">
        <v>492</v>
      </c>
      <c r="E292" s="28">
        <v>3.9230800996599995</v>
      </c>
      <c r="F292" s="9"/>
      <c r="G292" s="14" t="str">
        <f t="shared" si="13"/>
        <v>O</v>
      </c>
      <c r="H292" s="15"/>
      <c r="L292" s="35"/>
    </row>
    <row r="293" spans="1:12" x14ac:dyDescent="0.3">
      <c r="A293" s="31">
        <f>COUNTIFS($B$2:B293,B293)</f>
        <v>9</v>
      </c>
      <c r="B293" s="26" t="s">
        <v>491</v>
      </c>
      <c r="C293" s="27">
        <v>20060368076269</v>
      </c>
      <c r="D293" s="26" t="s">
        <v>418</v>
      </c>
      <c r="E293" s="28">
        <v>1.4829242776714799</v>
      </c>
      <c r="F293" s="9"/>
      <c r="G293" s="14" t="str">
        <f t="shared" si="13"/>
        <v>O</v>
      </c>
      <c r="H293" s="15"/>
      <c r="L293" s="35"/>
    </row>
    <row r="294" spans="1:12" x14ac:dyDescent="0.3">
      <c r="A294" s="31">
        <f>COUNTIFS($B$2:B294,B294)</f>
        <v>10</v>
      </c>
      <c r="B294" s="26" t="s">
        <v>491</v>
      </c>
      <c r="C294" s="27">
        <v>20060368076269</v>
      </c>
      <c r="D294" s="26" t="s">
        <v>166</v>
      </c>
      <c r="E294" s="28">
        <v>20.923093864853335</v>
      </c>
      <c r="F294" s="9"/>
      <c r="G294" s="14" t="str">
        <f t="shared" si="13"/>
        <v>O</v>
      </c>
      <c r="H294" s="15"/>
      <c r="L294" s="35"/>
    </row>
    <row r="295" spans="1:12" x14ac:dyDescent="0.3">
      <c r="A295" s="31">
        <f>COUNTIFS($B$2:B295,B295)</f>
        <v>1</v>
      </c>
      <c r="B295" s="26" t="s">
        <v>90</v>
      </c>
      <c r="C295" s="32">
        <v>20060368076280</v>
      </c>
      <c r="D295" s="26" t="s">
        <v>284</v>
      </c>
      <c r="E295" s="28">
        <v>264.44144091202912</v>
      </c>
      <c r="F295" s="9"/>
      <c r="G295" s="14" t="str">
        <f t="shared" si="13"/>
        <v>O</v>
      </c>
      <c r="H295" s="15"/>
      <c r="L295" s="35"/>
    </row>
    <row r="296" spans="1:12" x14ac:dyDescent="0.3">
      <c r="A296" s="31">
        <f>COUNTIFS($B$2:B296,B296)</f>
        <v>2</v>
      </c>
      <c r="B296" s="26" t="s">
        <v>90</v>
      </c>
      <c r="C296" s="32">
        <v>20060368076280</v>
      </c>
      <c r="D296" s="26" t="s">
        <v>157</v>
      </c>
      <c r="E296" s="28">
        <v>5.6414174061232876</v>
      </c>
      <c r="F296" s="9"/>
      <c r="G296" s="14" t="str">
        <f t="shared" si="13"/>
        <v>O</v>
      </c>
      <c r="H296" s="15"/>
      <c r="L296" s="35"/>
    </row>
    <row r="297" spans="1:12" x14ac:dyDescent="0.3">
      <c r="A297" s="31">
        <f>COUNTIFS($B$2:B297,B297)</f>
        <v>3</v>
      </c>
      <c r="B297" s="26" t="s">
        <v>90</v>
      </c>
      <c r="C297" s="32">
        <v>20060368076280</v>
      </c>
      <c r="D297" s="26" t="s">
        <v>418</v>
      </c>
      <c r="E297" s="28">
        <v>5.4157607098783558</v>
      </c>
      <c r="F297" s="9"/>
      <c r="G297" s="14" t="str">
        <f t="shared" si="13"/>
        <v>O</v>
      </c>
      <c r="H297" s="15"/>
      <c r="L297" s="35"/>
    </row>
    <row r="298" spans="1:12" x14ac:dyDescent="0.3">
      <c r="A298" s="31">
        <f>COUNTIFS($B$2:B298,B298)</f>
        <v>4</v>
      </c>
      <c r="B298" s="26" t="s">
        <v>90</v>
      </c>
      <c r="C298" s="32">
        <v>20060368076280</v>
      </c>
      <c r="D298" s="26" t="s">
        <v>114</v>
      </c>
      <c r="E298" s="28">
        <v>158.66486454721746</v>
      </c>
      <c r="F298" s="9"/>
      <c r="G298" s="14" t="str">
        <f t="shared" si="13"/>
        <v>O</v>
      </c>
      <c r="H298" s="15"/>
      <c r="L298" s="35"/>
    </row>
    <row r="299" spans="1:12" x14ac:dyDescent="0.3">
      <c r="A299" s="31">
        <f>COUNTIFS($B$2:B299,B299)</f>
        <v>5</v>
      </c>
      <c r="B299" s="26" t="s">
        <v>90</v>
      </c>
      <c r="C299" s="32">
        <v>20060368076280</v>
      </c>
      <c r="D299" s="26" t="s">
        <v>489</v>
      </c>
      <c r="E299" s="28">
        <v>7.0517717576541088</v>
      </c>
      <c r="F299" s="9"/>
      <c r="G299" s="14" t="str">
        <f t="shared" si="13"/>
        <v>O</v>
      </c>
      <c r="H299" s="15"/>
      <c r="L299" s="35"/>
    </row>
    <row r="300" spans="1:12" x14ac:dyDescent="0.3">
      <c r="A300" s="31">
        <f>COUNTIFS($B$2:B300,B300)</f>
        <v>6</v>
      </c>
      <c r="B300" s="26" t="s">
        <v>90</v>
      </c>
      <c r="C300" s="32">
        <v>20060368076280</v>
      </c>
      <c r="D300" s="26" t="s">
        <v>292</v>
      </c>
      <c r="E300" s="28">
        <v>8.1095375213022258</v>
      </c>
      <c r="F300" s="9"/>
      <c r="G300" s="14" t="str">
        <f t="shared" si="13"/>
        <v>O</v>
      </c>
      <c r="H300" s="15"/>
      <c r="L300" s="35"/>
    </row>
    <row r="301" spans="1:12" x14ac:dyDescent="0.3">
      <c r="A301" s="31">
        <f>COUNTIFS($B$2:B301,B301)</f>
        <v>7</v>
      </c>
      <c r="B301" s="26" t="s">
        <v>90</v>
      </c>
      <c r="C301" s="32">
        <v>20060368076280</v>
      </c>
      <c r="D301" s="26" t="s">
        <v>421</v>
      </c>
      <c r="E301" s="28">
        <v>21.15531527296233</v>
      </c>
      <c r="F301" s="9"/>
      <c r="G301" s="14" t="str">
        <f t="shared" si="13"/>
        <v>O</v>
      </c>
      <c r="H301" s="15"/>
      <c r="L301" s="35"/>
    </row>
    <row r="302" spans="1:12" x14ac:dyDescent="0.3">
      <c r="A302" s="31">
        <f>COUNTIFS($B$2:B302,B302)</f>
        <v>8</v>
      </c>
      <c r="B302" s="26" t="s">
        <v>90</v>
      </c>
      <c r="C302" s="32">
        <v>20060368076280</v>
      </c>
      <c r="D302" s="26" t="s">
        <v>284</v>
      </c>
      <c r="E302" s="30">
        <v>10.6</v>
      </c>
      <c r="F302" s="9" t="s">
        <v>459</v>
      </c>
      <c r="G302" s="14"/>
      <c r="H302" s="15"/>
      <c r="L302" s="35"/>
    </row>
    <row r="303" spans="1:12" x14ac:dyDescent="0.3">
      <c r="A303" s="31">
        <f>COUNTIFS($B$2:B303,B303)</f>
        <v>9</v>
      </c>
      <c r="B303" s="26" t="s">
        <v>90</v>
      </c>
      <c r="C303" s="32">
        <v>20060368076280</v>
      </c>
      <c r="D303" s="26" t="s">
        <v>488</v>
      </c>
      <c r="E303" s="28">
        <v>8.814714697067636</v>
      </c>
      <c r="F303" s="9"/>
      <c r="G303" s="14" t="str">
        <f t="shared" ref="G303:G348" si="14">IF(D303="","",IF(COUNTIF(I:I,D303)&gt;0,"O","X"))</f>
        <v>O</v>
      </c>
      <c r="H303" s="15"/>
      <c r="L303" s="35"/>
    </row>
    <row r="304" spans="1:12" x14ac:dyDescent="0.3">
      <c r="A304" s="31">
        <f>COUNTIFS($B$2:B304,B304)</f>
        <v>10</v>
      </c>
      <c r="B304" s="26" t="s">
        <v>90</v>
      </c>
      <c r="C304" s="32">
        <v>20060368076280</v>
      </c>
      <c r="D304" s="26" t="s">
        <v>295</v>
      </c>
      <c r="E304" s="28">
        <v>0.70517717576541095</v>
      </c>
      <c r="F304" s="9"/>
      <c r="G304" s="14" t="str">
        <f t="shared" si="14"/>
        <v>O</v>
      </c>
      <c r="H304" s="15"/>
      <c r="L304" s="35"/>
    </row>
    <row r="305" spans="1:12" x14ac:dyDescent="0.3">
      <c r="A305" s="19">
        <f>COUNTIFS($B$2:B305,B305)</f>
        <v>1</v>
      </c>
      <c r="B305" s="20" t="s">
        <v>493</v>
      </c>
      <c r="C305" s="21">
        <v>20060368076307</v>
      </c>
      <c r="D305" s="20" t="s">
        <v>488</v>
      </c>
      <c r="E305" s="22">
        <v>115.42934549178975</v>
      </c>
      <c r="F305" s="9"/>
      <c r="G305" s="14" t="str">
        <f t="shared" si="14"/>
        <v>O</v>
      </c>
      <c r="H305" s="15"/>
      <c r="L305" s="35"/>
    </row>
    <row r="306" spans="1:12" x14ac:dyDescent="0.3">
      <c r="A306" s="19">
        <f>COUNTIFS($B$2:B306,B306)</f>
        <v>2</v>
      </c>
      <c r="B306" s="20" t="s">
        <v>493</v>
      </c>
      <c r="C306" s="21">
        <v>20060368076307</v>
      </c>
      <c r="D306" s="20" t="s">
        <v>487</v>
      </c>
      <c r="E306" s="22">
        <v>94.43188951663528</v>
      </c>
      <c r="F306" s="9"/>
      <c r="G306" s="14" t="str">
        <f t="shared" si="14"/>
        <v>O</v>
      </c>
      <c r="H306" s="15"/>
      <c r="L306" s="35"/>
    </row>
    <row r="307" spans="1:12" x14ac:dyDescent="0.3">
      <c r="A307" s="19">
        <f>COUNTIFS($B$2:B307,B307)</f>
        <v>3</v>
      </c>
      <c r="B307" s="20" t="s">
        <v>493</v>
      </c>
      <c r="C307" s="21">
        <v>20060368076307</v>
      </c>
      <c r="D307" s="20" t="s">
        <v>494</v>
      </c>
      <c r="E307" s="22">
        <v>10.490633363068689</v>
      </c>
      <c r="F307" s="9"/>
      <c r="G307" s="14" t="str">
        <f t="shared" si="14"/>
        <v>O</v>
      </c>
      <c r="H307" s="15"/>
      <c r="L307" s="35"/>
    </row>
    <row r="308" spans="1:12" x14ac:dyDescent="0.3">
      <c r="A308" s="19">
        <f>COUNTIFS($B$2:B308,B308)</f>
        <v>4</v>
      </c>
      <c r="B308" s="20" t="s">
        <v>493</v>
      </c>
      <c r="C308" s="21">
        <v>20060368076307</v>
      </c>
      <c r="D308" s="20" t="s">
        <v>495</v>
      </c>
      <c r="E308" s="22">
        <v>20.981266726137378</v>
      </c>
      <c r="F308" s="9"/>
      <c r="G308" s="14" t="str">
        <f t="shared" si="14"/>
        <v>O</v>
      </c>
      <c r="H308" s="15"/>
      <c r="L308" s="35"/>
    </row>
    <row r="309" spans="1:12" x14ac:dyDescent="0.3">
      <c r="A309" s="19">
        <f>COUNTIFS($B$2:B309,B309)</f>
        <v>5</v>
      </c>
      <c r="B309" s="20" t="s">
        <v>493</v>
      </c>
      <c r="C309" s="21">
        <v>20060368076307</v>
      </c>
      <c r="D309" s="20" t="s">
        <v>496</v>
      </c>
      <c r="E309" s="22">
        <v>1.0361119370932039</v>
      </c>
      <c r="F309" s="9"/>
      <c r="G309" s="14" t="str">
        <f t="shared" si="14"/>
        <v>O</v>
      </c>
      <c r="H309" s="15"/>
      <c r="L309" s="35"/>
    </row>
    <row r="310" spans="1:12" x14ac:dyDescent="0.3">
      <c r="A310" s="19">
        <f>COUNTIFS($B$2:B310,B310)</f>
        <v>6</v>
      </c>
      <c r="B310" s="20" t="s">
        <v>493</v>
      </c>
      <c r="C310" s="21">
        <v>20060368076307</v>
      </c>
      <c r="D310" s="20" t="s">
        <v>490</v>
      </c>
      <c r="E310" s="22">
        <v>94.43188951663528</v>
      </c>
      <c r="F310" s="9"/>
      <c r="G310" s="14" t="str">
        <f t="shared" si="14"/>
        <v>O</v>
      </c>
      <c r="H310" s="15"/>
      <c r="L310" s="35"/>
    </row>
    <row r="311" spans="1:12" x14ac:dyDescent="0.3">
      <c r="A311" s="19">
        <f>COUNTIFS($B$2:B311,B311)</f>
        <v>7</v>
      </c>
      <c r="B311" s="20" t="s">
        <v>493</v>
      </c>
      <c r="C311" s="21">
        <v>20060368076307</v>
      </c>
      <c r="D311" s="20" t="s">
        <v>497</v>
      </c>
      <c r="E311" s="22">
        <v>20.981266726137378</v>
      </c>
      <c r="F311" s="9"/>
      <c r="G311" s="14" t="str">
        <f t="shared" si="14"/>
        <v>O</v>
      </c>
      <c r="H311" s="15"/>
      <c r="L311" s="35"/>
    </row>
    <row r="312" spans="1:12" x14ac:dyDescent="0.3">
      <c r="A312" s="19">
        <f>COUNTIFS($B$2:B312,B312)</f>
        <v>8</v>
      </c>
      <c r="B312" s="20" t="s">
        <v>493</v>
      </c>
      <c r="C312" s="21">
        <v>20060368076307</v>
      </c>
      <c r="D312" s="20" t="s">
        <v>206</v>
      </c>
      <c r="E312" s="22">
        <v>125.91997885485844</v>
      </c>
      <c r="F312" s="9"/>
      <c r="G312" s="14" t="str">
        <f t="shared" si="14"/>
        <v>O</v>
      </c>
      <c r="H312" s="15"/>
      <c r="L312" s="35"/>
    </row>
    <row r="313" spans="1:12" x14ac:dyDescent="0.3">
      <c r="A313" s="19">
        <f>COUNTIFS($B$2:B313,B313)</f>
        <v>9</v>
      </c>
      <c r="B313" s="20" t="s">
        <v>493</v>
      </c>
      <c r="C313" s="21">
        <v>20060368076307</v>
      </c>
      <c r="D313" s="20" t="s">
        <v>498</v>
      </c>
      <c r="E313" s="22">
        <v>2.1046023722205702</v>
      </c>
      <c r="F313" s="9"/>
      <c r="G313" s="14" t="str">
        <f t="shared" si="14"/>
        <v>O</v>
      </c>
      <c r="H313" s="15"/>
      <c r="L313" s="35"/>
    </row>
    <row r="314" spans="1:12" x14ac:dyDescent="0.3">
      <c r="A314" s="19">
        <f>COUNTIFS($B$2:B314,B314)</f>
        <v>10</v>
      </c>
      <c r="B314" s="20" t="s">
        <v>493</v>
      </c>
      <c r="C314" s="21">
        <v>20060368076307</v>
      </c>
      <c r="D314" s="20" t="s">
        <v>499</v>
      </c>
      <c r="E314" s="22">
        <v>4.193015495424059</v>
      </c>
      <c r="F314" s="9"/>
      <c r="G314" s="14" t="str">
        <f t="shared" si="14"/>
        <v>O</v>
      </c>
      <c r="H314" s="15"/>
      <c r="L314" s="35"/>
    </row>
    <row r="315" spans="1:12" x14ac:dyDescent="0.3">
      <c r="A315" s="19">
        <f>COUNTIFS($B$2:B315,B315)</f>
        <v>11</v>
      </c>
      <c r="B315" s="20" t="s">
        <v>493</v>
      </c>
      <c r="C315" s="21">
        <v>20060368076307</v>
      </c>
      <c r="D315" s="20" t="s">
        <v>500</v>
      </c>
      <c r="E315" s="22">
        <v>9.5294117647058822</v>
      </c>
      <c r="F315" s="9"/>
      <c r="G315" s="14" t="str">
        <f t="shared" si="14"/>
        <v>O</v>
      </c>
      <c r="H315" s="15"/>
      <c r="L315" s="35"/>
    </row>
    <row r="316" spans="1:12" x14ac:dyDescent="0.3">
      <c r="A316" s="19">
        <f>COUNTIFS($B$2:B316,B316)</f>
        <v>12</v>
      </c>
      <c r="B316" s="20" t="s">
        <v>493</v>
      </c>
      <c r="C316" s="21">
        <v>20060368076307</v>
      </c>
      <c r="D316" s="20" t="s">
        <v>501</v>
      </c>
      <c r="E316" s="22">
        <v>10.588235294117647</v>
      </c>
      <c r="F316" s="9"/>
      <c r="G316" s="14" t="str">
        <f t="shared" si="14"/>
        <v>O</v>
      </c>
      <c r="H316" s="15"/>
      <c r="L316" s="35"/>
    </row>
    <row r="317" spans="1:12" x14ac:dyDescent="0.3">
      <c r="A317" s="19">
        <f>COUNTIFS($B$2:B317,B317)</f>
        <v>13</v>
      </c>
      <c r="B317" s="20" t="s">
        <v>493</v>
      </c>
      <c r="C317" s="21">
        <v>20060368076307</v>
      </c>
      <c r="D317" s="20" t="s">
        <v>114</v>
      </c>
      <c r="E317" s="22">
        <v>35.294117647058826</v>
      </c>
      <c r="F317" s="9"/>
      <c r="G317" s="14" t="str">
        <f t="shared" si="14"/>
        <v>O</v>
      </c>
      <c r="H317" s="15"/>
      <c r="L317" s="35"/>
    </row>
    <row r="318" spans="1:12" x14ac:dyDescent="0.3">
      <c r="A318" s="19">
        <f>COUNTIFS($B$2:B318,B318)</f>
        <v>14</v>
      </c>
      <c r="B318" s="20" t="s">
        <v>493</v>
      </c>
      <c r="C318" s="21">
        <v>20060368076307</v>
      </c>
      <c r="D318" s="20" t="s">
        <v>499</v>
      </c>
      <c r="E318" s="22">
        <v>3.5294117647058827</v>
      </c>
      <c r="F318" s="9"/>
      <c r="G318" s="14" t="str">
        <f t="shared" si="14"/>
        <v>O</v>
      </c>
      <c r="H318" s="15"/>
      <c r="L318" s="35"/>
    </row>
    <row r="319" spans="1:12" x14ac:dyDescent="0.3">
      <c r="A319" s="19">
        <f>COUNTIFS($B$2:B319,B319)</f>
        <v>15</v>
      </c>
      <c r="B319" s="20" t="s">
        <v>493</v>
      </c>
      <c r="C319" s="21">
        <v>20060368076307</v>
      </c>
      <c r="D319" s="20" t="s">
        <v>502</v>
      </c>
      <c r="E319" s="22">
        <v>1.0588235294117647</v>
      </c>
      <c r="F319" s="9"/>
      <c r="G319" s="14" t="str">
        <f t="shared" si="14"/>
        <v>O</v>
      </c>
      <c r="H319" s="15"/>
      <c r="L319" s="35"/>
    </row>
    <row r="320" spans="1:12" x14ac:dyDescent="0.3">
      <c r="A320" s="19">
        <f>COUNTIFS($B$2:B320,B320)</f>
        <v>1</v>
      </c>
      <c r="B320" s="20" t="s">
        <v>503</v>
      </c>
      <c r="C320" s="21">
        <v>20060368076308</v>
      </c>
      <c r="D320" s="20" t="s">
        <v>488</v>
      </c>
      <c r="E320" s="22">
        <v>91.387259010896898</v>
      </c>
      <c r="F320" s="9"/>
      <c r="G320" s="14" t="str">
        <f t="shared" si="14"/>
        <v>O</v>
      </c>
      <c r="H320" s="15"/>
      <c r="L320" s="35"/>
    </row>
    <row r="321" spans="1:12" x14ac:dyDescent="0.3">
      <c r="A321" s="19">
        <f>COUNTIFS($B$2:B321,B321)</f>
        <v>2</v>
      </c>
      <c r="B321" s="20" t="s">
        <v>503</v>
      </c>
      <c r="C321" s="21">
        <v>20060368076308</v>
      </c>
      <c r="D321" s="20" t="s">
        <v>490</v>
      </c>
      <c r="E321" s="22">
        <v>136.77284157585916</v>
      </c>
      <c r="F321" s="9"/>
      <c r="G321" s="14" t="str">
        <f t="shared" si="14"/>
        <v>O</v>
      </c>
      <c r="H321" s="15"/>
      <c r="L321" s="35"/>
    </row>
    <row r="322" spans="1:12" x14ac:dyDescent="0.3">
      <c r="A322" s="19">
        <f>COUNTIFS($B$2:B322,B322)</f>
        <v>3</v>
      </c>
      <c r="B322" s="20" t="s">
        <v>503</v>
      </c>
      <c r="C322" s="21">
        <v>20060368076308</v>
      </c>
      <c r="D322" s="20" t="s">
        <v>159</v>
      </c>
      <c r="E322" s="22">
        <v>91.387259010896898</v>
      </c>
      <c r="F322" s="9"/>
      <c r="G322" s="14" t="str">
        <f t="shared" si="14"/>
        <v>O</v>
      </c>
      <c r="H322" s="15"/>
      <c r="L322" s="35"/>
    </row>
    <row r="323" spans="1:12" x14ac:dyDescent="0.3">
      <c r="A323" s="19">
        <f>COUNTIFS($B$2:B323,B323)</f>
        <v>4</v>
      </c>
      <c r="B323" s="20" t="s">
        <v>503</v>
      </c>
      <c r="C323" s="21">
        <v>20060368076308</v>
      </c>
      <c r="D323" s="20" t="s">
        <v>206</v>
      </c>
      <c r="E323" s="22">
        <v>114.18273260687343</v>
      </c>
      <c r="F323" s="9"/>
      <c r="G323" s="14" t="str">
        <f t="shared" si="14"/>
        <v>O</v>
      </c>
      <c r="H323" s="15"/>
      <c r="L323" s="35"/>
    </row>
    <row r="324" spans="1:12" x14ac:dyDescent="0.3">
      <c r="A324" s="19">
        <f>COUNTIFS($B$2:B324,B324)</f>
        <v>5</v>
      </c>
      <c r="B324" s="20" t="s">
        <v>503</v>
      </c>
      <c r="C324" s="21">
        <v>20060368076308</v>
      </c>
      <c r="D324" s="20" t="s">
        <v>498</v>
      </c>
      <c r="E324" s="22">
        <v>2.8751047778709133</v>
      </c>
      <c r="F324" s="9"/>
      <c r="G324" s="14" t="str">
        <f t="shared" si="14"/>
        <v>O</v>
      </c>
      <c r="H324" s="15"/>
      <c r="L324" s="35"/>
    </row>
    <row r="325" spans="1:12" x14ac:dyDescent="0.3">
      <c r="A325" s="19">
        <f>COUNTIFS($B$2:B325,B325)</f>
        <v>6</v>
      </c>
      <c r="B325" s="20" t="s">
        <v>503</v>
      </c>
      <c r="C325" s="21">
        <v>20060368076308</v>
      </c>
      <c r="D325" s="20" t="s">
        <v>272</v>
      </c>
      <c r="E325" s="22">
        <v>13.690975132718638</v>
      </c>
      <c r="F325" s="9"/>
      <c r="G325" s="14" t="str">
        <f t="shared" si="14"/>
        <v>O</v>
      </c>
      <c r="H325" s="15"/>
      <c r="L325" s="35"/>
    </row>
    <row r="326" spans="1:12" x14ac:dyDescent="0.3">
      <c r="A326" s="19">
        <f>COUNTIFS($B$2:B326,B326)</f>
        <v>7</v>
      </c>
      <c r="B326" s="20" t="s">
        <v>503</v>
      </c>
      <c r="C326" s="21">
        <v>20060368076308</v>
      </c>
      <c r="D326" s="20" t="s">
        <v>504</v>
      </c>
      <c r="E326" s="22">
        <v>13.690975132718638</v>
      </c>
      <c r="F326" s="9"/>
      <c r="G326" s="14" t="str">
        <f t="shared" si="14"/>
        <v>O</v>
      </c>
      <c r="H326" s="15"/>
      <c r="L326" s="35"/>
    </row>
    <row r="327" spans="1:12" x14ac:dyDescent="0.3">
      <c r="A327" s="19">
        <f>COUNTIFS($B$2:B327,B327)</f>
        <v>8</v>
      </c>
      <c r="B327" s="20" t="s">
        <v>503</v>
      </c>
      <c r="C327" s="21">
        <v>20060368076308</v>
      </c>
      <c r="D327" s="20" t="s">
        <v>505</v>
      </c>
      <c r="E327" s="22">
        <v>12.321877619446772</v>
      </c>
      <c r="F327" s="9"/>
      <c r="G327" s="14" t="str">
        <f t="shared" si="14"/>
        <v>O</v>
      </c>
      <c r="H327" s="15"/>
      <c r="L327" s="35"/>
    </row>
    <row r="328" spans="1:12" x14ac:dyDescent="0.3">
      <c r="A328" s="19">
        <f>COUNTIFS($B$2:B328,B328)</f>
        <v>9</v>
      </c>
      <c r="B328" s="20" t="s">
        <v>503</v>
      </c>
      <c r="C328" s="21">
        <v>20060368076308</v>
      </c>
      <c r="D328" s="20" t="s">
        <v>500</v>
      </c>
      <c r="E328" s="22">
        <f>13.6909751327186/2</f>
        <v>6.8454875663593002</v>
      </c>
      <c r="F328" s="9"/>
      <c r="G328" s="14" t="str">
        <f t="shared" si="14"/>
        <v>O</v>
      </c>
      <c r="H328" s="15"/>
      <c r="L328" s="35"/>
    </row>
    <row r="329" spans="1:12" x14ac:dyDescent="0.3">
      <c r="A329" s="19">
        <f>COUNTIFS($B$2:B329,B329)</f>
        <v>10</v>
      </c>
      <c r="B329" s="20" t="s">
        <v>503</v>
      </c>
      <c r="C329" s="21">
        <v>20060368076308</v>
      </c>
      <c r="D329" s="20" t="s">
        <v>506</v>
      </c>
      <c r="E329" s="22">
        <f>13.6909751327186/2</f>
        <v>6.8454875663593002</v>
      </c>
      <c r="F329" s="9"/>
      <c r="G329" s="14" t="str">
        <f t="shared" si="14"/>
        <v>O</v>
      </c>
      <c r="H329" s="15"/>
      <c r="L329" s="35"/>
    </row>
    <row r="330" spans="1:12" x14ac:dyDescent="0.3">
      <c r="A330" s="19">
        <f>COUNTIFS($B$2:B330,B330)</f>
        <v>11</v>
      </c>
      <c r="B330" s="20" t="s">
        <v>503</v>
      </c>
      <c r="C330" s="21">
        <v>20060368076308</v>
      </c>
      <c r="D330" s="20" t="s">
        <v>507</v>
      </c>
      <c r="E330" s="22">
        <v>0.86666666666666681</v>
      </c>
      <c r="F330" s="9"/>
      <c r="G330" s="14" t="str">
        <f t="shared" si="14"/>
        <v>O</v>
      </c>
      <c r="H330" s="15"/>
      <c r="L330" s="35"/>
    </row>
    <row r="331" spans="1:12" x14ac:dyDescent="0.3">
      <c r="A331" s="19">
        <f>COUNTIFS($B$2:B331,B331)</f>
        <v>12</v>
      </c>
      <c r="B331" s="20" t="s">
        <v>503</v>
      </c>
      <c r="C331" s="21">
        <v>20060368076308</v>
      </c>
      <c r="D331" s="20" t="s">
        <v>508</v>
      </c>
      <c r="E331" s="22">
        <v>0.6333333333333333</v>
      </c>
      <c r="F331" s="9"/>
      <c r="G331" s="14" t="str">
        <f t="shared" si="14"/>
        <v>O</v>
      </c>
      <c r="H331" s="15"/>
      <c r="L331" s="35"/>
    </row>
    <row r="332" spans="1:12" x14ac:dyDescent="0.3">
      <c r="A332" s="19">
        <f>COUNTIFS($B$2:B332,B332)</f>
        <v>13</v>
      </c>
      <c r="B332" s="20" t="s">
        <v>503</v>
      </c>
      <c r="C332" s="21">
        <v>20060368076308</v>
      </c>
      <c r="D332" s="20" t="s">
        <v>509</v>
      </c>
      <c r="E332" s="22">
        <v>1.0434782608695652</v>
      </c>
      <c r="F332" s="9"/>
      <c r="G332" s="14" t="str">
        <f t="shared" si="14"/>
        <v>O</v>
      </c>
      <c r="H332" s="15"/>
      <c r="L332" s="35"/>
    </row>
    <row r="333" spans="1:12" x14ac:dyDescent="0.3">
      <c r="A333" s="19">
        <f>COUNTIFS($B$2:B333,B333)</f>
        <v>14</v>
      </c>
      <c r="B333" s="20" t="s">
        <v>503</v>
      </c>
      <c r="C333" s="21">
        <v>20060368076308</v>
      </c>
      <c r="D333" s="20" t="s">
        <v>510</v>
      </c>
      <c r="E333" s="22">
        <v>1.9565217391304348</v>
      </c>
      <c r="F333" s="9"/>
      <c r="G333" s="14" t="str">
        <f t="shared" si="14"/>
        <v>O</v>
      </c>
      <c r="H333" s="15"/>
      <c r="L333" s="35"/>
    </row>
    <row r="334" spans="1:12" x14ac:dyDescent="0.3">
      <c r="A334" s="19">
        <f>COUNTIFS($B$2:B334,B334)</f>
        <v>15</v>
      </c>
      <c r="B334" s="20" t="s">
        <v>503</v>
      </c>
      <c r="C334" s="21">
        <v>20060368076308</v>
      </c>
      <c r="D334" s="20" t="s">
        <v>501</v>
      </c>
      <c r="E334" s="22">
        <v>102.7972027972028</v>
      </c>
      <c r="F334" s="9"/>
      <c r="G334" s="14" t="str">
        <f t="shared" si="14"/>
        <v>O</v>
      </c>
      <c r="H334" s="15"/>
      <c r="L334" s="35"/>
    </row>
    <row r="335" spans="1:12" x14ac:dyDescent="0.3">
      <c r="A335" s="19">
        <f>COUNTIFS($B$2:B335,B335)</f>
        <v>16</v>
      </c>
      <c r="B335" s="20" t="s">
        <v>503</v>
      </c>
      <c r="C335" s="21">
        <v>20060368076308</v>
      </c>
      <c r="D335" s="20" t="s">
        <v>114</v>
      </c>
      <c r="E335" s="22">
        <v>342.65734265734267</v>
      </c>
      <c r="F335" s="9"/>
      <c r="G335" s="14" t="str">
        <f t="shared" si="14"/>
        <v>O</v>
      </c>
      <c r="H335" s="15"/>
      <c r="L335" s="35"/>
    </row>
    <row r="336" spans="1:12" x14ac:dyDescent="0.3">
      <c r="A336" s="19">
        <f>COUNTIFS($B$2:B336,B336)</f>
        <v>17</v>
      </c>
      <c r="B336" s="20" t="s">
        <v>503</v>
      </c>
      <c r="C336" s="21">
        <v>20060368076308</v>
      </c>
      <c r="D336" s="20" t="s">
        <v>499</v>
      </c>
      <c r="E336" s="22">
        <v>34.265734265734267</v>
      </c>
      <c r="F336" s="9"/>
      <c r="G336" s="14" t="str">
        <f t="shared" si="14"/>
        <v>O</v>
      </c>
      <c r="H336" s="15"/>
      <c r="L336" s="35"/>
    </row>
    <row r="337" spans="1:12" x14ac:dyDescent="0.3">
      <c r="A337" s="19">
        <f>COUNTIFS($B$2:B337,B337)</f>
        <v>18</v>
      </c>
      <c r="B337" s="20" t="s">
        <v>503</v>
      </c>
      <c r="C337" s="21">
        <v>20060368076308</v>
      </c>
      <c r="D337" s="20" t="s">
        <v>502</v>
      </c>
      <c r="E337" s="22">
        <v>10.27972027972028</v>
      </c>
      <c r="F337" s="9"/>
      <c r="G337" s="14" t="str">
        <f t="shared" si="14"/>
        <v>O</v>
      </c>
      <c r="H337" s="15"/>
      <c r="L337" s="35"/>
    </row>
    <row r="338" spans="1:12" x14ac:dyDescent="0.3">
      <c r="A338" s="31">
        <f>COUNTIFS($B$2:B338,B338)</f>
        <v>1</v>
      </c>
      <c r="B338" s="26" t="s">
        <v>100</v>
      </c>
      <c r="C338" s="32">
        <v>20060368076327</v>
      </c>
      <c r="D338" s="26" t="s">
        <v>284</v>
      </c>
      <c r="E338" s="28">
        <v>160.97436334213441</v>
      </c>
      <c r="F338" s="9"/>
      <c r="G338" s="14" t="str">
        <f t="shared" si="14"/>
        <v>O</v>
      </c>
      <c r="H338" s="15"/>
      <c r="L338" s="35"/>
    </row>
    <row r="339" spans="1:12" x14ac:dyDescent="0.3">
      <c r="A339" s="31">
        <f>COUNTIFS($B$2:B339,B339)</f>
        <v>2</v>
      </c>
      <c r="B339" s="26" t="s">
        <v>100</v>
      </c>
      <c r="C339" s="32">
        <v>20060368076327</v>
      </c>
      <c r="D339" s="26" t="s">
        <v>206</v>
      </c>
      <c r="E339" s="28">
        <v>36.794140192487866</v>
      </c>
      <c r="F339" s="9"/>
      <c r="G339" s="14" t="str">
        <f t="shared" si="14"/>
        <v>O</v>
      </c>
      <c r="H339" s="15"/>
      <c r="L339" s="35"/>
    </row>
    <row r="340" spans="1:12" x14ac:dyDescent="0.3">
      <c r="A340" s="31">
        <f>COUNTIFS($B$2:B340,B340)</f>
        <v>3</v>
      </c>
      <c r="B340" s="26" t="s">
        <v>100</v>
      </c>
      <c r="C340" s="32">
        <v>20060368076327</v>
      </c>
      <c r="D340" s="26" t="s">
        <v>157</v>
      </c>
      <c r="E340" s="28">
        <v>22.996337620304917</v>
      </c>
      <c r="F340" s="9"/>
      <c r="G340" s="14" t="str">
        <f t="shared" si="14"/>
        <v>O</v>
      </c>
      <c r="H340" s="15"/>
      <c r="L340" s="35"/>
    </row>
    <row r="341" spans="1:12" x14ac:dyDescent="0.3">
      <c r="A341" s="31">
        <f>COUNTIFS($B$2:B341,B341)</f>
        <v>4</v>
      </c>
      <c r="B341" s="26" t="s">
        <v>100</v>
      </c>
      <c r="C341" s="32">
        <v>20060368076327</v>
      </c>
      <c r="D341" s="26" t="s">
        <v>418</v>
      </c>
      <c r="E341" s="28">
        <v>3.7254066944893962</v>
      </c>
      <c r="F341" s="9"/>
      <c r="G341" s="14" t="str">
        <f t="shared" si="14"/>
        <v>O</v>
      </c>
      <c r="H341" s="15"/>
      <c r="L341" s="35"/>
    </row>
    <row r="342" spans="1:12" x14ac:dyDescent="0.3">
      <c r="A342" s="31">
        <f>COUNTIFS($B$2:B342,B342)</f>
        <v>5</v>
      </c>
      <c r="B342" s="26" t="s">
        <v>100</v>
      </c>
      <c r="C342" s="32">
        <v>20060368076327</v>
      </c>
      <c r="D342" s="26" t="s">
        <v>511</v>
      </c>
      <c r="E342" s="28">
        <v>97.044544757686751</v>
      </c>
      <c r="F342" s="9"/>
      <c r="G342" s="14" t="str">
        <f t="shared" si="14"/>
        <v>O</v>
      </c>
      <c r="H342" s="15"/>
      <c r="L342" s="35"/>
    </row>
    <row r="343" spans="1:12" x14ac:dyDescent="0.3">
      <c r="A343" s="31">
        <f>COUNTIFS($B$2:B343,B343)</f>
        <v>6</v>
      </c>
      <c r="B343" s="26" t="s">
        <v>100</v>
      </c>
      <c r="C343" s="32">
        <v>20060368076327</v>
      </c>
      <c r="D343" s="26" t="s">
        <v>512</v>
      </c>
      <c r="E343" s="28">
        <v>22.996337620304917</v>
      </c>
      <c r="F343" s="9"/>
      <c r="G343" s="14" t="str">
        <f t="shared" si="14"/>
        <v>O</v>
      </c>
      <c r="H343" s="15"/>
      <c r="L343" s="35"/>
    </row>
    <row r="344" spans="1:12" x14ac:dyDescent="0.3">
      <c r="A344" s="31">
        <f>COUNTIFS($B$2:B344,B344)</f>
        <v>7</v>
      </c>
      <c r="B344" s="26" t="s">
        <v>100</v>
      </c>
      <c r="C344" s="32">
        <v>20060368076327</v>
      </c>
      <c r="D344" s="26" t="s">
        <v>164</v>
      </c>
      <c r="E344" s="28">
        <v>8.0494506430457395</v>
      </c>
      <c r="F344" s="9"/>
      <c r="G344" s="14" t="str">
        <f t="shared" si="14"/>
        <v>O</v>
      </c>
      <c r="H344" s="15"/>
      <c r="L344" s="35"/>
    </row>
    <row r="345" spans="1:12" x14ac:dyDescent="0.3">
      <c r="A345" s="31">
        <f>COUNTIFS($B$2:B345,B345)</f>
        <v>8</v>
      </c>
      <c r="B345" s="26" t="s">
        <v>100</v>
      </c>
      <c r="C345" s="32">
        <v>20060368076327</v>
      </c>
      <c r="D345" s="26" t="s">
        <v>111</v>
      </c>
      <c r="E345" s="28">
        <v>48.292309002640323</v>
      </c>
      <c r="F345" s="9"/>
      <c r="G345" s="14" t="str">
        <f t="shared" si="14"/>
        <v>O</v>
      </c>
      <c r="H345" s="15"/>
      <c r="L345" s="35"/>
    </row>
    <row r="346" spans="1:12" x14ac:dyDescent="0.3">
      <c r="A346" s="31">
        <f>COUNTIFS($B$2:B346,B346)</f>
        <v>9</v>
      </c>
      <c r="B346" s="26" t="s">
        <v>100</v>
      </c>
      <c r="C346" s="32">
        <v>20060368076327</v>
      </c>
      <c r="D346" s="26" t="s">
        <v>114</v>
      </c>
      <c r="E346" s="28">
        <v>66.68937909888426</v>
      </c>
      <c r="F346" s="9"/>
      <c r="G346" s="14" t="str">
        <f t="shared" si="14"/>
        <v>O</v>
      </c>
      <c r="H346" s="15"/>
      <c r="L346" s="35"/>
    </row>
    <row r="347" spans="1:12" x14ac:dyDescent="0.3">
      <c r="A347" s="31">
        <f>COUNTIFS($B$2:B347,B347)</f>
        <v>10</v>
      </c>
      <c r="B347" s="26" t="s">
        <v>100</v>
      </c>
      <c r="C347" s="32">
        <v>20060368076327</v>
      </c>
      <c r="D347" s="26" t="s">
        <v>218</v>
      </c>
      <c r="E347" s="28">
        <v>1.1498168810152458</v>
      </c>
      <c r="F347" s="9"/>
      <c r="G347" s="14" t="str">
        <f t="shared" si="14"/>
        <v>O</v>
      </c>
      <c r="H347" s="15"/>
      <c r="L347" s="35"/>
    </row>
    <row r="348" spans="1:12" x14ac:dyDescent="0.3">
      <c r="A348" s="31">
        <f>COUNTIFS($B$2:B348,B348)</f>
        <v>11</v>
      </c>
      <c r="B348" s="26" t="s">
        <v>100</v>
      </c>
      <c r="C348" s="32">
        <v>20060368076327</v>
      </c>
      <c r="D348" s="26" t="s">
        <v>421</v>
      </c>
      <c r="E348" s="28">
        <v>45.992675240609834</v>
      </c>
      <c r="F348" s="9"/>
      <c r="G348" s="14" t="str">
        <f t="shared" si="14"/>
        <v>O</v>
      </c>
      <c r="H348" s="15"/>
      <c r="L348" s="35"/>
    </row>
    <row r="349" spans="1:12" x14ac:dyDescent="0.3">
      <c r="A349" s="31">
        <f>COUNTIFS($B$2:B349,B349)</f>
        <v>12</v>
      </c>
      <c r="B349" s="26" t="s">
        <v>100</v>
      </c>
      <c r="C349" s="32">
        <v>20060368076327</v>
      </c>
      <c r="D349" s="26" t="s">
        <v>284</v>
      </c>
      <c r="E349" s="30">
        <v>23</v>
      </c>
      <c r="F349" s="9" t="s">
        <v>459</v>
      </c>
      <c r="G349" s="14"/>
      <c r="H349" s="15"/>
      <c r="L349" s="35"/>
    </row>
    <row r="350" spans="1:12" x14ac:dyDescent="0.3">
      <c r="A350" s="31">
        <f>COUNTIFS($B$2:B350,B350)</f>
        <v>13</v>
      </c>
      <c r="B350" s="26" t="s">
        <v>100</v>
      </c>
      <c r="C350" s="32">
        <v>20060368076327</v>
      </c>
      <c r="D350" s="26" t="s">
        <v>488</v>
      </c>
      <c r="E350" s="28">
        <v>27.595605144365898</v>
      </c>
      <c r="F350" s="9"/>
      <c r="G350" s="14" t="str">
        <f t="shared" ref="G350:G375" si="15">IF(D350="","",IF(COUNTIF(I:I,D350)&gt;0,"O","X"))</f>
        <v>O</v>
      </c>
      <c r="H350" s="15"/>
      <c r="L350" s="35"/>
    </row>
    <row r="351" spans="1:12" x14ac:dyDescent="0.3">
      <c r="A351" s="23">
        <f>COUNTIFS($B$2:B351,B351)</f>
        <v>1</v>
      </c>
      <c r="B351" s="20" t="s">
        <v>513</v>
      </c>
      <c r="C351" s="21">
        <v>20060368076353</v>
      </c>
      <c r="D351" s="20" t="s">
        <v>210</v>
      </c>
      <c r="E351" s="22">
        <v>41.76</v>
      </c>
      <c r="F351" s="9"/>
      <c r="G351" s="14" t="str">
        <f t="shared" si="15"/>
        <v>O</v>
      </c>
      <c r="H351" s="15"/>
      <c r="L351" s="35"/>
    </row>
    <row r="352" spans="1:12" x14ac:dyDescent="0.3">
      <c r="A352" s="19">
        <f>COUNTIFS($B$2:B352,B352)</f>
        <v>2</v>
      </c>
      <c r="B352" s="20" t="s">
        <v>513</v>
      </c>
      <c r="C352" s="21">
        <v>20060368076353</v>
      </c>
      <c r="D352" s="20" t="s">
        <v>157</v>
      </c>
      <c r="E352" s="22">
        <v>16.71</v>
      </c>
      <c r="F352" s="9"/>
      <c r="G352" s="14" t="str">
        <f t="shared" si="15"/>
        <v>O</v>
      </c>
      <c r="H352" s="15"/>
      <c r="L352" s="35"/>
    </row>
    <row r="353" spans="1:12" x14ac:dyDescent="0.3">
      <c r="A353" s="19">
        <f>COUNTIFS($B$2:B353,B353)</f>
        <v>3</v>
      </c>
      <c r="B353" s="20" t="s">
        <v>513</v>
      </c>
      <c r="C353" s="21">
        <v>20060368076353</v>
      </c>
      <c r="D353" s="20" t="s">
        <v>11</v>
      </c>
      <c r="E353" s="22">
        <v>6.99</v>
      </c>
      <c r="F353" s="9"/>
      <c r="G353" s="14" t="str">
        <f t="shared" si="15"/>
        <v>O</v>
      </c>
      <c r="H353" s="15"/>
      <c r="L353" s="35"/>
    </row>
    <row r="354" spans="1:12" x14ac:dyDescent="0.3">
      <c r="A354" s="19">
        <f>COUNTIFS($B$2:B354,B354)</f>
        <v>4</v>
      </c>
      <c r="B354" s="20" t="s">
        <v>513</v>
      </c>
      <c r="C354" s="21">
        <v>20060368076353</v>
      </c>
      <c r="D354" s="20" t="s">
        <v>514</v>
      </c>
      <c r="E354" s="22">
        <v>3.04</v>
      </c>
      <c r="F354" s="9"/>
      <c r="G354" s="14" t="str">
        <f t="shared" si="15"/>
        <v>O</v>
      </c>
      <c r="H354" s="15"/>
      <c r="L354" s="35"/>
    </row>
    <row r="355" spans="1:12" x14ac:dyDescent="0.3">
      <c r="A355" s="19">
        <f>COUNTIFS($B$2:B355,B355)</f>
        <v>5</v>
      </c>
      <c r="B355" s="20" t="s">
        <v>513</v>
      </c>
      <c r="C355" s="21">
        <v>20060368076353</v>
      </c>
      <c r="D355" s="20" t="s">
        <v>206</v>
      </c>
      <c r="E355" s="22">
        <v>49.2</v>
      </c>
      <c r="F355" s="9"/>
      <c r="G355" s="14" t="str">
        <f t="shared" si="15"/>
        <v>O</v>
      </c>
      <c r="H355" s="15"/>
      <c r="L355" s="35"/>
    </row>
    <row r="356" spans="1:12" x14ac:dyDescent="0.3">
      <c r="A356" s="19">
        <f>COUNTIFS($B$2:B356,B356)</f>
        <v>6</v>
      </c>
      <c r="B356" s="20" t="s">
        <v>513</v>
      </c>
      <c r="C356" s="21">
        <v>20060368076353</v>
      </c>
      <c r="D356" s="20" t="s">
        <v>222</v>
      </c>
      <c r="E356" s="22">
        <v>0.3</v>
      </c>
      <c r="F356" s="9"/>
      <c r="G356" s="14" t="str">
        <f t="shared" si="15"/>
        <v>O</v>
      </c>
      <c r="H356" s="15"/>
      <c r="L356" s="35"/>
    </row>
    <row r="357" spans="1:12" x14ac:dyDescent="0.3">
      <c r="A357" s="23">
        <f>COUNTIFS($B$2:B357,B357)</f>
        <v>1</v>
      </c>
      <c r="B357" s="20" t="s">
        <v>515</v>
      </c>
      <c r="C357" s="21">
        <v>20060368076437</v>
      </c>
      <c r="D357" s="20" t="s">
        <v>210</v>
      </c>
      <c r="E357" s="22">
        <v>28.908187644582657</v>
      </c>
      <c r="F357" s="9"/>
      <c r="G357" s="14" t="str">
        <f t="shared" si="15"/>
        <v>O</v>
      </c>
      <c r="H357" s="15"/>
      <c r="L357" s="35"/>
    </row>
    <row r="358" spans="1:12" x14ac:dyDescent="0.3">
      <c r="A358" s="19">
        <f>COUNTIFS($B$2:B358,B358)</f>
        <v>2</v>
      </c>
      <c r="B358" s="20" t="s">
        <v>515</v>
      </c>
      <c r="C358" s="21">
        <v>20060368076437</v>
      </c>
      <c r="D358" s="20" t="s">
        <v>157</v>
      </c>
      <c r="E358" s="22">
        <v>23.806742766126892</v>
      </c>
      <c r="F358" s="9"/>
      <c r="G358" s="14" t="str">
        <f t="shared" si="15"/>
        <v>O</v>
      </c>
      <c r="H358" s="15"/>
      <c r="L358" s="35"/>
    </row>
    <row r="359" spans="1:12" x14ac:dyDescent="0.3">
      <c r="A359" s="19">
        <f>COUNTIFS($B$2:B359,B359)</f>
        <v>3</v>
      </c>
      <c r="B359" s="20" t="s">
        <v>515</v>
      </c>
      <c r="C359" s="21">
        <v>20060368076437</v>
      </c>
      <c r="D359" s="20" t="s">
        <v>17</v>
      </c>
      <c r="E359" s="22">
        <v>7.6521673176836433</v>
      </c>
      <c r="F359" s="9"/>
      <c r="G359" s="14" t="str">
        <f t="shared" si="15"/>
        <v>O</v>
      </c>
      <c r="H359" s="15"/>
      <c r="L359" s="35"/>
    </row>
    <row r="360" spans="1:12" x14ac:dyDescent="0.3">
      <c r="A360" s="19">
        <f>COUNTIFS($B$2:B360,B360)</f>
        <v>4</v>
      </c>
      <c r="B360" s="20" t="s">
        <v>515</v>
      </c>
      <c r="C360" s="21">
        <v>20060368076437</v>
      </c>
      <c r="D360" s="20" t="s">
        <v>141</v>
      </c>
      <c r="E360" s="22">
        <v>19.130418294209104</v>
      </c>
      <c r="F360" s="9"/>
      <c r="G360" s="14" t="str">
        <f t="shared" si="15"/>
        <v>O</v>
      </c>
      <c r="H360" s="15"/>
      <c r="L360" s="35"/>
    </row>
    <row r="361" spans="1:12" x14ac:dyDescent="0.3">
      <c r="A361" s="19">
        <f>COUNTIFS($B$2:B361,B361)</f>
        <v>5</v>
      </c>
      <c r="B361" s="20" t="s">
        <v>515</v>
      </c>
      <c r="C361" s="21">
        <v>20060368076437</v>
      </c>
      <c r="D361" s="20" t="s">
        <v>206</v>
      </c>
      <c r="E361" s="22">
        <v>31.458910083810533</v>
      </c>
      <c r="F361" s="9"/>
      <c r="G361" s="14" t="str">
        <f t="shared" si="15"/>
        <v>O</v>
      </c>
      <c r="H361" s="15"/>
      <c r="L361" s="35"/>
    </row>
    <row r="362" spans="1:12" x14ac:dyDescent="0.3">
      <c r="A362" s="19">
        <f>COUNTIFS($B$2:B362,B362)</f>
        <v>6</v>
      </c>
      <c r="B362" s="20" t="s">
        <v>515</v>
      </c>
      <c r="C362" s="21">
        <v>20060368076437</v>
      </c>
      <c r="D362" s="20" t="s">
        <v>516</v>
      </c>
      <c r="E362" s="22">
        <v>6.8019265046076836</v>
      </c>
      <c r="F362" s="9"/>
      <c r="G362" s="14" t="str">
        <f t="shared" si="15"/>
        <v>O</v>
      </c>
      <c r="H362" s="15"/>
      <c r="L362" s="35"/>
    </row>
    <row r="363" spans="1:12" x14ac:dyDescent="0.3">
      <c r="A363" s="19">
        <f>COUNTIFS($B$2:B363,B363)</f>
        <v>7</v>
      </c>
      <c r="B363" s="20" t="s">
        <v>515</v>
      </c>
      <c r="C363" s="21">
        <v>20060368076437</v>
      </c>
      <c r="D363" s="20" t="s">
        <v>222</v>
      </c>
      <c r="E363" s="22">
        <v>0.24164738897948349</v>
      </c>
      <c r="F363" s="9"/>
      <c r="G363" s="14" t="str">
        <f t="shared" si="15"/>
        <v>O</v>
      </c>
      <c r="H363" s="15"/>
      <c r="L363" s="35"/>
    </row>
    <row r="364" spans="1:12" x14ac:dyDescent="0.3">
      <c r="A364" s="19">
        <f>COUNTIFS($B$2:B364,B364)</f>
        <v>1</v>
      </c>
      <c r="B364" s="26" t="s">
        <v>517</v>
      </c>
      <c r="C364" s="27">
        <v>20060368076451</v>
      </c>
      <c r="D364" s="26" t="s">
        <v>82</v>
      </c>
      <c r="E364" s="28">
        <v>103.7</v>
      </c>
      <c r="F364" s="9"/>
      <c r="G364" s="14" t="str">
        <f t="shared" si="15"/>
        <v>O</v>
      </c>
      <c r="H364" s="15"/>
      <c r="L364" s="35"/>
    </row>
    <row r="365" spans="1:12" x14ac:dyDescent="0.3">
      <c r="A365" s="19">
        <f>COUNTIFS($B$2:B365,B365)</f>
        <v>2</v>
      </c>
      <c r="B365" s="26" t="s">
        <v>517</v>
      </c>
      <c r="C365" s="27">
        <v>20060368076451</v>
      </c>
      <c r="D365" s="26" t="s">
        <v>155</v>
      </c>
      <c r="E365" s="28">
        <v>1.9014723170799979</v>
      </c>
      <c r="F365" s="9"/>
      <c r="G365" s="14" t="str">
        <f t="shared" si="15"/>
        <v>O</v>
      </c>
      <c r="H365" s="15"/>
      <c r="L365" s="35"/>
    </row>
    <row r="366" spans="1:12" x14ac:dyDescent="0.3">
      <c r="A366" s="19">
        <f>COUNTIFS($B$2:B366,B366)</f>
        <v>3</v>
      </c>
      <c r="B366" s="26" t="s">
        <v>517</v>
      </c>
      <c r="C366" s="27">
        <v>20060368076451</v>
      </c>
      <c r="D366" s="26" t="s">
        <v>164</v>
      </c>
      <c r="E366" s="28">
        <v>3.5</v>
      </c>
      <c r="F366" s="9"/>
      <c r="G366" s="14" t="str">
        <f t="shared" si="15"/>
        <v>O</v>
      </c>
      <c r="H366" s="15"/>
      <c r="L366" s="35"/>
    </row>
    <row r="367" spans="1:12" x14ac:dyDescent="0.3">
      <c r="A367" s="19">
        <f>COUNTIFS($B$2:B367,B367)</f>
        <v>4</v>
      </c>
      <c r="B367" s="26" t="s">
        <v>517</v>
      </c>
      <c r="C367" s="27">
        <v>20060368076451</v>
      </c>
      <c r="D367" s="26" t="s">
        <v>48</v>
      </c>
      <c r="E367" s="28">
        <v>6.2139618205228686</v>
      </c>
      <c r="F367" s="9"/>
      <c r="G367" s="14" t="str">
        <f t="shared" si="15"/>
        <v>O</v>
      </c>
      <c r="H367" s="15"/>
      <c r="L367" s="35"/>
    </row>
    <row r="368" spans="1:12" x14ac:dyDescent="0.3">
      <c r="A368" s="19">
        <f>COUNTIFS($B$2:B368,B368)</f>
        <v>5</v>
      </c>
      <c r="B368" s="26" t="s">
        <v>517</v>
      </c>
      <c r="C368" s="27">
        <v>20060368076451</v>
      </c>
      <c r="D368" s="26" t="s">
        <v>111</v>
      </c>
      <c r="E368" s="28">
        <v>20.7</v>
      </c>
      <c r="F368" s="9"/>
      <c r="G368" s="14" t="str">
        <f t="shared" si="15"/>
        <v>O</v>
      </c>
      <c r="H368" s="15"/>
      <c r="L368" s="35"/>
    </row>
    <row r="369" spans="1:12" x14ac:dyDescent="0.3">
      <c r="A369" s="19">
        <f>COUNTIFS($B$2:B369,B369)</f>
        <v>6</v>
      </c>
      <c r="B369" s="26" t="s">
        <v>517</v>
      </c>
      <c r="C369" s="27">
        <v>20060368076451</v>
      </c>
      <c r="D369" s="26" t="s">
        <v>218</v>
      </c>
      <c r="E369" s="28">
        <v>0.37283770923137211</v>
      </c>
      <c r="F369" s="9"/>
      <c r="G369" s="14" t="str">
        <f t="shared" si="15"/>
        <v>O</v>
      </c>
      <c r="H369" s="15"/>
      <c r="L369" s="35"/>
    </row>
    <row r="370" spans="1:12" x14ac:dyDescent="0.3">
      <c r="A370" s="19">
        <f>COUNTIFS($B$2:B370,B370)</f>
        <v>7</v>
      </c>
      <c r="B370" s="26" t="s">
        <v>517</v>
      </c>
      <c r="C370" s="27">
        <v>20060368076451</v>
      </c>
      <c r="D370" s="26" t="s">
        <v>116</v>
      </c>
      <c r="E370" s="28">
        <v>16.100000000000001</v>
      </c>
      <c r="F370" s="9"/>
      <c r="G370" s="14" t="str">
        <f t="shared" si="15"/>
        <v>O</v>
      </c>
      <c r="H370" s="15"/>
      <c r="L370" s="35"/>
    </row>
    <row r="371" spans="1:12" x14ac:dyDescent="0.3">
      <c r="A371" s="19">
        <f>COUNTIFS($B$2:B371,B371)</f>
        <v>8</v>
      </c>
      <c r="B371" s="26" t="s">
        <v>517</v>
      </c>
      <c r="C371" s="27">
        <v>20060368076451</v>
      </c>
      <c r="D371" s="26" t="s">
        <v>114</v>
      </c>
      <c r="E371" s="28">
        <v>20.7</v>
      </c>
      <c r="F371" s="9"/>
      <c r="G371" s="14" t="str">
        <f t="shared" si="15"/>
        <v>O</v>
      </c>
      <c r="H371" s="15"/>
      <c r="L371" s="35"/>
    </row>
    <row r="372" spans="1:12" x14ac:dyDescent="0.3">
      <c r="A372" s="19">
        <f>COUNTIFS($B$2:B372,B372)</f>
        <v>9</v>
      </c>
      <c r="B372" s="26" t="s">
        <v>517</v>
      </c>
      <c r="C372" s="27">
        <v>20060368076451</v>
      </c>
      <c r="D372" s="26" t="s">
        <v>518</v>
      </c>
      <c r="E372" s="28">
        <v>18.7</v>
      </c>
      <c r="F372" s="9"/>
      <c r="G372" s="14" t="str">
        <f t="shared" si="15"/>
        <v>O</v>
      </c>
      <c r="H372" s="15"/>
      <c r="L372" s="35"/>
    </row>
    <row r="373" spans="1:12" x14ac:dyDescent="0.3">
      <c r="A373" s="19">
        <f>COUNTIFS($B$2:B373,B373)</f>
        <v>10</v>
      </c>
      <c r="B373" s="26" t="s">
        <v>517</v>
      </c>
      <c r="C373" s="27">
        <v>20060368076451</v>
      </c>
      <c r="D373" s="26" t="s">
        <v>196</v>
      </c>
      <c r="E373" s="28">
        <v>16.600000000000001</v>
      </c>
      <c r="F373" s="9"/>
      <c r="G373" s="14" t="str">
        <f t="shared" si="15"/>
        <v>O</v>
      </c>
      <c r="H373" s="15"/>
      <c r="L373" s="35"/>
    </row>
    <row r="374" spans="1:12" x14ac:dyDescent="0.3">
      <c r="A374" s="19">
        <f>COUNTIFS($B$2:B374,B374)</f>
        <v>11</v>
      </c>
      <c r="B374" s="26" t="s">
        <v>517</v>
      </c>
      <c r="C374" s="27">
        <v>20060368076451</v>
      </c>
      <c r="D374" s="26" t="s">
        <v>32</v>
      </c>
      <c r="E374" s="28">
        <v>1.2427923641045737</v>
      </c>
      <c r="F374" s="9"/>
      <c r="G374" s="14" t="str">
        <f t="shared" si="15"/>
        <v>O</v>
      </c>
      <c r="H374" s="15"/>
      <c r="L374" s="35"/>
    </row>
    <row r="375" spans="1:12" x14ac:dyDescent="0.3">
      <c r="A375" s="19">
        <f>COUNTIFS($B$2:B375,B375)</f>
        <v>12</v>
      </c>
      <c r="B375" s="26" t="s">
        <v>517</v>
      </c>
      <c r="C375" s="27">
        <v>20060368076451</v>
      </c>
      <c r="D375" s="26" t="s">
        <v>80</v>
      </c>
      <c r="E375" s="28">
        <v>12.427923641045737</v>
      </c>
      <c r="F375" s="9"/>
      <c r="G375" s="14" t="str">
        <f t="shared" si="15"/>
        <v>O</v>
      </c>
      <c r="H375" s="15"/>
      <c r="L375" s="35"/>
    </row>
    <row r="376" spans="1:12" x14ac:dyDescent="0.3">
      <c r="A376" s="19">
        <f>COUNTIFS($B$2:B376,B376)</f>
        <v>13</v>
      </c>
      <c r="B376" s="26" t="s">
        <v>517</v>
      </c>
      <c r="C376" s="27">
        <v>20060368076451</v>
      </c>
      <c r="D376" s="26" t="s">
        <v>82</v>
      </c>
      <c r="E376" s="30">
        <v>6.2</v>
      </c>
      <c r="F376" s="9" t="s">
        <v>519</v>
      </c>
      <c r="G376" s="14"/>
      <c r="H376" s="15"/>
      <c r="L376" s="35"/>
    </row>
    <row r="377" spans="1:12" x14ac:dyDescent="0.3">
      <c r="A377" s="19">
        <f>COUNTIFS($B$2:B377,B377)</f>
        <v>1</v>
      </c>
      <c r="B377" s="20" t="s">
        <v>520</v>
      </c>
      <c r="C377" s="21">
        <v>20060368076445</v>
      </c>
      <c r="D377" s="20" t="s">
        <v>488</v>
      </c>
      <c r="E377" s="22">
        <v>99.713018523349859</v>
      </c>
      <c r="F377" s="9"/>
      <c r="G377" s="14" t="str">
        <f t="shared" ref="G377:G440" si="16">IF(D377="","",IF(COUNTIF(I:I,D377)&gt;0,"O","X"))</f>
        <v>O</v>
      </c>
      <c r="H377" s="15"/>
      <c r="L377" s="35"/>
    </row>
    <row r="378" spans="1:12" x14ac:dyDescent="0.3">
      <c r="A378" s="19">
        <f>COUNTIFS($B$2:B378,B378)</f>
        <v>2</v>
      </c>
      <c r="B378" s="20" t="s">
        <v>520</v>
      </c>
      <c r="C378" s="21">
        <v>20060368076445</v>
      </c>
      <c r="D378" s="20" t="s">
        <v>494</v>
      </c>
      <c r="E378" s="22">
        <v>12.464127315418732</v>
      </c>
      <c r="F378" s="9"/>
      <c r="G378" s="14" t="str">
        <f t="shared" si="16"/>
        <v>O</v>
      </c>
      <c r="H378" s="15"/>
      <c r="L378" s="35"/>
    </row>
    <row r="379" spans="1:12" x14ac:dyDescent="0.3">
      <c r="A379" s="19">
        <f>COUNTIFS($B$2:B379,B379)</f>
        <v>3</v>
      </c>
      <c r="B379" s="20" t="s">
        <v>520</v>
      </c>
      <c r="C379" s="21">
        <v>20060368076445</v>
      </c>
      <c r="D379" s="20" t="s">
        <v>521</v>
      </c>
      <c r="E379" s="22">
        <v>12.464127315418732</v>
      </c>
      <c r="F379" s="9"/>
      <c r="G379" s="14" t="str">
        <f t="shared" si="16"/>
        <v>O</v>
      </c>
      <c r="H379" s="15"/>
      <c r="L379" s="35"/>
    </row>
    <row r="380" spans="1:12" x14ac:dyDescent="0.3">
      <c r="A380" s="19">
        <f>COUNTIFS($B$2:B380,B380)</f>
        <v>4</v>
      </c>
      <c r="B380" s="20" t="s">
        <v>520</v>
      </c>
      <c r="C380" s="21">
        <v>20060368076445</v>
      </c>
      <c r="D380" s="20" t="s">
        <v>522</v>
      </c>
      <c r="E380" s="22">
        <v>12.464127315418732</v>
      </c>
      <c r="F380" s="9"/>
      <c r="G380" s="14" t="str">
        <f t="shared" si="16"/>
        <v>O</v>
      </c>
      <c r="H380" s="15"/>
      <c r="L380" s="35"/>
    </row>
    <row r="381" spans="1:12" x14ac:dyDescent="0.3">
      <c r="A381" s="19">
        <f>COUNTIFS($B$2:B381,B381)</f>
        <v>5</v>
      </c>
      <c r="B381" s="20" t="s">
        <v>520</v>
      </c>
      <c r="C381" s="21">
        <v>20060368076445</v>
      </c>
      <c r="D381" s="20" t="s">
        <v>497</v>
      </c>
      <c r="E381" s="22">
        <v>37.392381946256194</v>
      </c>
      <c r="F381" s="9"/>
      <c r="G381" s="14" t="str">
        <f t="shared" si="16"/>
        <v>O</v>
      </c>
      <c r="H381" s="15"/>
      <c r="L381" s="35"/>
    </row>
    <row r="382" spans="1:12" x14ac:dyDescent="0.3">
      <c r="A382" s="19">
        <f>COUNTIFS($B$2:B382,B382)</f>
        <v>6</v>
      </c>
      <c r="B382" s="20" t="s">
        <v>520</v>
      </c>
      <c r="C382" s="21">
        <v>20060368076445</v>
      </c>
      <c r="D382" s="20" t="s">
        <v>141</v>
      </c>
      <c r="E382" s="22">
        <v>12.464127315418732</v>
      </c>
      <c r="F382" s="9"/>
      <c r="G382" s="14" t="str">
        <f t="shared" si="16"/>
        <v>O</v>
      </c>
      <c r="H382" s="15"/>
      <c r="L382" s="35"/>
    </row>
    <row r="383" spans="1:12" x14ac:dyDescent="0.3">
      <c r="A383" s="19">
        <f>COUNTIFS($B$2:B383,B383)</f>
        <v>7</v>
      </c>
      <c r="B383" s="20" t="s">
        <v>520</v>
      </c>
      <c r="C383" s="21">
        <v>20060368076445</v>
      </c>
      <c r="D383" s="20" t="s">
        <v>487</v>
      </c>
      <c r="E383" s="22">
        <v>37.552178450300026</v>
      </c>
      <c r="F383" s="9"/>
      <c r="G383" s="14" t="str">
        <f t="shared" si="16"/>
        <v>O</v>
      </c>
      <c r="H383" s="15"/>
      <c r="L383" s="35"/>
    </row>
    <row r="384" spans="1:12" x14ac:dyDescent="0.3">
      <c r="A384" s="19">
        <f>COUNTIFS($B$2:B384,B384)</f>
        <v>8</v>
      </c>
      <c r="B384" s="20" t="s">
        <v>520</v>
      </c>
      <c r="C384" s="21">
        <v>20060368076445</v>
      </c>
      <c r="D384" s="20" t="s">
        <v>522</v>
      </c>
      <c r="E384" s="22">
        <v>24.928254630837465</v>
      </c>
      <c r="F384" s="9"/>
      <c r="G384" s="14" t="str">
        <f t="shared" si="16"/>
        <v>O</v>
      </c>
      <c r="H384" s="15"/>
      <c r="L384" s="35"/>
    </row>
    <row r="385" spans="1:12" x14ac:dyDescent="0.3">
      <c r="A385" s="19">
        <f>COUNTIFS($B$2:B385,B385)</f>
        <v>9</v>
      </c>
      <c r="B385" s="20" t="s">
        <v>520</v>
      </c>
      <c r="C385" s="21">
        <v>20060368076445</v>
      </c>
      <c r="D385" s="20" t="s">
        <v>523</v>
      </c>
      <c r="E385" s="22">
        <v>69.799112966344907</v>
      </c>
      <c r="F385" s="9"/>
      <c r="G385" s="14" t="str">
        <f t="shared" si="16"/>
        <v>O</v>
      </c>
      <c r="H385" s="15"/>
      <c r="L385" s="35"/>
    </row>
    <row r="386" spans="1:12" x14ac:dyDescent="0.3">
      <c r="A386" s="19">
        <f>COUNTIFS($B$2:B386,B386)</f>
        <v>10</v>
      </c>
      <c r="B386" s="20" t="s">
        <v>520</v>
      </c>
      <c r="C386" s="21">
        <v>20060368076445</v>
      </c>
      <c r="D386" s="20" t="s">
        <v>206</v>
      </c>
      <c r="E386" s="22">
        <v>107.19149491260109</v>
      </c>
      <c r="F386" s="9"/>
      <c r="G386" s="14" t="str">
        <f t="shared" si="16"/>
        <v>O</v>
      </c>
      <c r="H386" s="15"/>
      <c r="L386" s="35"/>
    </row>
    <row r="387" spans="1:12" x14ac:dyDescent="0.3">
      <c r="A387" s="19">
        <f>COUNTIFS($B$2:B387,B387)</f>
        <v>11</v>
      </c>
      <c r="B387" s="20" t="s">
        <v>520</v>
      </c>
      <c r="C387" s="21">
        <v>20060368076445</v>
      </c>
      <c r="D387" s="20" t="s">
        <v>498</v>
      </c>
      <c r="E387" s="22">
        <v>1.2464127315418732</v>
      </c>
      <c r="F387" s="9"/>
      <c r="G387" s="14" t="str">
        <f t="shared" si="16"/>
        <v>O</v>
      </c>
      <c r="H387" s="15"/>
      <c r="L387" s="35"/>
    </row>
    <row r="388" spans="1:12" x14ac:dyDescent="0.3">
      <c r="A388" s="19">
        <f>COUNTIFS($B$2:B388,B388)</f>
        <v>12</v>
      </c>
      <c r="B388" s="20" t="s">
        <v>520</v>
      </c>
      <c r="C388" s="21">
        <v>20060368076445</v>
      </c>
      <c r="D388" s="20" t="s">
        <v>261</v>
      </c>
      <c r="E388" s="22">
        <v>92.320636577093694</v>
      </c>
      <c r="F388" s="9"/>
      <c r="G388" s="14" t="str">
        <f t="shared" si="16"/>
        <v>O</v>
      </c>
      <c r="H388" s="15"/>
      <c r="L388" s="35"/>
    </row>
    <row r="389" spans="1:12" x14ac:dyDescent="0.3">
      <c r="A389" s="19">
        <f>COUNTIFS($B$2:B389,B389)</f>
        <v>13</v>
      </c>
      <c r="B389" s="20" t="s">
        <v>520</v>
      </c>
      <c r="C389" s="21">
        <v>20060368076445</v>
      </c>
      <c r="D389" s="20" t="s">
        <v>264</v>
      </c>
      <c r="E389" s="22">
        <v>30</v>
      </c>
      <c r="F389" s="9"/>
      <c r="G389" s="14" t="str">
        <f t="shared" si="16"/>
        <v>O</v>
      </c>
      <c r="H389" s="15"/>
      <c r="L389" s="35"/>
    </row>
    <row r="390" spans="1:12" x14ac:dyDescent="0.3">
      <c r="A390" s="19">
        <f>COUNTIFS($B$2:B390,B390)</f>
        <v>14</v>
      </c>
      <c r="B390" s="20" t="s">
        <v>520</v>
      </c>
      <c r="C390" s="21">
        <v>20060368076445</v>
      </c>
      <c r="D390" s="20" t="s">
        <v>501</v>
      </c>
      <c r="E390" s="22">
        <v>12.587412587412588</v>
      </c>
      <c r="F390" s="9"/>
      <c r="G390" s="14" t="str">
        <f t="shared" si="16"/>
        <v>O</v>
      </c>
      <c r="H390" s="15"/>
      <c r="L390" s="35"/>
    </row>
    <row r="391" spans="1:12" x14ac:dyDescent="0.3">
      <c r="A391" s="19">
        <f>COUNTIFS($B$2:B391,B391)</f>
        <v>15</v>
      </c>
      <c r="B391" s="20" t="s">
        <v>520</v>
      </c>
      <c r="C391" s="21">
        <v>20060368076445</v>
      </c>
      <c r="D391" s="20" t="s">
        <v>114</v>
      </c>
      <c r="E391" s="22">
        <v>41.95804195804196</v>
      </c>
      <c r="F391" s="9"/>
      <c r="G391" s="14" t="str">
        <f t="shared" si="16"/>
        <v>O</v>
      </c>
      <c r="H391" s="15"/>
      <c r="L391" s="35"/>
    </row>
    <row r="392" spans="1:12" x14ac:dyDescent="0.3">
      <c r="A392" s="19">
        <f>COUNTIFS($B$2:B392,B392)</f>
        <v>16</v>
      </c>
      <c r="B392" s="20" t="s">
        <v>520</v>
      </c>
      <c r="C392" s="21">
        <v>20060368076445</v>
      </c>
      <c r="D392" s="20" t="s">
        <v>236</v>
      </c>
      <c r="E392" s="22">
        <v>4.1958041958041958</v>
      </c>
      <c r="F392" s="9"/>
      <c r="G392" s="14" t="str">
        <f t="shared" si="16"/>
        <v>O</v>
      </c>
      <c r="H392" s="15"/>
      <c r="L392" s="35"/>
    </row>
    <row r="393" spans="1:12" x14ac:dyDescent="0.3">
      <c r="A393" s="19">
        <f>COUNTIFS($B$2:B393,B393)</f>
        <v>17</v>
      </c>
      <c r="B393" s="20" t="s">
        <v>520</v>
      </c>
      <c r="C393" s="21">
        <v>20060368076445</v>
      </c>
      <c r="D393" s="20" t="s">
        <v>502</v>
      </c>
      <c r="E393" s="22">
        <v>1.2587412587412588</v>
      </c>
      <c r="F393" s="9"/>
      <c r="G393" s="14" t="str">
        <f t="shared" si="16"/>
        <v>O</v>
      </c>
      <c r="H393" s="15"/>
      <c r="L393" s="35"/>
    </row>
    <row r="394" spans="1:12" x14ac:dyDescent="0.3">
      <c r="A394" s="19">
        <f>COUNTIFS($B$2:B394,B394)</f>
        <v>1</v>
      </c>
      <c r="B394" s="20" t="s">
        <v>112</v>
      </c>
      <c r="C394" s="21">
        <v>20060368076458</v>
      </c>
      <c r="D394" s="20" t="s">
        <v>206</v>
      </c>
      <c r="E394" s="22">
        <v>61.161749635941966</v>
      </c>
      <c r="F394" s="9"/>
      <c r="G394" s="14" t="str">
        <f t="shared" si="16"/>
        <v>O</v>
      </c>
      <c r="H394" s="15"/>
      <c r="L394" s="35"/>
    </row>
    <row r="395" spans="1:12" x14ac:dyDescent="0.3">
      <c r="A395" s="19">
        <f>COUNTIFS($B$2:B395,B395)</f>
        <v>2</v>
      </c>
      <c r="B395" s="20" t="s">
        <v>112</v>
      </c>
      <c r="C395" s="21">
        <v>20060368076458</v>
      </c>
      <c r="D395" s="20" t="s">
        <v>172</v>
      </c>
      <c r="E395" s="22">
        <v>6.7957499595491075</v>
      </c>
      <c r="F395" s="9"/>
      <c r="G395" s="14" t="str">
        <f t="shared" si="16"/>
        <v>O</v>
      </c>
      <c r="H395" s="15"/>
      <c r="L395" s="35"/>
    </row>
    <row r="396" spans="1:12" x14ac:dyDescent="0.3">
      <c r="A396" s="19">
        <f>COUNTIFS($B$2:B396,B396)</f>
        <v>3</v>
      </c>
      <c r="B396" s="20" t="s">
        <v>112</v>
      </c>
      <c r="C396" s="21">
        <v>20060368076458</v>
      </c>
      <c r="D396" s="20" t="s">
        <v>487</v>
      </c>
      <c r="E396" s="22">
        <v>16.989374898872768</v>
      </c>
      <c r="F396" s="9"/>
      <c r="G396" s="14" t="str">
        <f t="shared" si="16"/>
        <v>O</v>
      </c>
      <c r="H396" s="15"/>
      <c r="L396" s="35"/>
    </row>
    <row r="397" spans="1:12" x14ac:dyDescent="0.3">
      <c r="A397" s="19">
        <f>COUNTIFS($B$2:B397,B397)</f>
        <v>4</v>
      </c>
      <c r="B397" s="20" t="s">
        <v>112</v>
      </c>
      <c r="C397" s="21">
        <v>20060368076458</v>
      </c>
      <c r="D397" s="20" t="s">
        <v>190</v>
      </c>
      <c r="E397" s="22">
        <v>1.3591499919098216</v>
      </c>
      <c r="F397" s="9"/>
      <c r="G397" s="14" t="str">
        <f t="shared" si="16"/>
        <v>O</v>
      </c>
      <c r="H397" s="15"/>
      <c r="L397" s="35"/>
    </row>
    <row r="398" spans="1:12" x14ac:dyDescent="0.3">
      <c r="A398" s="19">
        <f>COUNTIFS($B$2:B398,B398)</f>
        <v>5</v>
      </c>
      <c r="B398" s="20" t="s">
        <v>112</v>
      </c>
      <c r="C398" s="21">
        <v>20060368076458</v>
      </c>
      <c r="D398" s="20" t="s">
        <v>192</v>
      </c>
      <c r="E398" s="22">
        <v>0.67957499595491078</v>
      </c>
      <c r="F398" s="9"/>
      <c r="G398" s="14" t="str">
        <f t="shared" si="16"/>
        <v>O</v>
      </c>
      <c r="H398" s="15"/>
      <c r="L398" s="35"/>
    </row>
    <row r="399" spans="1:12" x14ac:dyDescent="0.3">
      <c r="A399" s="19">
        <f>COUNTIFS($B$2:B399,B399)</f>
        <v>6</v>
      </c>
      <c r="B399" s="20" t="s">
        <v>112</v>
      </c>
      <c r="C399" s="21">
        <v>20060368076458</v>
      </c>
      <c r="D399" s="20" t="s">
        <v>418</v>
      </c>
      <c r="E399" s="22">
        <v>0.65045035327112877</v>
      </c>
      <c r="F399" s="9"/>
      <c r="G399" s="14" t="str">
        <f t="shared" si="16"/>
        <v>O</v>
      </c>
      <c r="H399" s="15"/>
      <c r="L399" s="35"/>
    </row>
    <row r="400" spans="1:12" x14ac:dyDescent="0.3">
      <c r="A400" s="19">
        <f>COUNTIFS($B$2:B400,B400)</f>
        <v>7</v>
      </c>
      <c r="B400" s="20" t="s">
        <v>112</v>
      </c>
      <c r="C400" s="21">
        <v>20060368076458</v>
      </c>
      <c r="D400" s="20" t="s">
        <v>488</v>
      </c>
      <c r="E400" s="22">
        <v>27.18299983819643</v>
      </c>
      <c r="F400" s="9"/>
      <c r="G400" s="14" t="str">
        <f t="shared" si="16"/>
        <v>O</v>
      </c>
      <c r="H400" s="15"/>
      <c r="L400" s="35"/>
    </row>
    <row r="401" spans="1:12" x14ac:dyDescent="0.3">
      <c r="A401" s="19">
        <f>COUNTIFS($B$2:B401,B401)</f>
        <v>8</v>
      </c>
      <c r="B401" s="20" t="s">
        <v>112</v>
      </c>
      <c r="C401" s="21">
        <v>20060368076458</v>
      </c>
      <c r="D401" s="20" t="s">
        <v>490</v>
      </c>
      <c r="E401" s="22">
        <v>10.873199935278572</v>
      </c>
      <c r="F401" s="9"/>
      <c r="G401" s="14" t="str">
        <f t="shared" si="16"/>
        <v>O</v>
      </c>
      <c r="H401" s="15"/>
      <c r="L401" s="35"/>
    </row>
    <row r="402" spans="1:12" x14ac:dyDescent="0.3">
      <c r="A402" s="19">
        <f>COUNTIFS($B$2:B402,B402)</f>
        <v>9</v>
      </c>
      <c r="B402" s="20" t="s">
        <v>112</v>
      </c>
      <c r="C402" s="21">
        <v>20060368076458</v>
      </c>
      <c r="D402" s="20" t="s">
        <v>54</v>
      </c>
      <c r="E402" s="22">
        <v>40.28908904589828</v>
      </c>
      <c r="F402" s="9"/>
      <c r="G402" s="14" t="str">
        <f t="shared" si="16"/>
        <v>O</v>
      </c>
      <c r="H402" s="15"/>
      <c r="L402" s="35"/>
    </row>
    <row r="403" spans="1:12" x14ac:dyDescent="0.3">
      <c r="A403" s="19">
        <f>COUNTIFS($B$2:B403,B403)</f>
        <v>10</v>
      </c>
      <c r="B403" s="20" t="s">
        <v>112</v>
      </c>
      <c r="C403" s="21">
        <v>20060368076458</v>
      </c>
      <c r="D403" s="20" t="s">
        <v>524</v>
      </c>
      <c r="E403" s="22">
        <v>1.6309799902917856</v>
      </c>
      <c r="F403" s="9"/>
      <c r="G403" s="14" t="str">
        <f t="shared" si="16"/>
        <v>O</v>
      </c>
      <c r="H403" s="15"/>
      <c r="L403" s="35"/>
    </row>
    <row r="404" spans="1:12" x14ac:dyDescent="0.3">
      <c r="A404" s="19">
        <f>COUNTIFS($B$2:B404,B404)</f>
        <v>11</v>
      </c>
      <c r="B404" s="20" t="s">
        <v>112</v>
      </c>
      <c r="C404" s="21">
        <v>20060368076458</v>
      </c>
      <c r="D404" s="20" t="s">
        <v>525</v>
      </c>
      <c r="E404" s="22">
        <v>20.387249878647321</v>
      </c>
      <c r="F404" s="9"/>
      <c r="G404" s="14" t="str">
        <f t="shared" si="16"/>
        <v>O</v>
      </c>
      <c r="H404" s="15"/>
      <c r="L404" s="35"/>
    </row>
    <row r="405" spans="1:12" x14ac:dyDescent="0.3">
      <c r="A405" s="19">
        <f>COUNTIFS($B$2:B405,B405)</f>
        <v>12</v>
      </c>
      <c r="B405" s="20" t="s">
        <v>112</v>
      </c>
      <c r="C405" s="21">
        <v>20060368076458</v>
      </c>
      <c r="D405" s="20" t="s">
        <v>103</v>
      </c>
      <c r="E405" s="22">
        <v>10</v>
      </c>
      <c r="F405" s="9"/>
      <c r="G405" s="14" t="str">
        <f t="shared" si="16"/>
        <v>O</v>
      </c>
      <c r="H405" s="15"/>
      <c r="L405" s="35"/>
    </row>
    <row r="406" spans="1:12" x14ac:dyDescent="0.3">
      <c r="A406" s="19">
        <f>COUNTIFS($B$2:B406,B406)</f>
        <v>1</v>
      </c>
      <c r="B406" s="20" t="s">
        <v>526</v>
      </c>
      <c r="C406" s="21">
        <v>200603680764581</v>
      </c>
      <c r="D406" s="20" t="s">
        <v>206</v>
      </c>
      <c r="E406" s="22">
        <v>30.580874817970983</v>
      </c>
      <c r="F406" s="9"/>
      <c r="G406" s="14" t="str">
        <f t="shared" si="16"/>
        <v>O</v>
      </c>
      <c r="H406" s="15"/>
      <c r="L406" s="35"/>
    </row>
    <row r="407" spans="1:12" x14ac:dyDescent="0.3">
      <c r="A407" s="19">
        <f>COUNTIFS($B$2:B407,B407)</f>
        <v>2</v>
      </c>
      <c r="B407" s="20" t="s">
        <v>526</v>
      </c>
      <c r="C407" s="21">
        <v>200603680764581</v>
      </c>
      <c r="D407" s="20" t="s">
        <v>172</v>
      </c>
      <c r="E407" s="22">
        <v>3.3978749797745538</v>
      </c>
      <c r="F407" s="9"/>
      <c r="G407" s="14" t="str">
        <f t="shared" si="16"/>
        <v>O</v>
      </c>
      <c r="H407" s="15"/>
      <c r="L407" s="35"/>
    </row>
    <row r="408" spans="1:12" x14ac:dyDescent="0.3">
      <c r="A408" s="19">
        <f>COUNTIFS($B$2:B408,B408)</f>
        <v>3</v>
      </c>
      <c r="B408" s="20" t="s">
        <v>526</v>
      </c>
      <c r="C408" s="21">
        <v>200603680764581</v>
      </c>
      <c r="D408" s="20" t="s">
        <v>487</v>
      </c>
      <c r="E408" s="22">
        <v>8.494687449436384</v>
      </c>
      <c r="F408" s="9"/>
      <c r="G408" s="14" t="str">
        <f t="shared" si="16"/>
        <v>O</v>
      </c>
      <c r="H408" s="15"/>
      <c r="L408" s="35"/>
    </row>
    <row r="409" spans="1:12" x14ac:dyDescent="0.3">
      <c r="A409" s="19">
        <f>COUNTIFS($B$2:B409,B409)</f>
        <v>4</v>
      </c>
      <c r="B409" s="20" t="s">
        <v>526</v>
      </c>
      <c r="C409" s="21">
        <v>200603680764581</v>
      </c>
      <c r="D409" s="20" t="s">
        <v>190</v>
      </c>
      <c r="E409" s="22">
        <v>0.67957499595491078</v>
      </c>
      <c r="F409" s="9"/>
      <c r="G409" s="14" t="str">
        <f t="shared" si="16"/>
        <v>O</v>
      </c>
      <c r="H409" s="15"/>
      <c r="L409" s="35"/>
    </row>
    <row r="410" spans="1:12" x14ac:dyDescent="0.3">
      <c r="A410" s="19">
        <f>COUNTIFS($B$2:B410,B410)</f>
        <v>5</v>
      </c>
      <c r="B410" s="20" t="s">
        <v>526</v>
      </c>
      <c r="C410" s="21">
        <v>200603680764581</v>
      </c>
      <c r="D410" s="20" t="s">
        <v>192</v>
      </c>
      <c r="E410" s="22">
        <v>0.33978749797745539</v>
      </c>
      <c r="F410" s="9"/>
      <c r="G410" s="14" t="str">
        <f t="shared" si="16"/>
        <v>O</v>
      </c>
      <c r="H410" s="15"/>
      <c r="L410" s="35"/>
    </row>
    <row r="411" spans="1:12" x14ac:dyDescent="0.3">
      <c r="A411" s="19">
        <f>COUNTIFS($B$2:B411,B411)</f>
        <v>6</v>
      </c>
      <c r="B411" s="20" t="s">
        <v>526</v>
      </c>
      <c r="C411" s="21">
        <v>200603680764581</v>
      </c>
      <c r="D411" s="20" t="s">
        <v>418</v>
      </c>
      <c r="E411" s="22">
        <v>0.32522517663556438</v>
      </c>
      <c r="F411" s="9"/>
      <c r="G411" s="14" t="str">
        <f t="shared" si="16"/>
        <v>O</v>
      </c>
      <c r="H411" s="15"/>
      <c r="L411" s="35"/>
    </row>
    <row r="412" spans="1:12" x14ac:dyDescent="0.3">
      <c r="A412" s="19">
        <f>COUNTIFS($B$2:B412,B412)</f>
        <v>7</v>
      </c>
      <c r="B412" s="20" t="s">
        <v>526</v>
      </c>
      <c r="C412" s="21">
        <v>200603680764581</v>
      </c>
      <c r="D412" s="20" t="s">
        <v>488</v>
      </c>
      <c r="E412" s="22">
        <v>13.591499919098215</v>
      </c>
      <c r="F412" s="9"/>
      <c r="G412" s="14" t="str">
        <f t="shared" si="16"/>
        <v>O</v>
      </c>
      <c r="H412" s="15"/>
      <c r="L412" s="35"/>
    </row>
    <row r="413" spans="1:12" x14ac:dyDescent="0.3">
      <c r="A413" s="19">
        <f>COUNTIFS($B$2:B413,B413)</f>
        <v>8</v>
      </c>
      <c r="B413" s="20" t="s">
        <v>526</v>
      </c>
      <c r="C413" s="21">
        <v>200603680764581</v>
      </c>
      <c r="D413" s="20" t="s">
        <v>490</v>
      </c>
      <c r="E413" s="22">
        <v>5.4365999676392862</v>
      </c>
      <c r="F413" s="9"/>
      <c r="G413" s="14" t="str">
        <f t="shared" si="16"/>
        <v>O</v>
      </c>
      <c r="H413" s="15"/>
      <c r="L413" s="35"/>
    </row>
    <row r="414" spans="1:12" x14ac:dyDescent="0.3">
      <c r="A414" s="19">
        <f>COUNTIFS($B$2:B414,B414)</f>
        <v>9</v>
      </c>
      <c r="B414" s="20" t="s">
        <v>526</v>
      </c>
      <c r="C414" s="21">
        <v>200603680764581</v>
      </c>
      <c r="D414" s="20" t="s">
        <v>54</v>
      </c>
      <c r="E414" s="22">
        <v>20.14454452294914</v>
      </c>
      <c r="F414" s="9"/>
      <c r="G414" s="14" t="str">
        <f t="shared" si="16"/>
        <v>O</v>
      </c>
      <c r="H414" s="15"/>
      <c r="L414" s="35"/>
    </row>
    <row r="415" spans="1:12" x14ac:dyDescent="0.3">
      <c r="A415" s="19">
        <f>COUNTIFS($B$2:B415,B415)</f>
        <v>10</v>
      </c>
      <c r="B415" s="20" t="s">
        <v>526</v>
      </c>
      <c r="C415" s="21">
        <v>200603680764581</v>
      </c>
      <c r="D415" s="20" t="s">
        <v>524</v>
      </c>
      <c r="E415" s="22">
        <v>0.81548999514589282</v>
      </c>
      <c r="F415" s="9"/>
      <c r="G415" s="14" t="str">
        <f t="shared" si="16"/>
        <v>O</v>
      </c>
      <c r="H415" s="15"/>
      <c r="L415" s="35"/>
    </row>
    <row r="416" spans="1:12" x14ac:dyDescent="0.3">
      <c r="A416" s="19">
        <f>COUNTIFS($B$2:B416,B416)</f>
        <v>11</v>
      </c>
      <c r="B416" s="20" t="s">
        <v>526</v>
      </c>
      <c r="C416" s="21">
        <v>200603680764581</v>
      </c>
      <c r="D416" s="20" t="s">
        <v>525</v>
      </c>
      <c r="E416" s="22">
        <v>10.19362493932366</v>
      </c>
      <c r="F416" s="9"/>
      <c r="G416" s="14" t="str">
        <f t="shared" si="16"/>
        <v>O</v>
      </c>
      <c r="H416" s="15"/>
      <c r="L416" s="35"/>
    </row>
    <row r="417" spans="1:12" x14ac:dyDescent="0.3">
      <c r="A417" s="19">
        <f>COUNTIFS($B$2:B417,B417)</f>
        <v>12</v>
      </c>
      <c r="B417" s="20" t="s">
        <v>526</v>
      </c>
      <c r="C417" s="21">
        <v>200603680764581</v>
      </c>
      <c r="D417" s="20" t="s">
        <v>103</v>
      </c>
      <c r="E417" s="22">
        <v>5</v>
      </c>
      <c r="F417" s="9"/>
      <c r="G417" s="14" t="str">
        <f t="shared" si="16"/>
        <v>O</v>
      </c>
      <c r="H417" s="15"/>
      <c r="L417" s="35"/>
    </row>
    <row r="418" spans="1:12" x14ac:dyDescent="0.3">
      <c r="A418" s="19">
        <f>COUNTIFS($B$2:B418,B418)</f>
        <v>1</v>
      </c>
      <c r="B418" s="20" t="s">
        <v>117</v>
      </c>
      <c r="C418" s="21">
        <v>20060368076459</v>
      </c>
      <c r="D418" s="20" t="s">
        <v>206</v>
      </c>
      <c r="E418" s="22">
        <v>79.213207251449759</v>
      </c>
      <c r="F418" s="9"/>
      <c r="G418" s="14" t="str">
        <f t="shared" si="16"/>
        <v>O</v>
      </c>
      <c r="H418" s="15"/>
      <c r="L418" s="35"/>
    </row>
    <row r="419" spans="1:12" x14ac:dyDescent="0.3">
      <c r="A419" s="19">
        <f>COUNTIFS($B$2:B419,B419)</f>
        <v>2</v>
      </c>
      <c r="B419" s="20" t="s">
        <v>117</v>
      </c>
      <c r="C419" s="21">
        <v>20060368076459</v>
      </c>
      <c r="D419" s="20" t="s">
        <v>496</v>
      </c>
      <c r="E419" s="22">
        <v>3.1724570294133012</v>
      </c>
      <c r="F419" s="9"/>
      <c r="G419" s="14" t="str">
        <f t="shared" si="16"/>
        <v>O</v>
      </c>
      <c r="H419" s="15"/>
      <c r="L419" s="35"/>
    </row>
    <row r="420" spans="1:12" x14ac:dyDescent="0.3">
      <c r="A420" s="19">
        <f>COUNTIFS($B$2:B420,B420)</f>
        <v>3</v>
      </c>
      <c r="B420" s="20" t="s">
        <v>117</v>
      </c>
      <c r="C420" s="21">
        <v>20060368076459</v>
      </c>
      <c r="D420" s="20" t="s">
        <v>487</v>
      </c>
      <c r="E420" s="22">
        <v>14.261323859777439</v>
      </c>
      <c r="F420" s="9"/>
      <c r="G420" s="14" t="str">
        <f t="shared" si="16"/>
        <v>O</v>
      </c>
      <c r="H420" s="15"/>
      <c r="L420" s="35"/>
    </row>
    <row r="421" spans="1:12" x14ac:dyDescent="0.3">
      <c r="A421" s="19">
        <f>COUNTIFS($B$2:B421,B421)</f>
        <v>4</v>
      </c>
      <c r="B421" s="20" t="s">
        <v>117</v>
      </c>
      <c r="C421" s="21">
        <v>20060368076459</v>
      </c>
      <c r="D421" s="20" t="s">
        <v>190</v>
      </c>
      <c r="E421" s="22">
        <v>1.5813175905125125</v>
      </c>
      <c r="F421" s="9"/>
      <c r="G421" s="14" t="str">
        <f t="shared" si="16"/>
        <v>O</v>
      </c>
      <c r="H421" s="15"/>
      <c r="L421" s="35"/>
    </row>
    <row r="422" spans="1:12" x14ac:dyDescent="0.3">
      <c r="A422" s="19">
        <f>COUNTIFS($B$2:B422,B422)</f>
        <v>5</v>
      </c>
      <c r="B422" s="20" t="s">
        <v>117</v>
      </c>
      <c r="C422" s="21">
        <v>20060368076459</v>
      </c>
      <c r="D422" s="20" t="s">
        <v>192</v>
      </c>
      <c r="E422" s="22">
        <v>0.79556971945039445</v>
      </c>
      <c r="F422" s="9"/>
      <c r="G422" s="14" t="str">
        <f t="shared" si="16"/>
        <v>O</v>
      </c>
      <c r="H422" s="15"/>
      <c r="L422" s="35"/>
    </row>
    <row r="423" spans="1:12" x14ac:dyDescent="0.3">
      <c r="A423" s="19">
        <f>COUNTIFS($B$2:B423,B423)</f>
        <v>6</v>
      </c>
      <c r="B423" s="20" t="s">
        <v>117</v>
      </c>
      <c r="C423" s="21">
        <v>20060368076459</v>
      </c>
      <c r="D423" s="20" t="s">
        <v>418</v>
      </c>
      <c r="E423" s="22">
        <v>0.76610417428556499</v>
      </c>
      <c r="F423" s="9"/>
      <c r="G423" s="14" t="str">
        <f t="shared" si="16"/>
        <v>O</v>
      </c>
      <c r="H423" s="15"/>
      <c r="L423" s="35"/>
    </row>
    <row r="424" spans="1:12" x14ac:dyDescent="0.3">
      <c r="A424" s="19">
        <f>COUNTIFS($B$2:B424,B424)</f>
        <v>7</v>
      </c>
      <c r="B424" s="20" t="s">
        <v>117</v>
      </c>
      <c r="C424" s="21">
        <v>20060368076459</v>
      </c>
      <c r="D424" s="20" t="s">
        <v>488</v>
      </c>
      <c r="E424" s="22">
        <v>31.68528290057991</v>
      </c>
      <c r="F424" s="9"/>
      <c r="G424" s="14" t="str">
        <f t="shared" si="16"/>
        <v>O</v>
      </c>
      <c r="H424" s="15"/>
      <c r="L424" s="35"/>
    </row>
    <row r="425" spans="1:12" x14ac:dyDescent="0.3">
      <c r="A425" s="19">
        <f>COUNTIFS($B$2:B425,B425)</f>
        <v>8</v>
      </c>
      <c r="B425" s="20" t="s">
        <v>117</v>
      </c>
      <c r="C425" s="21">
        <v>20060368076459</v>
      </c>
      <c r="D425" s="20" t="s">
        <v>490</v>
      </c>
      <c r="E425" s="22">
        <v>9.5075492398516275</v>
      </c>
      <c r="F425" s="9"/>
      <c r="G425" s="14" t="str">
        <f t="shared" si="16"/>
        <v>O</v>
      </c>
      <c r="H425" s="15"/>
      <c r="L425" s="35"/>
    </row>
    <row r="426" spans="1:12" x14ac:dyDescent="0.3">
      <c r="A426" s="19">
        <f>COUNTIFS($B$2:B426,B426)</f>
        <v>9</v>
      </c>
      <c r="B426" s="20" t="s">
        <v>117</v>
      </c>
      <c r="C426" s="21">
        <v>20060368076459</v>
      </c>
      <c r="D426" s="20" t="s">
        <v>54</v>
      </c>
      <c r="E426" s="22">
        <v>43.21613290841649</v>
      </c>
      <c r="F426" s="9"/>
      <c r="G426" s="14" t="str">
        <f t="shared" si="16"/>
        <v>O</v>
      </c>
      <c r="H426" s="15"/>
      <c r="L426" s="35"/>
    </row>
    <row r="427" spans="1:12" x14ac:dyDescent="0.3">
      <c r="A427" s="19">
        <f>COUNTIFS($B$2:B427,B427)</f>
        <v>10</v>
      </c>
      <c r="B427" s="20" t="s">
        <v>117</v>
      </c>
      <c r="C427" s="21">
        <v>20060368076459</v>
      </c>
      <c r="D427" s="20" t="s">
        <v>214</v>
      </c>
      <c r="E427" s="22">
        <v>0.95271929366281805</v>
      </c>
      <c r="F427" s="9"/>
      <c r="G427" s="14" t="str">
        <f t="shared" si="16"/>
        <v>O</v>
      </c>
      <c r="H427" s="15"/>
      <c r="L427" s="35"/>
    </row>
    <row r="428" spans="1:12" x14ac:dyDescent="0.3">
      <c r="A428" s="19">
        <f>COUNTIFS($B$2:B428,B428)</f>
        <v>11</v>
      </c>
      <c r="B428" s="20" t="s">
        <v>117</v>
      </c>
      <c r="C428" s="21">
        <v>20060368076459</v>
      </c>
      <c r="D428" s="20" t="s">
        <v>527</v>
      </c>
      <c r="E428" s="22">
        <v>2.8483360326001779</v>
      </c>
      <c r="F428" s="9"/>
      <c r="G428" s="14" t="str">
        <f t="shared" si="16"/>
        <v>O</v>
      </c>
      <c r="H428" s="15"/>
      <c r="L428" s="35"/>
    </row>
    <row r="429" spans="1:12" x14ac:dyDescent="0.3">
      <c r="A429" s="19">
        <f>COUNTIFS($B$2:B429,B429)</f>
        <v>12</v>
      </c>
      <c r="B429" s="20" t="s">
        <v>117</v>
      </c>
      <c r="C429" s="21">
        <v>20060368076459</v>
      </c>
      <c r="D429" s="20" t="s">
        <v>248</v>
      </c>
      <c r="E429" s="22">
        <v>8.6203208556149615</v>
      </c>
      <c r="F429" s="9"/>
      <c r="G429" s="14" t="str">
        <f t="shared" si="16"/>
        <v>O</v>
      </c>
      <c r="H429" s="15"/>
      <c r="L429" s="35"/>
    </row>
    <row r="430" spans="1:12" x14ac:dyDescent="0.3">
      <c r="A430" s="19">
        <f>COUNTIFS($B$2:B430,B430)</f>
        <v>13</v>
      </c>
      <c r="B430" s="20" t="s">
        <v>117</v>
      </c>
      <c r="C430" s="21">
        <v>20060368076459</v>
      </c>
      <c r="D430" s="20" t="s">
        <v>528</v>
      </c>
      <c r="E430" s="22">
        <v>1.2085561497326187</v>
      </c>
      <c r="F430" s="9"/>
      <c r="G430" s="14" t="str">
        <f t="shared" si="16"/>
        <v>O</v>
      </c>
      <c r="H430" s="15"/>
      <c r="L430" s="35"/>
    </row>
    <row r="431" spans="1:12" x14ac:dyDescent="0.3">
      <c r="A431" s="19">
        <f>COUNTIFS($B$2:B431,B431)</f>
        <v>14</v>
      </c>
      <c r="B431" s="20" t="s">
        <v>117</v>
      </c>
      <c r="C431" s="21">
        <v>20060368076459</v>
      </c>
      <c r="D431" s="20" t="s">
        <v>529</v>
      </c>
      <c r="E431" s="22">
        <v>0.17112299465240616</v>
      </c>
      <c r="F431" s="9"/>
      <c r="G431" s="14" t="str">
        <f t="shared" si="16"/>
        <v>O</v>
      </c>
      <c r="H431" s="15"/>
      <c r="L431" s="35"/>
    </row>
    <row r="432" spans="1:12" x14ac:dyDescent="0.3">
      <c r="A432" s="19">
        <f>COUNTIFS($B$2:B432,B432)</f>
        <v>1</v>
      </c>
      <c r="B432" s="20" t="s">
        <v>530</v>
      </c>
      <c r="C432" s="21">
        <v>200603680764591</v>
      </c>
      <c r="D432" s="20" t="s">
        <v>206</v>
      </c>
      <c r="E432" s="22">
        <v>39.60660362572488</v>
      </c>
      <c r="F432" s="9"/>
      <c r="G432" s="14" t="str">
        <f t="shared" si="16"/>
        <v>O</v>
      </c>
      <c r="H432" s="15"/>
      <c r="L432" s="35"/>
    </row>
    <row r="433" spans="1:12" x14ac:dyDescent="0.3">
      <c r="A433" s="19">
        <f>COUNTIFS($B$2:B433,B433)</f>
        <v>2</v>
      </c>
      <c r="B433" s="20" t="s">
        <v>530</v>
      </c>
      <c r="C433" s="21">
        <v>200603680764591</v>
      </c>
      <c r="D433" s="20" t="s">
        <v>496</v>
      </c>
      <c r="E433" s="22">
        <v>1.5862285147066506</v>
      </c>
      <c r="F433" s="9"/>
      <c r="G433" s="14" t="str">
        <f t="shared" si="16"/>
        <v>O</v>
      </c>
      <c r="H433" s="15"/>
      <c r="L433" s="35"/>
    </row>
    <row r="434" spans="1:12" x14ac:dyDescent="0.3">
      <c r="A434" s="19">
        <f>COUNTIFS($B$2:B434,B434)</f>
        <v>3</v>
      </c>
      <c r="B434" s="20" t="s">
        <v>530</v>
      </c>
      <c r="C434" s="21">
        <v>200603680764591</v>
      </c>
      <c r="D434" s="20" t="s">
        <v>487</v>
      </c>
      <c r="E434" s="22">
        <v>7.1306619298887197</v>
      </c>
      <c r="F434" s="9"/>
      <c r="G434" s="14" t="str">
        <f t="shared" si="16"/>
        <v>O</v>
      </c>
      <c r="H434" s="15"/>
      <c r="L434" s="35"/>
    </row>
    <row r="435" spans="1:12" x14ac:dyDescent="0.3">
      <c r="A435" s="19">
        <f>COUNTIFS($B$2:B435,B435)</f>
        <v>4</v>
      </c>
      <c r="B435" s="20" t="s">
        <v>530</v>
      </c>
      <c r="C435" s="21">
        <v>200603680764591</v>
      </c>
      <c r="D435" s="20" t="s">
        <v>190</v>
      </c>
      <c r="E435" s="22">
        <v>0.79065879525625626</v>
      </c>
      <c r="F435" s="9"/>
      <c r="G435" s="14" t="str">
        <f t="shared" si="16"/>
        <v>O</v>
      </c>
      <c r="H435" s="15"/>
      <c r="L435" s="35"/>
    </row>
    <row r="436" spans="1:12" x14ac:dyDescent="0.3">
      <c r="A436" s="19">
        <f>COUNTIFS($B$2:B436,B436)</f>
        <v>5</v>
      </c>
      <c r="B436" s="20" t="s">
        <v>530</v>
      </c>
      <c r="C436" s="21">
        <v>200603680764591</v>
      </c>
      <c r="D436" s="20" t="s">
        <v>192</v>
      </c>
      <c r="E436" s="22">
        <v>0.39778485972519723</v>
      </c>
      <c r="F436" s="9"/>
      <c r="G436" s="14" t="str">
        <f t="shared" si="16"/>
        <v>O</v>
      </c>
      <c r="H436" s="15"/>
      <c r="L436" s="35"/>
    </row>
    <row r="437" spans="1:12" x14ac:dyDescent="0.3">
      <c r="A437" s="19">
        <f>COUNTIFS($B$2:B437,B437)</f>
        <v>6</v>
      </c>
      <c r="B437" s="20" t="s">
        <v>530</v>
      </c>
      <c r="C437" s="21">
        <v>200603680764591</v>
      </c>
      <c r="D437" s="20" t="s">
        <v>418</v>
      </c>
      <c r="E437" s="22">
        <v>0.38305208714278249</v>
      </c>
      <c r="F437" s="9"/>
      <c r="G437" s="14" t="str">
        <f t="shared" si="16"/>
        <v>O</v>
      </c>
      <c r="H437" s="15"/>
      <c r="L437" s="35"/>
    </row>
    <row r="438" spans="1:12" x14ac:dyDescent="0.3">
      <c r="A438" s="19">
        <f>COUNTIFS($B$2:B438,B438)</f>
        <v>7</v>
      </c>
      <c r="B438" s="20" t="s">
        <v>530</v>
      </c>
      <c r="C438" s="21">
        <v>200603680764591</v>
      </c>
      <c r="D438" s="20" t="s">
        <v>488</v>
      </c>
      <c r="E438" s="22">
        <v>15.842641450289955</v>
      </c>
      <c r="F438" s="9"/>
      <c r="G438" s="14" t="str">
        <f t="shared" si="16"/>
        <v>O</v>
      </c>
      <c r="H438" s="15"/>
      <c r="L438" s="35"/>
    </row>
    <row r="439" spans="1:12" x14ac:dyDescent="0.3">
      <c r="A439" s="19">
        <f>COUNTIFS($B$2:B439,B439)</f>
        <v>8</v>
      </c>
      <c r="B439" s="20" t="s">
        <v>530</v>
      </c>
      <c r="C439" s="21">
        <v>200603680764591</v>
      </c>
      <c r="D439" s="20" t="s">
        <v>490</v>
      </c>
      <c r="E439" s="22">
        <v>4.7537746199258137</v>
      </c>
      <c r="F439" s="9"/>
      <c r="G439" s="14" t="str">
        <f t="shared" si="16"/>
        <v>O</v>
      </c>
      <c r="H439" s="15"/>
      <c r="L439" s="35"/>
    </row>
    <row r="440" spans="1:12" x14ac:dyDescent="0.3">
      <c r="A440" s="19">
        <f>COUNTIFS($B$2:B440,B440)</f>
        <v>9</v>
      </c>
      <c r="B440" s="20" t="s">
        <v>530</v>
      </c>
      <c r="C440" s="21">
        <v>200603680764591</v>
      </c>
      <c r="D440" s="20" t="s">
        <v>54</v>
      </c>
      <c r="E440" s="22">
        <v>21.608066454208245</v>
      </c>
      <c r="F440" s="9"/>
      <c r="G440" s="14" t="str">
        <f t="shared" si="16"/>
        <v>O</v>
      </c>
      <c r="H440" s="15"/>
      <c r="L440" s="35"/>
    </row>
    <row r="441" spans="1:12" x14ac:dyDescent="0.3">
      <c r="A441" s="19">
        <f>COUNTIFS($B$2:B441,B441)</f>
        <v>10</v>
      </c>
      <c r="B441" s="20" t="s">
        <v>530</v>
      </c>
      <c r="C441" s="21">
        <v>200603680764591</v>
      </c>
      <c r="D441" s="20" t="s">
        <v>214</v>
      </c>
      <c r="E441" s="22">
        <v>0.47635964683140902</v>
      </c>
      <c r="F441" s="9"/>
      <c r="G441" s="14" t="str">
        <f t="shared" ref="G441:G504" si="17">IF(D441="","",IF(COUNTIF(I:I,D441)&gt;0,"O","X"))</f>
        <v>O</v>
      </c>
      <c r="H441" s="15"/>
      <c r="L441" s="35"/>
    </row>
    <row r="442" spans="1:12" x14ac:dyDescent="0.3">
      <c r="A442" s="19">
        <f>COUNTIFS($B$2:B442,B442)</f>
        <v>11</v>
      </c>
      <c r="B442" s="20" t="s">
        <v>530</v>
      </c>
      <c r="C442" s="21">
        <v>200603680764591</v>
      </c>
      <c r="D442" s="20" t="s">
        <v>527</v>
      </c>
      <c r="E442" s="22">
        <v>1.4241680163000889</v>
      </c>
      <c r="F442" s="9"/>
      <c r="G442" s="14" t="str">
        <f t="shared" si="17"/>
        <v>O</v>
      </c>
      <c r="H442" s="15"/>
      <c r="L442" s="35"/>
    </row>
    <row r="443" spans="1:12" x14ac:dyDescent="0.3">
      <c r="A443" s="19">
        <f>COUNTIFS($B$2:B443,B443)</f>
        <v>12</v>
      </c>
      <c r="B443" s="20" t="s">
        <v>530</v>
      </c>
      <c r="C443" s="21">
        <v>200603680764591</v>
      </c>
      <c r="D443" s="20" t="s">
        <v>248</v>
      </c>
      <c r="E443" s="22">
        <v>4.3101604278074808</v>
      </c>
      <c r="F443" s="9"/>
      <c r="G443" s="14" t="str">
        <f t="shared" si="17"/>
        <v>O</v>
      </c>
      <c r="H443" s="15"/>
      <c r="L443" s="35"/>
    </row>
    <row r="444" spans="1:12" x14ac:dyDescent="0.3">
      <c r="A444" s="19">
        <f>COUNTIFS($B$2:B444,B444)</f>
        <v>13</v>
      </c>
      <c r="B444" s="20" t="s">
        <v>530</v>
      </c>
      <c r="C444" s="21">
        <v>200603680764591</v>
      </c>
      <c r="D444" s="20" t="s">
        <v>528</v>
      </c>
      <c r="E444" s="22">
        <v>0.60427807486630936</v>
      </c>
      <c r="F444" s="9"/>
      <c r="G444" s="14" t="str">
        <f t="shared" si="17"/>
        <v>O</v>
      </c>
      <c r="H444" s="15"/>
      <c r="L444" s="35"/>
    </row>
    <row r="445" spans="1:12" x14ac:dyDescent="0.3">
      <c r="A445" s="19">
        <f>COUNTIFS($B$2:B445,B445)</f>
        <v>14</v>
      </c>
      <c r="B445" s="20" t="s">
        <v>530</v>
      </c>
      <c r="C445" s="21">
        <v>200603680764591</v>
      </c>
      <c r="D445" s="20" t="s">
        <v>529</v>
      </c>
      <c r="E445" s="22">
        <v>8.5561497326203079E-2</v>
      </c>
      <c r="F445" s="9"/>
      <c r="G445" s="14" t="str">
        <f t="shared" si="17"/>
        <v>O</v>
      </c>
      <c r="H445" s="15"/>
      <c r="L445" s="35"/>
    </row>
    <row r="446" spans="1:12" x14ac:dyDescent="0.3">
      <c r="A446" s="19">
        <f>COUNTIFS($B$2:B446,B446)</f>
        <v>1</v>
      </c>
      <c r="B446" s="20" t="s">
        <v>121</v>
      </c>
      <c r="C446" s="21">
        <v>20060368076460</v>
      </c>
      <c r="D446" s="20" t="s">
        <v>206</v>
      </c>
      <c r="E446" s="22">
        <v>80.356798457087748</v>
      </c>
      <c r="F446" s="9"/>
      <c r="G446" s="14" t="str">
        <f t="shared" si="17"/>
        <v>O</v>
      </c>
      <c r="H446" s="15"/>
      <c r="L446" s="35"/>
    </row>
    <row r="447" spans="1:12" x14ac:dyDescent="0.3">
      <c r="A447" s="19">
        <f>COUNTIFS($B$2:B447,B447)</f>
        <v>2</v>
      </c>
      <c r="B447" s="20" t="s">
        <v>121</v>
      </c>
      <c r="C447" s="21">
        <v>20060368076460</v>
      </c>
      <c r="D447" s="20" t="s">
        <v>487</v>
      </c>
      <c r="E447" s="22">
        <v>14.46480231436837</v>
      </c>
      <c r="F447" s="9"/>
      <c r="G447" s="14" t="str">
        <f t="shared" si="17"/>
        <v>O</v>
      </c>
      <c r="H447" s="15"/>
      <c r="L447" s="35"/>
    </row>
    <row r="448" spans="1:12" x14ac:dyDescent="0.3">
      <c r="A448" s="19">
        <f>COUNTIFS($B$2:B448,B448)</f>
        <v>3</v>
      </c>
      <c r="B448" s="20" t="s">
        <v>121</v>
      </c>
      <c r="C448" s="21">
        <v>20060368076460</v>
      </c>
      <c r="D448" s="20" t="s">
        <v>190</v>
      </c>
      <c r="E448" s="22">
        <v>1.6104146576663454</v>
      </c>
      <c r="F448" s="9"/>
      <c r="G448" s="14" t="str">
        <f t="shared" si="17"/>
        <v>O</v>
      </c>
      <c r="H448" s="15"/>
      <c r="L448" s="35"/>
    </row>
    <row r="449" spans="1:12" x14ac:dyDescent="0.3">
      <c r="A449" s="19">
        <f>COUNTIFS($B$2:B449,B449)</f>
        <v>4</v>
      </c>
      <c r="B449" s="20" t="s">
        <v>121</v>
      </c>
      <c r="C449" s="21">
        <v>20060368076460</v>
      </c>
      <c r="D449" s="20" t="s">
        <v>192</v>
      </c>
      <c r="E449" s="22">
        <v>0.80038572806171648</v>
      </c>
      <c r="F449" s="9"/>
      <c r="G449" s="14" t="str">
        <f t="shared" si="17"/>
        <v>O</v>
      </c>
      <c r="H449" s="15"/>
      <c r="L449" s="35"/>
    </row>
    <row r="450" spans="1:12" x14ac:dyDescent="0.3">
      <c r="A450" s="19">
        <f>COUNTIFS($B$2:B450,B450)</f>
        <v>5</v>
      </c>
      <c r="B450" s="20" t="s">
        <v>121</v>
      </c>
      <c r="C450" s="21">
        <v>20060368076460</v>
      </c>
      <c r="D450" s="20" t="s">
        <v>418</v>
      </c>
      <c r="E450" s="22">
        <v>0.80038572806171648</v>
      </c>
      <c r="F450" s="9"/>
      <c r="G450" s="14" t="str">
        <f t="shared" si="17"/>
        <v>O</v>
      </c>
      <c r="H450" s="15"/>
      <c r="L450" s="35"/>
    </row>
    <row r="451" spans="1:12" x14ac:dyDescent="0.3">
      <c r="A451" s="19">
        <f>COUNTIFS($B$2:B451,B451)</f>
        <v>6</v>
      </c>
      <c r="B451" s="20" t="s">
        <v>121</v>
      </c>
      <c r="C451" s="21">
        <v>20060368076460</v>
      </c>
      <c r="D451" s="20" t="s">
        <v>488</v>
      </c>
      <c r="E451" s="22">
        <v>32.140790742526519</v>
      </c>
      <c r="F451" s="9"/>
      <c r="G451" s="14" t="str">
        <f t="shared" si="17"/>
        <v>O</v>
      </c>
      <c r="H451" s="15"/>
      <c r="L451" s="35"/>
    </row>
    <row r="452" spans="1:12" x14ac:dyDescent="0.3">
      <c r="A452" s="19">
        <f>COUNTIFS($B$2:B452,B452)</f>
        <v>7</v>
      </c>
      <c r="B452" s="20" t="s">
        <v>121</v>
      </c>
      <c r="C452" s="21">
        <v>20060368076460</v>
      </c>
      <c r="D452" s="20" t="s">
        <v>490</v>
      </c>
      <c r="E452" s="22">
        <v>9.6432015429122462</v>
      </c>
      <c r="F452" s="9"/>
      <c r="G452" s="14" t="str">
        <f t="shared" si="17"/>
        <v>O</v>
      </c>
      <c r="H452" s="15"/>
      <c r="L452" s="35"/>
    </row>
    <row r="453" spans="1:12" x14ac:dyDescent="0.3">
      <c r="A453" s="19">
        <f>COUNTIFS($B$2:B453,B453)</f>
        <v>8</v>
      </c>
      <c r="B453" s="20" t="s">
        <v>121</v>
      </c>
      <c r="C453" s="21">
        <v>20060368076460</v>
      </c>
      <c r="D453" s="20" t="s">
        <v>54</v>
      </c>
      <c r="E453" s="22">
        <v>38.572806171648985</v>
      </c>
      <c r="F453" s="9"/>
      <c r="G453" s="14" t="str">
        <f t="shared" si="17"/>
        <v>O</v>
      </c>
      <c r="H453" s="15"/>
      <c r="L453" s="35"/>
    </row>
    <row r="454" spans="1:12" x14ac:dyDescent="0.3">
      <c r="A454" s="19">
        <f>COUNTIFS($B$2:B454,B454)</f>
        <v>9</v>
      </c>
      <c r="B454" s="20" t="s">
        <v>121</v>
      </c>
      <c r="C454" s="21">
        <v>20060368076460</v>
      </c>
      <c r="D454" s="20" t="s">
        <v>214</v>
      </c>
      <c r="E454" s="22">
        <v>1.6104146576663454</v>
      </c>
      <c r="F454" s="9"/>
      <c r="G454" s="14" t="str">
        <f t="shared" si="17"/>
        <v>O</v>
      </c>
      <c r="H454" s="15"/>
      <c r="L454" s="35"/>
    </row>
    <row r="455" spans="1:12" x14ac:dyDescent="0.3">
      <c r="A455" s="19">
        <f>COUNTIFS($B$2:B455,B455)</f>
        <v>10</v>
      </c>
      <c r="B455" s="20" t="s">
        <v>121</v>
      </c>
      <c r="C455" s="21">
        <v>20060368076460</v>
      </c>
      <c r="D455" s="20" t="s">
        <v>531</v>
      </c>
      <c r="E455" s="22">
        <v>2.4536532170119956</v>
      </c>
      <c r="F455" s="9"/>
      <c r="G455" s="14" t="str">
        <f t="shared" si="17"/>
        <v>O</v>
      </c>
      <c r="H455" s="15"/>
      <c r="L455" s="35"/>
    </row>
    <row r="456" spans="1:12" x14ac:dyDescent="0.3">
      <c r="A456" s="19">
        <f>COUNTIFS($B$2:B456,B456)</f>
        <v>11</v>
      </c>
      <c r="B456" s="20" t="s">
        <v>121</v>
      </c>
      <c r="C456" s="21">
        <v>20060368076460</v>
      </c>
      <c r="D456" s="20" t="s">
        <v>157</v>
      </c>
      <c r="E456" s="22">
        <v>7.5463467829880049</v>
      </c>
      <c r="F456" s="9"/>
      <c r="G456" s="14" t="str">
        <f t="shared" si="17"/>
        <v>O</v>
      </c>
      <c r="H456" s="15"/>
      <c r="L456" s="35"/>
    </row>
    <row r="457" spans="1:12" x14ac:dyDescent="0.3">
      <c r="A457" s="19">
        <f>COUNTIFS($B$2:B457,B457)</f>
        <v>1</v>
      </c>
      <c r="B457" s="20" t="s">
        <v>532</v>
      </c>
      <c r="C457" s="21">
        <v>200603680764601</v>
      </c>
      <c r="D457" s="20" t="s">
        <v>206</v>
      </c>
      <c r="E457" s="22">
        <v>40.178399228543874</v>
      </c>
      <c r="F457" s="9"/>
      <c r="G457" s="14" t="str">
        <f t="shared" si="17"/>
        <v>O</v>
      </c>
      <c r="H457" s="15"/>
      <c r="L457" s="35"/>
    </row>
    <row r="458" spans="1:12" x14ac:dyDescent="0.3">
      <c r="A458" s="19">
        <f>COUNTIFS($B$2:B458,B458)</f>
        <v>2</v>
      </c>
      <c r="B458" s="20" t="s">
        <v>532</v>
      </c>
      <c r="C458" s="21">
        <v>200603680764601</v>
      </c>
      <c r="D458" s="20" t="s">
        <v>487</v>
      </c>
      <c r="E458" s="22">
        <v>7.2324011571841851</v>
      </c>
      <c r="F458" s="9"/>
      <c r="G458" s="14" t="str">
        <f t="shared" si="17"/>
        <v>O</v>
      </c>
      <c r="H458" s="15"/>
      <c r="L458" s="35"/>
    </row>
    <row r="459" spans="1:12" x14ac:dyDescent="0.3">
      <c r="A459" s="19">
        <f>COUNTIFS($B$2:B459,B459)</f>
        <v>3</v>
      </c>
      <c r="B459" s="20" t="s">
        <v>532</v>
      </c>
      <c r="C459" s="21">
        <v>200603680764601</v>
      </c>
      <c r="D459" s="20" t="s">
        <v>190</v>
      </c>
      <c r="E459" s="22">
        <v>0.8052073288331727</v>
      </c>
      <c r="F459" s="9"/>
      <c r="G459" s="14" t="str">
        <f t="shared" si="17"/>
        <v>O</v>
      </c>
      <c r="H459" s="15"/>
      <c r="L459" s="35"/>
    </row>
    <row r="460" spans="1:12" x14ac:dyDescent="0.3">
      <c r="A460" s="19">
        <f>COUNTIFS($B$2:B460,B460)</f>
        <v>4</v>
      </c>
      <c r="B460" s="20" t="s">
        <v>532</v>
      </c>
      <c r="C460" s="21">
        <v>200603680764601</v>
      </c>
      <c r="D460" s="20" t="s">
        <v>192</v>
      </c>
      <c r="E460" s="22">
        <v>0.40019286403085824</v>
      </c>
      <c r="F460" s="9"/>
      <c r="G460" s="14" t="str">
        <f t="shared" si="17"/>
        <v>O</v>
      </c>
      <c r="H460" s="15"/>
      <c r="L460" s="35"/>
    </row>
    <row r="461" spans="1:12" x14ac:dyDescent="0.3">
      <c r="A461" s="19">
        <f>COUNTIFS($B$2:B461,B461)</f>
        <v>5</v>
      </c>
      <c r="B461" s="20" t="s">
        <v>532</v>
      </c>
      <c r="C461" s="21">
        <v>200603680764601</v>
      </c>
      <c r="D461" s="20" t="s">
        <v>418</v>
      </c>
      <c r="E461" s="22">
        <v>0.40019286403085824</v>
      </c>
      <c r="F461" s="9"/>
      <c r="G461" s="14" t="str">
        <f t="shared" si="17"/>
        <v>O</v>
      </c>
      <c r="H461" s="15"/>
      <c r="L461" s="35"/>
    </row>
    <row r="462" spans="1:12" x14ac:dyDescent="0.3">
      <c r="A462" s="19">
        <f>COUNTIFS($B$2:B462,B462)</f>
        <v>6</v>
      </c>
      <c r="B462" s="20" t="s">
        <v>532</v>
      </c>
      <c r="C462" s="21">
        <v>200603680764601</v>
      </c>
      <c r="D462" s="20" t="s">
        <v>488</v>
      </c>
      <c r="E462" s="22">
        <v>16.07039537126326</v>
      </c>
      <c r="F462" s="9"/>
      <c r="G462" s="14" t="str">
        <f t="shared" si="17"/>
        <v>O</v>
      </c>
      <c r="H462" s="15"/>
      <c r="L462" s="35"/>
    </row>
    <row r="463" spans="1:12" x14ac:dyDescent="0.3">
      <c r="A463" s="19">
        <f>COUNTIFS($B$2:B463,B463)</f>
        <v>7</v>
      </c>
      <c r="B463" s="20" t="s">
        <v>532</v>
      </c>
      <c r="C463" s="21">
        <v>200603680764601</v>
      </c>
      <c r="D463" s="20" t="s">
        <v>490</v>
      </c>
      <c r="E463" s="22">
        <v>4.8216007714561231</v>
      </c>
      <c r="F463" s="9"/>
      <c r="G463" s="14" t="str">
        <f t="shared" si="17"/>
        <v>O</v>
      </c>
      <c r="H463" s="15"/>
      <c r="L463" s="35"/>
    </row>
    <row r="464" spans="1:12" x14ac:dyDescent="0.3">
      <c r="A464" s="19">
        <f>COUNTIFS($B$2:B464,B464)</f>
        <v>8</v>
      </c>
      <c r="B464" s="20" t="s">
        <v>532</v>
      </c>
      <c r="C464" s="21">
        <v>200603680764601</v>
      </c>
      <c r="D464" s="20" t="s">
        <v>54</v>
      </c>
      <c r="E464" s="22">
        <v>19.286403085824492</v>
      </c>
      <c r="F464" s="9"/>
      <c r="G464" s="14" t="str">
        <f t="shared" si="17"/>
        <v>O</v>
      </c>
      <c r="H464" s="15"/>
      <c r="L464" s="35"/>
    </row>
    <row r="465" spans="1:12" x14ac:dyDescent="0.3">
      <c r="A465" s="19">
        <f>COUNTIFS($B$2:B465,B465)</f>
        <v>9</v>
      </c>
      <c r="B465" s="20" t="s">
        <v>532</v>
      </c>
      <c r="C465" s="21">
        <v>200603680764601</v>
      </c>
      <c r="D465" s="20" t="s">
        <v>214</v>
      </c>
      <c r="E465" s="22">
        <v>0.8052073288331727</v>
      </c>
      <c r="F465" s="9"/>
      <c r="G465" s="14" t="str">
        <f t="shared" si="17"/>
        <v>O</v>
      </c>
      <c r="H465" s="15"/>
      <c r="L465" s="35"/>
    </row>
    <row r="466" spans="1:12" x14ac:dyDescent="0.3">
      <c r="A466" s="19">
        <f>COUNTIFS($B$2:B466,B466)</f>
        <v>10</v>
      </c>
      <c r="B466" s="20" t="s">
        <v>532</v>
      </c>
      <c r="C466" s="21">
        <v>200603680764601</v>
      </c>
      <c r="D466" s="20" t="s">
        <v>531</v>
      </c>
      <c r="E466" s="22">
        <v>1.2268266085059978</v>
      </c>
      <c r="F466" s="9"/>
      <c r="G466" s="14" t="str">
        <f t="shared" si="17"/>
        <v>O</v>
      </c>
      <c r="H466" s="15"/>
      <c r="L466" s="35"/>
    </row>
    <row r="467" spans="1:12" x14ac:dyDescent="0.3">
      <c r="A467" s="19">
        <f>COUNTIFS($B$2:B467,B467)</f>
        <v>11</v>
      </c>
      <c r="B467" s="20" t="s">
        <v>532</v>
      </c>
      <c r="C467" s="21">
        <v>200603680764601</v>
      </c>
      <c r="D467" s="20" t="s">
        <v>157</v>
      </c>
      <c r="E467" s="22">
        <v>3.7731733914940024</v>
      </c>
      <c r="F467" s="9"/>
      <c r="G467" s="14" t="str">
        <f t="shared" si="17"/>
        <v>O</v>
      </c>
      <c r="H467" s="15"/>
      <c r="L467" s="35"/>
    </row>
    <row r="468" spans="1:12" x14ac:dyDescent="0.3">
      <c r="A468" s="23">
        <f>COUNTIFS($B$2:B468,B468)</f>
        <v>1</v>
      </c>
      <c r="B468" s="20" t="s">
        <v>125</v>
      </c>
      <c r="C468" s="25">
        <v>20060368076461</v>
      </c>
      <c r="D468" s="20" t="s">
        <v>210</v>
      </c>
      <c r="E468" s="22">
        <v>76.55</v>
      </c>
      <c r="F468" s="9"/>
      <c r="G468" s="14" t="str">
        <f t="shared" si="17"/>
        <v>O</v>
      </c>
      <c r="H468" s="15"/>
      <c r="L468" s="35"/>
    </row>
    <row r="469" spans="1:12" x14ac:dyDescent="0.3">
      <c r="A469" s="19">
        <f>COUNTIFS($B$2:B469,B469)</f>
        <v>2</v>
      </c>
      <c r="B469" s="20" t="s">
        <v>125</v>
      </c>
      <c r="C469" s="25">
        <v>20060368076461</v>
      </c>
      <c r="D469" s="20" t="s">
        <v>157</v>
      </c>
      <c r="E469" s="22">
        <v>30.66</v>
      </c>
      <c r="F469" s="9"/>
      <c r="G469" s="14" t="str">
        <f t="shared" si="17"/>
        <v>O</v>
      </c>
      <c r="H469" s="15"/>
      <c r="L469" s="35"/>
    </row>
    <row r="470" spans="1:12" x14ac:dyDescent="0.3">
      <c r="A470" s="19">
        <f>COUNTIFS($B$2:B470,B470)</f>
        <v>3</v>
      </c>
      <c r="B470" s="20" t="s">
        <v>125</v>
      </c>
      <c r="C470" s="25">
        <v>20060368076461</v>
      </c>
      <c r="D470" s="20" t="s">
        <v>11</v>
      </c>
      <c r="E470" s="22">
        <v>12.54</v>
      </c>
      <c r="F470" s="9"/>
      <c r="G470" s="14" t="str">
        <f t="shared" si="17"/>
        <v>O</v>
      </c>
      <c r="H470" s="15"/>
      <c r="L470" s="35"/>
    </row>
    <row r="471" spans="1:12" x14ac:dyDescent="0.3">
      <c r="A471" s="19">
        <f>COUNTIFS($B$2:B471,B471)</f>
        <v>4</v>
      </c>
      <c r="B471" s="20" t="s">
        <v>125</v>
      </c>
      <c r="C471" s="25">
        <v>20060368076461</v>
      </c>
      <c r="D471" s="20" t="s">
        <v>206</v>
      </c>
      <c r="E471" s="22">
        <v>83.62</v>
      </c>
      <c r="F471" s="9"/>
      <c r="G471" s="14" t="str">
        <f t="shared" si="17"/>
        <v>O</v>
      </c>
      <c r="H471" s="15"/>
      <c r="L471" s="35"/>
    </row>
    <row r="472" spans="1:12" x14ac:dyDescent="0.3">
      <c r="A472" s="19">
        <f>COUNTIFS($B$2:B472,B472)</f>
        <v>5</v>
      </c>
      <c r="B472" s="20" t="s">
        <v>125</v>
      </c>
      <c r="C472" s="25">
        <v>20060368076461</v>
      </c>
      <c r="D472" s="20" t="s">
        <v>222</v>
      </c>
      <c r="E472" s="22">
        <v>0.56000000000000005</v>
      </c>
      <c r="F472" s="9"/>
      <c r="G472" s="14" t="str">
        <f t="shared" si="17"/>
        <v>O</v>
      </c>
      <c r="H472" s="15"/>
      <c r="L472" s="35"/>
    </row>
    <row r="473" spans="1:12" x14ac:dyDescent="0.3">
      <c r="A473" s="19">
        <f>COUNTIFS($B$2:B473,B473)</f>
        <v>6</v>
      </c>
      <c r="B473" s="20" t="s">
        <v>125</v>
      </c>
      <c r="C473" s="25">
        <v>20060368076461</v>
      </c>
      <c r="D473" s="20" t="s">
        <v>185</v>
      </c>
      <c r="E473" s="22">
        <v>8.36</v>
      </c>
      <c r="F473" s="9"/>
      <c r="G473" s="14" t="str">
        <f t="shared" si="17"/>
        <v>O</v>
      </c>
      <c r="H473" s="15"/>
      <c r="L473" s="35"/>
    </row>
    <row r="474" spans="1:12" x14ac:dyDescent="0.3">
      <c r="A474" s="23"/>
      <c r="B474" s="20"/>
      <c r="C474" s="25"/>
      <c r="D474" s="20"/>
      <c r="E474" s="22"/>
      <c r="F474" s="9"/>
      <c r="G474" s="14" t="str">
        <f t="shared" si="17"/>
        <v/>
      </c>
      <c r="H474" s="15"/>
      <c r="L474" s="35"/>
    </row>
    <row r="475" spans="1:12" x14ac:dyDescent="0.3">
      <c r="A475" s="19"/>
      <c r="B475" s="20"/>
      <c r="C475" s="25"/>
      <c r="D475" s="20"/>
      <c r="E475" s="22"/>
      <c r="F475" s="9"/>
      <c r="G475" s="14" t="str">
        <f t="shared" si="17"/>
        <v/>
      </c>
      <c r="H475" s="15"/>
      <c r="L475" s="35"/>
    </row>
    <row r="476" spans="1:12" x14ac:dyDescent="0.3">
      <c r="A476" s="19"/>
      <c r="B476" s="20"/>
      <c r="C476" s="25"/>
      <c r="D476" s="20"/>
      <c r="E476" s="22"/>
      <c r="F476" s="9"/>
      <c r="G476" s="14" t="str">
        <f t="shared" si="17"/>
        <v/>
      </c>
      <c r="H476" s="15"/>
      <c r="L476" s="35"/>
    </row>
    <row r="477" spans="1:12" x14ac:dyDescent="0.3">
      <c r="A477" s="19"/>
      <c r="B477" s="20"/>
      <c r="C477" s="25"/>
      <c r="D477" s="20"/>
      <c r="E477" s="22"/>
      <c r="F477" s="9"/>
      <c r="G477" s="14" t="str">
        <f t="shared" si="17"/>
        <v/>
      </c>
      <c r="H477" s="15"/>
      <c r="L477" s="35"/>
    </row>
    <row r="478" spans="1:12" x14ac:dyDescent="0.3">
      <c r="A478" s="19"/>
      <c r="B478" s="20"/>
      <c r="C478" s="25"/>
      <c r="D478" s="20"/>
      <c r="E478" s="22"/>
      <c r="F478" s="9"/>
      <c r="G478" s="14" t="str">
        <f t="shared" si="17"/>
        <v/>
      </c>
      <c r="H478" s="15"/>
      <c r="L478" s="35"/>
    </row>
    <row r="479" spans="1:12" x14ac:dyDescent="0.3">
      <c r="A479" s="19"/>
      <c r="B479" s="20"/>
      <c r="C479" s="25"/>
      <c r="D479" s="20"/>
      <c r="E479" s="22"/>
      <c r="F479" s="9"/>
      <c r="G479" s="14" t="str">
        <f t="shared" si="17"/>
        <v/>
      </c>
      <c r="H479" s="15"/>
      <c r="L479" s="35"/>
    </row>
    <row r="480" spans="1:12" x14ac:dyDescent="0.3">
      <c r="A480" s="23">
        <f>COUNTIFS($B$2:B480,B480)</f>
        <v>1</v>
      </c>
      <c r="B480" s="20" t="s">
        <v>129</v>
      </c>
      <c r="C480" s="25">
        <v>20060368076463</v>
      </c>
      <c r="D480" s="20" t="s">
        <v>206</v>
      </c>
      <c r="E480" s="22">
        <v>90.876777251184819</v>
      </c>
      <c r="F480" s="9"/>
      <c r="G480" s="14" t="str">
        <f t="shared" si="17"/>
        <v>O</v>
      </c>
      <c r="H480" s="15"/>
      <c r="L480" s="35"/>
    </row>
    <row r="481" spans="1:12" x14ac:dyDescent="0.3">
      <c r="A481" s="19">
        <f>COUNTIFS($B$2:B481,B481)</f>
        <v>2</v>
      </c>
      <c r="B481" s="20" t="s">
        <v>129</v>
      </c>
      <c r="C481" s="25">
        <v>20060368076463</v>
      </c>
      <c r="D481" s="20" t="s">
        <v>222</v>
      </c>
      <c r="E481" s="22">
        <v>1.286255924170616</v>
      </c>
      <c r="F481" s="9"/>
      <c r="G481" s="14" t="str">
        <f t="shared" si="17"/>
        <v>O</v>
      </c>
      <c r="H481" s="15"/>
      <c r="L481" s="35"/>
    </row>
    <row r="482" spans="1:12" x14ac:dyDescent="0.3">
      <c r="A482" s="19">
        <f>COUNTIFS($B$2:B482,B482)</f>
        <v>3</v>
      </c>
      <c r="B482" s="20" t="s">
        <v>129</v>
      </c>
      <c r="C482" s="25">
        <v>20060368076463</v>
      </c>
      <c r="D482" s="20" t="s">
        <v>210</v>
      </c>
      <c r="E482" s="22">
        <v>76.895734597156391</v>
      </c>
      <c r="F482" s="9"/>
      <c r="G482" s="14" t="str">
        <f t="shared" si="17"/>
        <v>O</v>
      </c>
      <c r="H482" s="15"/>
      <c r="L482" s="35"/>
    </row>
    <row r="483" spans="1:12" x14ac:dyDescent="0.3">
      <c r="A483" s="19">
        <f>COUNTIFS($B$2:B483,B483)</f>
        <v>4</v>
      </c>
      <c r="B483" s="20" t="s">
        <v>129</v>
      </c>
      <c r="C483" s="25">
        <v>20060368076463</v>
      </c>
      <c r="D483" s="20" t="s">
        <v>213</v>
      </c>
      <c r="E483" s="22">
        <v>30.758293838862556</v>
      </c>
      <c r="F483" s="9"/>
      <c r="G483" s="14" t="str">
        <f t="shared" si="17"/>
        <v>O</v>
      </c>
      <c r="H483" s="15"/>
      <c r="L483" s="35"/>
    </row>
    <row r="484" spans="1:12" x14ac:dyDescent="0.3">
      <c r="A484" s="19">
        <f>COUNTIFS($B$2:B484,B484)</f>
        <v>5</v>
      </c>
      <c r="B484" s="20" t="s">
        <v>129</v>
      </c>
      <c r="C484" s="25">
        <v>20060368076463</v>
      </c>
      <c r="D484" s="20" t="s">
        <v>11</v>
      </c>
      <c r="E484" s="22">
        <v>12.582938388625591</v>
      </c>
      <c r="F484" s="9"/>
      <c r="G484" s="14" t="str">
        <f t="shared" si="17"/>
        <v>O</v>
      </c>
      <c r="H484" s="15"/>
      <c r="L484" s="35"/>
    </row>
    <row r="485" spans="1:12" x14ac:dyDescent="0.3">
      <c r="A485" s="23">
        <f>COUNTIFS($B$2:B485,B485)</f>
        <v>1</v>
      </c>
      <c r="B485" s="20" t="s">
        <v>533</v>
      </c>
      <c r="C485" s="21">
        <v>200603680764631</v>
      </c>
      <c r="D485" s="20" t="s">
        <v>206</v>
      </c>
      <c r="E485" s="22">
        <v>50.487098472880454</v>
      </c>
      <c r="F485" s="9"/>
      <c r="G485" s="14" t="str">
        <f t="shared" si="17"/>
        <v>O</v>
      </c>
      <c r="H485" s="15"/>
      <c r="L485" s="35"/>
    </row>
    <row r="486" spans="1:12" x14ac:dyDescent="0.3">
      <c r="A486" s="19">
        <f>COUNTIFS($B$2:B486,B486)</f>
        <v>2</v>
      </c>
      <c r="B486" s="20" t="s">
        <v>533</v>
      </c>
      <c r="C486" s="21">
        <v>200603680764631</v>
      </c>
      <c r="D486" s="20" t="s">
        <v>222</v>
      </c>
      <c r="E486" s="22">
        <v>0.71458662453923105</v>
      </c>
      <c r="F486" s="9"/>
      <c r="G486" s="14" t="str">
        <f t="shared" si="17"/>
        <v>O</v>
      </c>
      <c r="H486" s="15"/>
      <c r="L486" s="35"/>
    </row>
    <row r="487" spans="1:12" x14ac:dyDescent="0.3">
      <c r="A487" s="19">
        <f>COUNTIFS($B$2:B487,B487)</f>
        <v>3</v>
      </c>
      <c r="B487" s="20" t="s">
        <v>533</v>
      </c>
      <c r="C487" s="21">
        <v>200603680764631</v>
      </c>
      <c r="D487" s="20" t="s">
        <v>210</v>
      </c>
      <c r="E487" s="22">
        <v>42.71985255397577</v>
      </c>
      <c r="F487" s="9"/>
      <c r="G487" s="14" t="str">
        <f t="shared" si="17"/>
        <v>O</v>
      </c>
      <c r="H487" s="15"/>
      <c r="L487" s="35"/>
    </row>
    <row r="488" spans="1:12" x14ac:dyDescent="0.3">
      <c r="A488" s="19">
        <f>COUNTIFS($B$2:B488,B488)</f>
        <v>4</v>
      </c>
      <c r="B488" s="20" t="s">
        <v>533</v>
      </c>
      <c r="C488" s="21">
        <v>200603680764631</v>
      </c>
      <c r="D488" s="20" t="s">
        <v>213</v>
      </c>
      <c r="E488" s="22">
        <v>17.087941021590311</v>
      </c>
      <c r="F488" s="9"/>
      <c r="G488" s="14" t="str">
        <f t="shared" si="17"/>
        <v>O</v>
      </c>
      <c r="H488" s="15"/>
      <c r="L488" s="35"/>
    </row>
    <row r="489" spans="1:12" x14ac:dyDescent="0.3">
      <c r="A489" s="19">
        <f>COUNTIFS($B$2:B489,B489)</f>
        <v>5</v>
      </c>
      <c r="B489" s="20" t="s">
        <v>533</v>
      </c>
      <c r="C489" s="21">
        <v>200603680764631</v>
      </c>
      <c r="D489" s="20" t="s">
        <v>11</v>
      </c>
      <c r="E489" s="22">
        <v>6.9905213270142168</v>
      </c>
      <c r="F489" s="9"/>
      <c r="G489" s="14" t="str">
        <f t="shared" si="17"/>
        <v>O</v>
      </c>
      <c r="H489" s="15"/>
      <c r="L489" s="35"/>
    </row>
    <row r="490" spans="1:12" x14ac:dyDescent="0.3">
      <c r="A490" s="23">
        <f>COUNTIFS($B$2:B490,B490)</f>
        <v>1</v>
      </c>
      <c r="B490" s="20" t="s">
        <v>133</v>
      </c>
      <c r="C490" s="25">
        <v>20060368076464</v>
      </c>
      <c r="D490" s="20" t="s">
        <v>210</v>
      </c>
      <c r="E490" s="22">
        <v>75.173745173745175</v>
      </c>
      <c r="F490" s="9"/>
      <c r="G490" s="14" t="str">
        <f t="shared" si="17"/>
        <v>O</v>
      </c>
      <c r="H490" s="15"/>
      <c r="L490" s="35"/>
    </row>
    <row r="491" spans="1:12" x14ac:dyDescent="0.3">
      <c r="A491" s="19">
        <f>COUNTIFS($B$2:B491,B491)</f>
        <v>2</v>
      </c>
      <c r="B491" s="20" t="s">
        <v>133</v>
      </c>
      <c r="C491" s="25">
        <v>20060368076464</v>
      </c>
      <c r="D491" s="20" t="s">
        <v>11</v>
      </c>
      <c r="E491" s="22">
        <v>12.574517374517374</v>
      </c>
      <c r="F491" s="9"/>
      <c r="G491" s="14" t="str">
        <f t="shared" si="17"/>
        <v>O</v>
      </c>
      <c r="H491" s="15"/>
      <c r="L491" s="35"/>
    </row>
    <row r="492" spans="1:12" x14ac:dyDescent="0.3">
      <c r="A492" s="19">
        <f>COUNTIFS($B$2:B492,B492)</f>
        <v>3</v>
      </c>
      <c r="B492" s="20" t="s">
        <v>133</v>
      </c>
      <c r="C492" s="25">
        <v>20060368076464</v>
      </c>
      <c r="D492" s="20" t="s">
        <v>213</v>
      </c>
      <c r="E492" s="22">
        <v>30.069498069498067</v>
      </c>
      <c r="F492" s="9"/>
      <c r="G492" s="14" t="str">
        <f t="shared" si="17"/>
        <v>O</v>
      </c>
      <c r="H492" s="15"/>
      <c r="L492" s="35"/>
    </row>
    <row r="493" spans="1:12" x14ac:dyDescent="0.3">
      <c r="A493" s="19">
        <f>COUNTIFS($B$2:B493,B493)</f>
        <v>4</v>
      </c>
      <c r="B493" s="20" t="s">
        <v>133</v>
      </c>
      <c r="C493" s="25">
        <v>20060368076464</v>
      </c>
      <c r="D493" s="20" t="s">
        <v>206</v>
      </c>
      <c r="E493" s="22">
        <v>88.568339768339769</v>
      </c>
      <c r="F493" s="9"/>
      <c r="G493" s="14" t="str">
        <f t="shared" si="17"/>
        <v>O</v>
      </c>
      <c r="H493" s="15"/>
      <c r="L493" s="35"/>
    </row>
    <row r="494" spans="1:12" x14ac:dyDescent="0.3">
      <c r="A494" s="19">
        <f>COUNTIFS($B$2:B494,B494)</f>
        <v>5</v>
      </c>
      <c r="B494" s="20" t="s">
        <v>133</v>
      </c>
      <c r="C494" s="25">
        <v>20060368076464</v>
      </c>
      <c r="D494" s="20" t="s">
        <v>222</v>
      </c>
      <c r="E494" s="22">
        <v>0.54671814671814678</v>
      </c>
      <c r="F494" s="9"/>
      <c r="G494" s="14" t="str">
        <f t="shared" si="17"/>
        <v>O</v>
      </c>
      <c r="H494" s="15"/>
      <c r="L494" s="35"/>
    </row>
    <row r="495" spans="1:12" x14ac:dyDescent="0.3">
      <c r="A495" s="19">
        <f>COUNTIFS($B$2:B495,B495)</f>
        <v>6</v>
      </c>
      <c r="B495" s="20" t="s">
        <v>133</v>
      </c>
      <c r="C495" s="25">
        <v>20060368076464</v>
      </c>
      <c r="D495" s="20" t="s">
        <v>102</v>
      </c>
      <c r="E495" s="22">
        <v>5.4671814671814678</v>
      </c>
      <c r="F495" s="9"/>
      <c r="G495" s="14" t="str">
        <f t="shared" si="17"/>
        <v>O</v>
      </c>
      <c r="H495" s="15"/>
      <c r="L495" s="35"/>
    </row>
    <row r="496" spans="1:12" x14ac:dyDescent="0.3">
      <c r="A496" s="23">
        <f>COUNTIFS($B$2:B496,B496)</f>
        <v>1</v>
      </c>
      <c r="B496" s="20" t="s">
        <v>534</v>
      </c>
      <c r="C496" s="21">
        <v>200603680764641</v>
      </c>
      <c r="D496" s="20" t="s">
        <v>210</v>
      </c>
      <c r="E496" s="22">
        <v>41.763191763191763</v>
      </c>
      <c r="F496" s="9"/>
      <c r="G496" s="14" t="str">
        <f t="shared" si="17"/>
        <v>O</v>
      </c>
      <c r="H496" s="15"/>
      <c r="L496" s="35"/>
    </row>
    <row r="497" spans="1:12" x14ac:dyDescent="0.3">
      <c r="A497" s="19">
        <f>COUNTIFS($B$2:B497,B497)</f>
        <v>2</v>
      </c>
      <c r="B497" s="20" t="s">
        <v>534</v>
      </c>
      <c r="C497" s="21">
        <v>200603680764641</v>
      </c>
      <c r="D497" s="20" t="s">
        <v>11</v>
      </c>
      <c r="E497" s="22">
        <v>6.9858429858429858</v>
      </c>
      <c r="F497" s="9"/>
      <c r="G497" s="14" t="str">
        <f t="shared" si="17"/>
        <v>O</v>
      </c>
      <c r="H497" s="15"/>
      <c r="L497" s="35"/>
    </row>
    <row r="498" spans="1:12" x14ac:dyDescent="0.3">
      <c r="A498" s="19">
        <f>COUNTIFS($B$2:B498,B498)</f>
        <v>3</v>
      </c>
      <c r="B498" s="20" t="s">
        <v>534</v>
      </c>
      <c r="C498" s="21">
        <v>200603680764641</v>
      </c>
      <c r="D498" s="20" t="s">
        <v>213</v>
      </c>
      <c r="E498" s="22">
        <v>16.705276705276706</v>
      </c>
      <c r="F498" s="9"/>
      <c r="G498" s="14" t="str">
        <f t="shared" si="17"/>
        <v>O</v>
      </c>
      <c r="H498" s="15"/>
      <c r="L498" s="35"/>
    </row>
    <row r="499" spans="1:12" x14ac:dyDescent="0.3">
      <c r="A499" s="19">
        <f>COUNTIFS($B$2:B499,B499)</f>
        <v>4</v>
      </c>
      <c r="B499" s="20" t="s">
        <v>534</v>
      </c>
      <c r="C499" s="21">
        <v>200603680764641</v>
      </c>
      <c r="D499" s="20" t="s">
        <v>206</v>
      </c>
      <c r="E499" s="22">
        <v>49.204633204633211</v>
      </c>
      <c r="F499" s="9"/>
      <c r="G499" s="14" t="str">
        <f t="shared" si="17"/>
        <v>O</v>
      </c>
      <c r="H499" s="15"/>
      <c r="L499" s="35"/>
    </row>
    <row r="500" spans="1:12" x14ac:dyDescent="0.3">
      <c r="A500" s="19">
        <f>COUNTIFS($B$2:B500,B500)</f>
        <v>5</v>
      </c>
      <c r="B500" s="20" t="s">
        <v>534</v>
      </c>
      <c r="C500" s="21">
        <v>200603680764641</v>
      </c>
      <c r="D500" s="20" t="s">
        <v>222</v>
      </c>
      <c r="E500" s="22">
        <v>0.30373230373230381</v>
      </c>
      <c r="F500" s="9"/>
      <c r="G500" s="14" t="str">
        <f t="shared" si="17"/>
        <v>O</v>
      </c>
      <c r="H500" s="15"/>
      <c r="L500" s="35"/>
    </row>
    <row r="501" spans="1:12" x14ac:dyDescent="0.3">
      <c r="A501" s="19">
        <f>COUNTIFS($B$2:B501,B501)</f>
        <v>6</v>
      </c>
      <c r="B501" s="20" t="s">
        <v>534</v>
      </c>
      <c r="C501" s="21">
        <v>200603680764641</v>
      </c>
      <c r="D501" s="20" t="s">
        <v>102</v>
      </c>
      <c r="E501" s="22">
        <v>3.0373230373230378</v>
      </c>
      <c r="F501" s="9"/>
      <c r="G501" s="14" t="str">
        <f t="shared" si="17"/>
        <v>O</v>
      </c>
      <c r="H501" s="15"/>
      <c r="L501" s="35"/>
    </row>
    <row r="502" spans="1:12" x14ac:dyDescent="0.3">
      <c r="A502" s="19">
        <f>COUNTIFS($B$2:B502,B502)</f>
        <v>1</v>
      </c>
      <c r="B502" s="26" t="s">
        <v>139</v>
      </c>
      <c r="C502" s="27">
        <v>20060368076465</v>
      </c>
      <c r="D502" s="26" t="s">
        <v>463</v>
      </c>
      <c r="E502" s="28">
        <v>155.5</v>
      </c>
      <c r="F502" s="9"/>
      <c r="G502" s="14" t="str">
        <f t="shared" si="17"/>
        <v>O</v>
      </c>
      <c r="H502" s="15"/>
      <c r="L502" s="35"/>
    </row>
    <row r="503" spans="1:12" x14ac:dyDescent="0.3">
      <c r="A503" s="19">
        <f>COUNTIFS($B$2:B503,B503)</f>
        <v>2</v>
      </c>
      <c r="B503" s="26" t="s">
        <v>139</v>
      </c>
      <c r="C503" s="27">
        <v>20060368076465</v>
      </c>
      <c r="D503" s="26" t="s">
        <v>418</v>
      </c>
      <c r="E503" s="28">
        <v>2.8</v>
      </c>
      <c r="F503" s="9"/>
      <c r="G503" s="14" t="str">
        <f t="shared" si="17"/>
        <v>O</v>
      </c>
      <c r="H503" s="15"/>
      <c r="L503" s="35"/>
    </row>
    <row r="504" spans="1:12" x14ac:dyDescent="0.3">
      <c r="A504" s="19">
        <f>COUNTIFS($B$2:B504,B504)</f>
        <v>3</v>
      </c>
      <c r="B504" s="26" t="s">
        <v>139</v>
      </c>
      <c r="C504" s="27">
        <v>20060368076465</v>
      </c>
      <c r="D504" s="26" t="s">
        <v>489</v>
      </c>
      <c r="E504" s="28">
        <v>5.2</v>
      </c>
      <c r="F504" s="9"/>
      <c r="G504" s="14" t="str">
        <f t="shared" si="17"/>
        <v>O</v>
      </c>
      <c r="H504" s="15"/>
      <c r="L504" s="35"/>
    </row>
    <row r="505" spans="1:12" x14ac:dyDescent="0.3">
      <c r="A505" s="19">
        <f>COUNTIFS($B$2:B505,B505)</f>
        <v>4</v>
      </c>
      <c r="B505" s="26" t="s">
        <v>139</v>
      </c>
      <c r="C505" s="27">
        <v>20060368076465</v>
      </c>
      <c r="D505" s="26" t="s">
        <v>48</v>
      </c>
      <c r="E505" s="28">
        <v>9.3000000000000007</v>
      </c>
      <c r="F505" s="9"/>
      <c r="G505" s="14" t="str">
        <f t="shared" ref="G505:G513" si="18">IF(D505="","",IF(COUNTIF(I:I,D505)&gt;0,"O","X"))</f>
        <v>O</v>
      </c>
      <c r="H505" s="15"/>
      <c r="L505" s="35"/>
    </row>
    <row r="506" spans="1:12" x14ac:dyDescent="0.3">
      <c r="A506" s="19">
        <f>COUNTIFS($B$2:B506,B506)</f>
        <v>5</v>
      </c>
      <c r="B506" s="26" t="s">
        <v>139</v>
      </c>
      <c r="C506" s="27">
        <v>20060368076465</v>
      </c>
      <c r="D506" s="26" t="s">
        <v>495</v>
      </c>
      <c r="E506" s="28">
        <v>31</v>
      </c>
      <c r="F506" s="9"/>
      <c r="G506" s="14" t="str">
        <f t="shared" si="18"/>
        <v>O</v>
      </c>
      <c r="H506" s="15"/>
      <c r="L506" s="35"/>
    </row>
    <row r="507" spans="1:12" x14ac:dyDescent="0.3">
      <c r="A507" s="19">
        <f>COUNTIFS($B$2:B507,B507)</f>
        <v>6</v>
      </c>
      <c r="B507" s="26" t="s">
        <v>139</v>
      </c>
      <c r="C507" s="27">
        <v>20060368076465</v>
      </c>
      <c r="D507" s="26" t="s">
        <v>218</v>
      </c>
      <c r="E507" s="28">
        <v>0.6</v>
      </c>
      <c r="F507" s="9"/>
      <c r="G507" s="14" t="str">
        <f t="shared" si="18"/>
        <v>O</v>
      </c>
      <c r="H507" s="15"/>
      <c r="L507" s="35"/>
    </row>
    <row r="508" spans="1:12" x14ac:dyDescent="0.3">
      <c r="A508" s="19">
        <f>COUNTIFS($B$2:B508,B508)</f>
        <v>7</v>
      </c>
      <c r="B508" s="26" t="s">
        <v>139</v>
      </c>
      <c r="C508" s="27">
        <v>20060368076465</v>
      </c>
      <c r="D508" s="26" t="s">
        <v>490</v>
      </c>
      <c r="E508" s="28">
        <v>24.2</v>
      </c>
      <c r="F508" s="9"/>
      <c r="G508" s="14" t="str">
        <f t="shared" si="18"/>
        <v>O</v>
      </c>
      <c r="H508" s="15"/>
      <c r="L508" s="35"/>
    </row>
    <row r="509" spans="1:12" x14ac:dyDescent="0.3">
      <c r="A509" s="19">
        <f>COUNTIFS($B$2:B509,B509)</f>
        <v>8</v>
      </c>
      <c r="B509" s="26" t="s">
        <v>139</v>
      </c>
      <c r="C509" s="27">
        <v>20060368076465</v>
      </c>
      <c r="D509" s="26" t="s">
        <v>114</v>
      </c>
      <c r="E509" s="28">
        <v>31</v>
      </c>
      <c r="F509" s="9"/>
      <c r="G509" s="14" t="str">
        <f t="shared" si="18"/>
        <v>O</v>
      </c>
      <c r="H509" s="15"/>
      <c r="L509" s="35"/>
    </row>
    <row r="510" spans="1:12" x14ac:dyDescent="0.3">
      <c r="A510" s="19">
        <f>COUNTIFS($B$2:B510,B510)</f>
        <v>9</v>
      </c>
      <c r="B510" s="26" t="s">
        <v>139</v>
      </c>
      <c r="C510" s="27">
        <v>20060368076465</v>
      </c>
      <c r="D510" s="26" t="s">
        <v>518</v>
      </c>
      <c r="E510" s="28">
        <v>28.1</v>
      </c>
      <c r="F510" s="9"/>
      <c r="G510" s="14" t="str">
        <f t="shared" si="18"/>
        <v>O</v>
      </c>
      <c r="H510" s="15"/>
      <c r="L510" s="35"/>
    </row>
    <row r="511" spans="1:12" x14ac:dyDescent="0.3">
      <c r="A511" s="19">
        <f>COUNTIFS($B$2:B511,B511)</f>
        <v>10</v>
      </c>
      <c r="B511" s="26" t="s">
        <v>139</v>
      </c>
      <c r="C511" s="27">
        <v>20060368076465</v>
      </c>
      <c r="D511" s="26" t="s">
        <v>488</v>
      </c>
      <c r="E511" s="28">
        <v>24.9</v>
      </c>
      <c r="F511" s="9"/>
      <c r="G511" s="14" t="str">
        <f t="shared" si="18"/>
        <v>O</v>
      </c>
      <c r="H511" s="15"/>
      <c r="L511" s="35"/>
    </row>
    <row r="512" spans="1:12" x14ac:dyDescent="0.3">
      <c r="A512" s="19">
        <f>COUNTIFS($B$2:B512,B512)</f>
        <v>11</v>
      </c>
      <c r="B512" s="26" t="s">
        <v>139</v>
      </c>
      <c r="C512" s="27">
        <v>20060368076465</v>
      </c>
      <c r="D512" s="26" t="s">
        <v>32</v>
      </c>
      <c r="E512" s="28">
        <v>1.8641885461568606</v>
      </c>
      <c r="F512" s="9"/>
      <c r="G512" s="14" t="str">
        <f t="shared" si="18"/>
        <v>O</v>
      </c>
      <c r="H512" s="15"/>
      <c r="L512" s="35"/>
    </row>
    <row r="513" spans="1:12" x14ac:dyDescent="0.3">
      <c r="A513" s="19">
        <f>COUNTIFS($B$2:B513,B513)</f>
        <v>12</v>
      </c>
      <c r="B513" s="26" t="s">
        <v>139</v>
      </c>
      <c r="C513" s="27">
        <v>20060368076465</v>
      </c>
      <c r="D513" s="26" t="s">
        <v>535</v>
      </c>
      <c r="E513" s="28">
        <v>18.600000000000001</v>
      </c>
      <c r="F513" s="9"/>
      <c r="G513" s="14" t="str">
        <f t="shared" si="18"/>
        <v>O</v>
      </c>
      <c r="H513" s="15"/>
      <c r="L513" s="35"/>
    </row>
    <row r="514" spans="1:12" x14ac:dyDescent="0.3">
      <c r="A514" s="19">
        <f>COUNTIFS($B$2:B514,B514)</f>
        <v>13</v>
      </c>
      <c r="B514" s="26" t="s">
        <v>139</v>
      </c>
      <c r="C514" s="27">
        <v>20060368076465</v>
      </c>
      <c r="D514" s="26" t="s">
        <v>463</v>
      </c>
      <c r="E514" s="30">
        <v>9.3000000000000007</v>
      </c>
      <c r="F514" s="9" t="s">
        <v>519</v>
      </c>
      <c r="G514" s="14"/>
      <c r="H514" s="15"/>
      <c r="L514" s="35"/>
    </row>
    <row r="515" spans="1:12" x14ac:dyDescent="0.3">
      <c r="A515" s="31">
        <f>COUNTIFS($B$2:B515,B515)</f>
        <v>1</v>
      </c>
      <c r="B515" s="26" t="s">
        <v>224</v>
      </c>
      <c r="C515" s="32">
        <v>20060368076494</v>
      </c>
      <c r="D515" s="26" t="s">
        <v>284</v>
      </c>
      <c r="E515" s="28">
        <v>80.06140179801578</v>
      </c>
      <c r="F515" s="9"/>
      <c r="G515" s="14" t="str">
        <f t="shared" ref="G515:G529" si="19">IF(D515="","",IF(COUNTIF(I:I,D515)&gt;0,"O","X"))</f>
        <v>O</v>
      </c>
      <c r="H515" s="15"/>
      <c r="L515" s="35"/>
    </row>
    <row r="516" spans="1:12" x14ac:dyDescent="0.3">
      <c r="A516" s="31">
        <f>COUNTIFS($B$2:B516,B516)</f>
        <v>2</v>
      </c>
      <c r="B516" s="26" t="s">
        <v>224</v>
      </c>
      <c r="C516" s="32">
        <v>20060368076494</v>
      </c>
      <c r="D516" s="26" t="s">
        <v>206</v>
      </c>
      <c r="E516" s="28">
        <v>8.8957113108906416</v>
      </c>
      <c r="F516" s="9"/>
      <c r="G516" s="14" t="str">
        <f t="shared" si="19"/>
        <v>O</v>
      </c>
      <c r="H516" s="15"/>
      <c r="L516" s="35"/>
    </row>
    <row r="517" spans="1:12" x14ac:dyDescent="0.3">
      <c r="A517" s="31">
        <f>COUNTIFS($B$2:B517,B517)</f>
        <v>3</v>
      </c>
      <c r="B517" s="26" t="s">
        <v>224</v>
      </c>
      <c r="C517" s="32">
        <v>20060368076494</v>
      </c>
      <c r="D517" s="26" t="s">
        <v>157</v>
      </c>
      <c r="E517" s="28">
        <v>14.233138097425027</v>
      </c>
      <c r="F517" s="9"/>
      <c r="G517" s="14" t="str">
        <f t="shared" si="19"/>
        <v>O</v>
      </c>
      <c r="H517" s="15"/>
      <c r="L517" s="35"/>
    </row>
    <row r="518" spans="1:12" x14ac:dyDescent="0.3">
      <c r="A518" s="31">
        <f>COUNTIFS($B$2:B518,B518)</f>
        <v>4</v>
      </c>
      <c r="B518" s="26" t="s">
        <v>224</v>
      </c>
      <c r="C518" s="32">
        <v>20060368076494</v>
      </c>
      <c r="D518" s="26" t="s">
        <v>418</v>
      </c>
      <c r="E518" s="28">
        <v>1.6812894377583345</v>
      </c>
      <c r="F518" s="9"/>
      <c r="G518" s="14" t="str">
        <f t="shared" si="19"/>
        <v>O</v>
      </c>
      <c r="H518" s="15"/>
      <c r="L518" s="35"/>
    </row>
    <row r="519" spans="1:12" x14ac:dyDescent="0.3">
      <c r="A519" s="31">
        <f>COUNTIFS($B$2:B519,B519)</f>
        <v>5</v>
      </c>
      <c r="B519" s="26" t="s">
        <v>224</v>
      </c>
      <c r="C519" s="32">
        <v>20060368076494</v>
      </c>
      <c r="D519" s="26" t="s">
        <v>488</v>
      </c>
      <c r="E519" s="28">
        <v>14.233138097425027</v>
      </c>
      <c r="F519" s="9"/>
      <c r="G519" s="14" t="str">
        <f t="shared" si="19"/>
        <v>O</v>
      </c>
      <c r="H519" s="15"/>
      <c r="L519" s="35"/>
    </row>
    <row r="520" spans="1:12" x14ac:dyDescent="0.3">
      <c r="A520" s="31">
        <f>COUNTIFS($B$2:B520,B520)</f>
        <v>6</v>
      </c>
      <c r="B520" s="26" t="s">
        <v>224</v>
      </c>
      <c r="C520" s="32">
        <v>20060368076494</v>
      </c>
      <c r="D520" s="26" t="s">
        <v>48</v>
      </c>
      <c r="E520" s="28">
        <v>5.337426786534385</v>
      </c>
      <c r="F520" s="9"/>
      <c r="G520" s="14" t="str">
        <f t="shared" si="19"/>
        <v>O</v>
      </c>
      <c r="H520" s="15"/>
      <c r="L520" s="35"/>
    </row>
    <row r="521" spans="1:12" x14ac:dyDescent="0.3">
      <c r="A521" s="31">
        <f>COUNTIFS($B$2:B521,B521)</f>
        <v>7</v>
      </c>
      <c r="B521" s="26" t="s">
        <v>224</v>
      </c>
      <c r="C521" s="32">
        <v>20060368076494</v>
      </c>
      <c r="D521" s="26" t="s">
        <v>536</v>
      </c>
      <c r="E521" s="28">
        <v>1.7791422621781283</v>
      </c>
      <c r="F521" s="9"/>
      <c r="G521" s="14" t="str">
        <f t="shared" si="19"/>
        <v>O</v>
      </c>
      <c r="H521" s="15"/>
      <c r="L521" s="35"/>
    </row>
    <row r="522" spans="1:12" x14ac:dyDescent="0.3">
      <c r="A522" s="31">
        <f>COUNTIFS($B$2:B522,B522)</f>
        <v>8</v>
      </c>
      <c r="B522" s="26" t="s">
        <v>224</v>
      </c>
      <c r="C522" s="32">
        <v>20060368076494</v>
      </c>
      <c r="D522" s="26" t="s">
        <v>537</v>
      </c>
      <c r="E522" s="28">
        <v>2.8212113014538893</v>
      </c>
      <c r="F522" s="9"/>
      <c r="G522" s="14" t="str">
        <f t="shared" si="19"/>
        <v>O</v>
      </c>
      <c r="H522" s="15"/>
      <c r="L522" s="35"/>
    </row>
    <row r="523" spans="1:12" x14ac:dyDescent="0.3">
      <c r="A523" s="31">
        <f>COUNTIFS($B$2:B523,B523)</f>
        <v>9</v>
      </c>
      <c r="B523" s="26" t="s">
        <v>224</v>
      </c>
      <c r="C523" s="32">
        <v>20060368076494</v>
      </c>
      <c r="D523" s="26" t="s">
        <v>538</v>
      </c>
      <c r="E523" s="28">
        <v>1.880807534302593</v>
      </c>
      <c r="F523" s="9"/>
      <c r="G523" s="14" t="str">
        <f t="shared" si="19"/>
        <v>O</v>
      </c>
      <c r="H523" s="15"/>
      <c r="L523" s="35"/>
    </row>
    <row r="524" spans="1:12" x14ac:dyDescent="0.3">
      <c r="A524" s="31">
        <f>COUNTIFS($B$2:B524,B524)</f>
        <v>10</v>
      </c>
      <c r="B524" s="26" t="s">
        <v>224</v>
      </c>
      <c r="C524" s="32">
        <v>20060368076494</v>
      </c>
      <c r="D524" s="26" t="s">
        <v>495</v>
      </c>
      <c r="E524" s="28">
        <v>17.791422621781283</v>
      </c>
      <c r="F524" s="9"/>
      <c r="G524" s="14" t="str">
        <f t="shared" si="19"/>
        <v>O</v>
      </c>
      <c r="H524" s="15"/>
      <c r="L524" s="35"/>
    </row>
    <row r="525" spans="1:12" x14ac:dyDescent="0.3">
      <c r="A525" s="31">
        <f>COUNTIFS($B$2:B525,B525)</f>
        <v>11</v>
      </c>
      <c r="B525" s="26" t="s">
        <v>224</v>
      </c>
      <c r="C525" s="32">
        <v>20060368076494</v>
      </c>
      <c r="D525" s="26" t="s">
        <v>489</v>
      </c>
      <c r="E525" s="28">
        <v>3.1134989588117246</v>
      </c>
      <c r="F525" s="9"/>
      <c r="G525" s="14" t="str">
        <f t="shared" si="19"/>
        <v>O</v>
      </c>
      <c r="H525" s="15"/>
      <c r="L525" s="35"/>
    </row>
    <row r="526" spans="1:12" x14ac:dyDescent="0.3">
      <c r="A526" s="31">
        <f>COUNTIFS($B$2:B526,B526)</f>
        <v>12</v>
      </c>
      <c r="B526" s="26" t="s">
        <v>224</v>
      </c>
      <c r="C526" s="32">
        <v>20060368076494</v>
      </c>
      <c r="D526" s="26" t="s">
        <v>218</v>
      </c>
      <c r="E526" s="28">
        <v>0.35582845243562566</v>
      </c>
      <c r="F526" s="9"/>
      <c r="G526" s="14" t="str">
        <f t="shared" si="19"/>
        <v>O</v>
      </c>
      <c r="H526" s="15"/>
      <c r="L526" s="35"/>
    </row>
    <row r="527" spans="1:12" x14ac:dyDescent="0.3">
      <c r="A527" s="31">
        <f>COUNTIFS($B$2:B527,B527)</f>
        <v>13</v>
      </c>
      <c r="B527" s="26" t="s">
        <v>224</v>
      </c>
      <c r="C527" s="32">
        <v>20060368076494</v>
      </c>
      <c r="D527" s="26" t="s">
        <v>490</v>
      </c>
      <c r="E527" s="28">
        <v>14.233138097425027</v>
      </c>
      <c r="F527" s="9"/>
      <c r="G527" s="14" t="str">
        <f t="shared" si="19"/>
        <v>O</v>
      </c>
      <c r="H527" s="15"/>
      <c r="L527" s="35"/>
    </row>
    <row r="528" spans="1:12" x14ac:dyDescent="0.3">
      <c r="A528" s="31">
        <f>COUNTIFS($B$2:B528,B528)</f>
        <v>14</v>
      </c>
      <c r="B528" s="26" t="s">
        <v>224</v>
      </c>
      <c r="C528" s="32">
        <v>20060368076494</v>
      </c>
      <c r="D528" s="26" t="s">
        <v>114</v>
      </c>
      <c r="E528" s="28">
        <v>17.791422621781283</v>
      </c>
      <c r="F528" s="9"/>
      <c r="G528" s="14" t="str">
        <f t="shared" si="19"/>
        <v>O</v>
      </c>
      <c r="H528" s="15"/>
      <c r="L528" s="35"/>
    </row>
    <row r="529" spans="1:12" x14ac:dyDescent="0.3">
      <c r="A529" s="31">
        <f>COUNTIFS($B$2:B529,B529)</f>
        <v>15</v>
      </c>
      <c r="B529" s="26" t="s">
        <v>224</v>
      </c>
      <c r="C529" s="32">
        <v>20060368076494</v>
      </c>
      <c r="D529" s="26" t="s">
        <v>421</v>
      </c>
      <c r="E529" s="28">
        <v>17.791422621781283</v>
      </c>
      <c r="F529" s="9"/>
      <c r="G529" s="14" t="str">
        <f t="shared" si="19"/>
        <v>O</v>
      </c>
      <c r="H529" s="15"/>
      <c r="L529" s="35"/>
    </row>
    <row r="530" spans="1:12" x14ac:dyDescent="0.3">
      <c r="A530" s="31">
        <f>COUNTIFS($B$2:B530,B530)</f>
        <v>16</v>
      </c>
      <c r="B530" s="26" t="s">
        <v>224</v>
      </c>
      <c r="C530" s="32">
        <v>20060368076494</v>
      </c>
      <c r="D530" s="26" t="s">
        <v>284</v>
      </c>
      <c r="E530" s="30">
        <v>8.9</v>
      </c>
      <c r="F530" s="9" t="s">
        <v>459</v>
      </c>
      <c r="G530" s="14"/>
      <c r="H530" s="15"/>
      <c r="L530" s="35"/>
    </row>
    <row r="531" spans="1:12" x14ac:dyDescent="0.3">
      <c r="A531" s="31">
        <f>COUNTIFS($B$2:B531,B531)</f>
        <v>17</v>
      </c>
      <c r="B531" s="26" t="s">
        <v>224</v>
      </c>
      <c r="C531" s="32">
        <v>20060368076494</v>
      </c>
      <c r="D531" s="26" t="s">
        <v>539</v>
      </c>
      <c r="E531" s="28">
        <v>40</v>
      </c>
      <c r="F531" s="9"/>
      <c r="G531" s="14" t="str">
        <f>IF(D531="","",IF(COUNTIF(I:I,D531)&gt;0,"O","X"))</f>
        <v>O</v>
      </c>
      <c r="H531" s="15"/>
      <c r="L531" s="35"/>
    </row>
    <row r="532" spans="1:12" x14ac:dyDescent="0.3">
      <c r="A532" s="31">
        <f>COUNTIFS($B$2:B532,B532)</f>
        <v>18</v>
      </c>
      <c r="B532" s="26" t="s">
        <v>224</v>
      </c>
      <c r="C532" s="32">
        <v>20060368076494</v>
      </c>
      <c r="D532" s="26" t="s">
        <v>540</v>
      </c>
      <c r="E532" s="28">
        <v>40</v>
      </c>
      <c r="F532" s="9"/>
      <c r="G532" s="14" t="str">
        <f>IF(D532="","",IF(COUNTIF(I:I,D532)&gt;0,"O","X"))</f>
        <v>O</v>
      </c>
      <c r="H532" s="15"/>
      <c r="L532" s="35"/>
    </row>
    <row r="533" spans="1:12" x14ac:dyDescent="0.3">
      <c r="A533" s="23">
        <f>COUNTIFS($B$2:B533,B533)</f>
        <v>1</v>
      </c>
      <c r="B533" s="20" t="s">
        <v>143</v>
      </c>
      <c r="C533" s="25">
        <v>20060368076468</v>
      </c>
      <c r="D533" s="20" t="s">
        <v>210</v>
      </c>
      <c r="E533" s="22">
        <v>52.03</v>
      </c>
      <c r="F533" s="9"/>
      <c r="G533" s="14" t="str">
        <f t="shared" ref="G533:G540" si="20">IF(D535="","",IF(COUNTIF(I:I,D535)&gt;0,"O","X"))</f>
        <v>O</v>
      </c>
      <c r="H533" s="15"/>
      <c r="L533" s="35"/>
    </row>
    <row r="534" spans="1:12" x14ac:dyDescent="0.3">
      <c r="A534" s="19">
        <f>COUNTIFS($B$2:B534,B534)</f>
        <v>2</v>
      </c>
      <c r="B534" s="20" t="s">
        <v>143</v>
      </c>
      <c r="C534" s="25">
        <v>20060368076468</v>
      </c>
      <c r="D534" s="20" t="s">
        <v>213</v>
      </c>
      <c r="E534" s="22">
        <v>42.85</v>
      </c>
      <c r="F534" s="9"/>
      <c r="G534" s="14" t="str">
        <f t="shared" si="20"/>
        <v>O</v>
      </c>
      <c r="H534" s="15"/>
      <c r="L534" s="35"/>
    </row>
    <row r="535" spans="1:12" x14ac:dyDescent="0.3">
      <c r="A535" s="19">
        <f>COUNTIFS($B$2:B535,B535)</f>
        <v>3</v>
      </c>
      <c r="B535" s="20" t="s">
        <v>143</v>
      </c>
      <c r="C535" s="25">
        <v>20060368076468</v>
      </c>
      <c r="D535" s="20" t="s">
        <v>17</v>
      </c>
      <c r="E535" s="22">
        <v>13.77</v>
      </c>
      <c r="F535" s="9"/>
      <c r="G535" s="14" t="str">
        <f t="shared" si="20"/>
        <v>O</v>
      </c>
      <c r="H535" s="15"/>
      <c r="L535" s="35"/>
    </row>
    <row r="536" spans="1:12" x14ac:dyDescent="0.3">
      <c r="A536" s="19">
        <f>COUNTIFS($B$2:B536,B536)</f>
        <v>4</v>
      </c>
      <c r="B536" s="20" t="s">
        <v>143</v>
      </c>
      <c r="C536" s="25">
        <v>20060368076468</v>
      </c>
      <c r="D536" s="20" t="s">
        <v>141</v>
      </c>
      <c r="E536" s="22">
        <v>34.43</v>
      </c>
      <c r="F536" s="9"/>
      <c r="G536" s="14" t="str">
        <f t="shared" si="20"/>
        <v>O</v>
      </c>
      <c r="H536" s="15"/>
      <c r="L536" s="35"/>
    </row>
    <row r="537" spans="1:12" x14ac:dyDescent="0.3">
      <c r="A537" s="19">
        <f>COUNTIFS($B$2:B537,B537)</f>
        <v>5</v>
      </c>
      <c r="B537" s="20" t="s">
        <v>143</v>
      </c>
      <c r="C537" s="25">
        <v>20060368076468</v>
      </c>
      <c r="D537" s="20" t="s">
        <v>206</v>
      </c>
      <c r="E537" s="22">
        <v>56.63</v>
      </c>
      <c r="F537" s="9"/>
      <c r="G537" s="14" t="str">
        <f t="shared" si="20"/>
        <v>O</v>
      </c>
      <c r="H537" s="15"/>
      <c r="L537" s="35"/>
    </row>
    <row r="538" spans="1:12" x14ac:dyDescent="0.3">
      <c r="A538" s="19">
        <f>COUNTIFS($B$2:B538,B538)</f>
        <v>6</v>
      </c>
      <c r="B538" s="20" t="s">
        <v>143</v>
      </c>
      <c r="C538" s="25">
        <v>20060368076468</v>
      </c>
      <c r="D538" s="20" t="s">
        <v>516</v>
      </c>
      <c r="E538" s="22">
        <v>12.24</v>
      </c>
      <c r="F538" s="9"/>
      <c r="G538" s="14" t="str">
        <f t="shared" si="20"/>
        <v>O</v>
      </c>
      <c r="H538" s="15"/>
      <c r="L538" s="35"/>
    </row>
    <row r="539" spans="1:12" x14ac:dyDescent="0.3">
      <c r="A539" s="19">
        <f>COUNTIFS($B$2:B539,B539)</f>
        <v>7</v>
      </c>
      <c r="B539" s="20" t="s">
        <v>143</v>
      </c>
      <c r="C539" s="25">
        <v>20060368076468</v>
      </c>
      <c r="D539" s="20" t="s">
        <v>222</v>
      </c>
      <c r="E539" s="22">
        <v>0.43</v>
      </c>
      <c r="F539" s="9"/>
      <c r="G539" s="14" t="str">
        <f t="shared" si="20"/>
        <v>O</v>
      </c>
      <c r="H539" s="15"/>
      <c r="L539" s="35"/>
    </row>
    <row r="540" spans="1:12" x14ac:dyDescent="0.3">
      <c r="A540" s="23">
        <f>COUNTIFS($B$2:B540,B540)</f>
        <v>1</v>
      </c>
      <c r="B540" s="20" t="s">
        <v>144</v>
      </c>
      <c r="C540" s="24">
        <v>20060368076469</v>
      </c>
      <c r="D540" s="20" t="s">
        <v>210</v>
      </c>
      <c r="E540" s="22">
        <v>62.93333333333333</v>
      </c>
      <c r="F540" s="9"/>
      <c r="G540" s="14" t="str">
        <f t="shared" si="20"/>
        <v>O</v>
      </c>
      <c r="H540" s="15"/>
      <c r="L540" s="35"/>
    </row>
    <row r="541" spans="1:12" x14ac:dyDescent="0.3">
      <c r="A541" s="19">
        <f>COUNTIFS($B$2:B541,B541)</f>
        <v>2</v>
      </c>
      <c r="B541" s="20" t="s">
        <v>144</v>
      </c>
      <c r="C541" s="24">
        <v>20060368076469</v>
      </c>
      <c r="D541" s="20" t="s">
        <v>213</v>
      </c>
      <c r="E541" s="22">
        <v>31.466666666666665</v>
      </c>
      <c r="F541" s="9"/>
      <c r="G541" s="14" t="str">
        <f t="shared" ref="G541:G604" si="21">IF(D541="","",IF(COUNTIF(I:I,D541)&gt;0,"O","X"))</f>
        <v>O</v>
      </c>
      <c r="H541" s="15"/>
      <c r="L541" s="35"/>
    </row>
    <row r="542" spans="1:12" x14ac:dyDescent="0.3">
      <c r="A542" s="19">
        <f>COUNTIFS($B$2:B542,B542)</f>
        <v>3</v>
      </c>
      <c r="B542" s="20" t="s">
        <v>144</v>
      </c>
      <c r="C542" s="24">
        <v>20060368076469</v>
      </c>
      <c r="D542" s="20" t="s">
        <v>404</v>
      </c>
      <c r="E542" s="22">
        <v>7.8666666666666663</v>
      </c>
      <c r="F542" s="9"/>
      <c r="G542" s="14" t="str">
        <f t="shared" si="21"/>
        <v>O</v>
      </c>
      <c r="H542" s="15"/>
      <c r="L542" s="35"/>
    </row>
    <row r="543" spans="1:12" x14ac:dyDescent="0.3">
      <c r="A543" s="19">
        <f>COUNTIFS($B$2:B543,B543)</f>
        <v>4</v>
      </c>
      <c r="B543" s="20" t="s">
        <v>144</v>
      </c>
      <c r="C543" s="24">
        <v>20060368076469</v>
      </c>
      <c r="D543" s="20" t="s">
        <v>141</v>
      </c>
      <c r="E543" s="22">
        <v>31.466666666666665</v>
      </c>
      <c r="F543" s="9"/>
      <c r="G543" s="14" t="str">
        <f t="shared" si="21"/>
        <v>O</v>
      </c>
      <c r="H543" s="15"/>
      <c r="L543" s="35"/>
    </row>
    <row r="544" spans="1:12" x14ac:dyDescent="0.3">
      <c r="A544" s="19">
        <f>COUNTIFS($B$2:B544,B544)</f>
        <v>5</v>
      </c>
      <c r="B544" s="20" t="s">
        <v>144</v>
      </c>
      <c r="C544" s="24">
        <v>20060368076469</v>
      </c>
      <c r="D544" s="20" t="s">
        <v>206</v>
      </c>
      <c r="E544" s="22">
        <v>78.666666666666671</v>
      </c>
      <c r="F544" s="9"/>
      <c r="G544" s="14" t="str">
        <f t="shared" si="21"/>
        <v>O</v>
      </c>
      <c r="H544" s="15"/>
      <c r="L544" s="35"/>
    </row>
    <row r="545" spans="1:12" x14ac:dyDescent="0.3">
      <c r="A545" s="23">
        <f>COUNTIFS($B$2:B545,B545)</f>
        <v>1</v>
      </c>
      <c r="B545" s="20" t="s">
        <v>541</v>
      </c>
      <c r="C545" s="21">
        <v>20060368076239</v>
      </c>
      <c r="D545" s="20" t="s">
        <v>210</v>
      </c>
      <c r="E545" s="22">
        <v>34.962962962962969</v>
      </c>
      <c r="F545" s="9"/>
      <c r="G545" s="14" t="str">
        <f t="shared" si="21"/>
        <v>O</v>
      </c>
      <c r="H545" s="15"/>
      <c r="L545" s="35"/>
    </row>
    <row r="546" spans="1:12" x14ac:dyDescent="0.3">
      <c r="A546" s="19">
        <f>COUNTIFS($B$2:B546,B546)</f>
        <v>2</v>
      </c>
      <c r="B546" s="20" t="s">
        <v>541</v>
      </c>
      <c r="C546" s="21">
        <v>20060368076239</v>
      </c>
      <c r="D546" s="20" t="s">
        <v>213</v>
      </c>
      <c r="E546" s="22">
        <v>17.481481481481485</v>
      </c>
      <c r="F546" s="9"/>
      <c r="G546" s="14" t="str">
        <f t="shared" si="21"/>
        <v>O</v>
      </c>
      <c r="H546" s="15"/>
      <c r="L546" s="35"/>
    </row>
    <row r="547" spans="1:12" x14ac:dyDescent="0.3">
      <c r="A547" s="19">
        <f>COUNTIFS($B$2:B547,B547)</f>
        <v>3</v>
      </c>
      <c r="B547" s="20" t="s">
        <v>541</v>
      </c>
      <c r="C547" s="21">
        <v>20060368076239</v>
      </c>
      <c r="D547" s="20" t="s">
        <v>404</v>
      </c>
      <c r="E547" s="22">
        <v>4.3703703703703711</v>
      </c>
      <c r="F547" s="9"/>
      <c r="G547" s="14" t="str">
        <f t="shared" si="21"/>
        <v>O</v>
      </c>
      <c r="H547" s="15"/>
      <c r="L547" s="35"/>
    </row>
    <row r="548" spans="1:12" x14ac:dyDescent="0.3">
      <c r="A548" s="19">
        <f>COUNTIFS($B$2:B548,B548)</f>
        <v>4</v>
      </c>
      <c r="B548" s="20" t="s">
        <v>541</v>
      </c>
      <c r="C548" s="21">
        <v>20060368076239</v>
      </c>
      <c r="D548" s="20" t="s">
        <v>141</v>
      </c>
      <c r="E548" s="22">
        <v>17.481481481481485</v>
      </c>
      <c r="F548" s="9"/>
      <c r="G548" s="14" t="str">
        <f t="shared" si="21"/>
        <v>O</v>
      </c>
      <c r="H548" s="15"/>
      <c r="L548" s="35"/>
    </row>
    <row r="549" spans="1:12" x14ac:dyDescent="0.3">
      <c r="A549" s="19">
        <f>COUNTIFS($B$2:B549,B549)</f>
        <v>5</v>
      </c>
      <c r="B549" s="20" t="s">
        <v>541</v>
      </c>
      <c r="C549" s="21">
        <v>20060368076239</v>
      </c>
      <c r="D549" s="20" t="s">
        <v>206</v>
      </c>
      <c r="E549" s="22">
        <v>43.703703703703702</v>
      </c>
      <c r="F549" s="9"/>
      <c r="G549" s="14" t="str">
        <f t="shared" si="21"/>
        <v>O</v>
      </c>
      <c r="H549" s="15"/>
      <c r="L549" s="35"/>
    </row>
    <row r="550" spans="1:12" x14ac:dyDescent="0.3">
      <c r="A550" s="23">
        <f>COUNTIFS($B$2:B550,B550)</f>
        <v>1</v>
      </c>
      <c r="B550" s="20" t="s">
        <v>148</v>
      </c>
      <c r="C550" s="25">
        <v>20060368076470</v>
      </c>
      <c r="D550" s="20" t="s">
        <v>157</v>
      </c>
      <c r="E550" s="22">
        <v>46.243181905604487</v>
      </c>
      <c r="F550" s="9"/>
      <c r="G550" s="14" t="str">
        <f t="shared" si="21"/>
        <v>O</v>
      </c>
      <c r="H550" s="15"/>
      <c r="L550" s="35"/>
    </row>
    <row r="551" spans="1:12" x14ac:dyDescent="0.3">
      <c r="A551" s="19">
        <f>COUNTIFS($B$2:B551,B551)</f>
        <v>2</v>
      </c>
      <c r="B551" s="20" t="s">
        <v>148</v>
      </c>
      <c r="C551" s="25">
        <v>20060368076470</v>
      </c>
      <c r="D551" s="20" t="s">
        <v>210</v>
      </c>
      <c r="E551" s="22">
        <v>52.452513751586714</v>
      </c>
      <c r="F551" s="9"/>
      <c r="G551" s="14" t="str">
        <f t="shared" si="21"/>
        <v>O</v>
      </c>
      <c r="H551" s="15"/>
      <c r="L551" s="35"/>
    </row>
    <row r="552" spans="1:12" x14ac:dyDescent="0.3">
      <c r="A552" s="19">
        <f>COUNTIFS($B$2:B552,B552)</f>
        <v>3</v>
      </c>
      <c r="B552" s="20" t="s">
        <v>148</v>
      </c>
      <c r="C552" s="25">
        <v>20060368076470</v>
      </c>
      <c r="D552" s="20" t="s">
        <v>17</v>
      </c>
      <c r="E552" s="22">
        <v>13.725891449013348</v>
      </c>
      <c r="F552" s="9"/>
      <c r="G552" s="14" t="str">
        <f t="shared" si="21"/>
        <v>O</v>
      </c>
      <c r="H552" s="15"/>
      <c r="L552" s="35"/>
    </row>
    <row r="553" spans="1:12" x14ac:dyDescent="0.3">
      <c r="A553" s="19">
        <f>COUNTIFS($B$2:B553,B553)</f>
        <v>4</v>
      </c>
      <c r="B553" s="20" t="s">
        <v>148</v>
      </c>
      <c r="C553" s="25">
        <v>20060368076470</v>
      </c>
      <c r="D553" s="20" t="s">
        <v>206</v>
      </c>
      <c r="E553" s="22">
        <v>61.603108050928959</v>
      </c>
      <c r="F553" s="9"/>
      <c r="G553" s="14" t="str">
        <f t="shared" si="21"/>
        <v>O</v>
      </c>
      <c r="H553" s="15"/>
      <c r="L553" s="35"/>
    </row>
    <row r="554" spans="1:12" x14ac:dyDescent="0.3">
      <c r="A554" s="19">
        <f>COUNTIFS($B$2:B554,B554)</f>
        <v>5</v>
      </c>
      <c r="B554" s="20" t="s">
        <v>148</v>
      </c>
      <c r="C554" s="25">
        <v>20060368076470</v>
      </c>
      <c r="D554" s="20" t="s">
        <v>172</v>
      </c>
      <c r="E554" s="22">
        <v>6.2093318459822289</v>
      </c>
      <c r="F554" s="9"/>
      <c r="G554" s="14" t="str">
        <f t="shared" si="21"/>
        <v>O</v>
      </c>
      <c r="H554" s="15"/>
      <c r="L554" s="35"/>
    </row>
    <row r="555" spans="1:12" x14ac:dyDescent="0.3">
      <c r="A555" s="19">
        <f>COUNTIFS($B$2:B555,B555)</f>
        <v>6</v>
      </c>
      <c r="B555" s="20" t="s">
        <v>148</v>
      </c>
      <c r="C555" s="25">
        <v>20060368076470</v>
      </c>
      <c r="D555" s="20" t="s">
        <v>141</v>
      </c>
      <c r="E555" s="22">
        <v>27.778589837288916</v>
      </c>
      <c r="F555" s="9"/>
      <c r="G555" s="14" t="str">
        <f t="shared" si="21"/>
        <v>O</v>
      </c>
      <c r="H555" s="15"/>
      <c r="L555" s="35"/>
    </row>
    <row r="556" spans="1:12" x14ac:dyDescent="0.3">
      <c r="A556" s="19">
        <f>COUNTIFS($B$2:B556,B556)</f>
        <v>7</v>
      </c>
      <c r="B556" s="20" t="s">
        <v>148</v>
      </c>
      <c r="C556" s="25">
        <v>20060368076470</v>
      </c>
      <c r="D556" s="20" t="s">
        <v>222</v>
      </c>
      <c r="E556" s="22">
        <v>0.46569988844866711</v>
      </c>
      <c r="F556" s="9"/>
      <c r="G556" s="14" t="str">
        <f t="shared" si="21"/>
        <v>O</v>
      </c>
      <c r="H556" s="15"/>
      <c r="L556" s="35"/>
    </row>
    <row r="557" spans="1:12" x14ac:dyDescent="0.3">
      <c r="A557" s="19">
        <f>COUNTIFS($B$2:B557,B557)</f>
        <v>8</v>
      </c>
      <c r="B557" s="20" t="s">
        <v>148</v>
      </c>
      <c r="C557" s="25">
        <v>20060368076470</v>
      </c>
      <c r="D557" s="20" t="s">
        <v>255</v>
      </c>
      <c r="E557" s="22">
        <v>3.9216832711466698</v>
      </c>
      <c r="F557" s="9"/>
      <c r="G557" s="14" t="str">
        <f t="shared" si="21"/>
        <v>O</v>
      </c>
      <c r="H557" s="15"/>
      <c r="L557" s="35"/>
    </row>
    <row r="558" spans="1:12" x14ac:dyDescent="0.3">
      <c r="A558" s="23">
        <f>COUNTIFS($B$2:B558,B558)</f>
        <v>1</v>
      </c>
      <c r="B558" s="20" t="s">
        <v>542</v>
      </c>
      <c r="C558" s="21">
        <v>20060368076240</v>
      </c>
      <c r="D558" s="20" t="s">
        <v>206</v>
      </c>
      <c r="E558" s="22">
        <v>44.847840531561431</v>
      </c>
      <c r="F558" s="9"/>
      <c r="G558" s="14" t="str">
        <f t="shared" si="21"/>
        <v>O</v>
      </c>
      <c r="H558" s="15"/>
      <c r="L558" s="35"/>
    </row>
    <row r="559" spans="1:12" x14ac:dyDescent="0.3">
      <c r="A559" s="19">
        <f>COUNTIFS($B$2:B559,B559)</f>
        <v>2</v>
      </c>
      <c r="B559" s="20" t="s">
        <v>542</v>
      </c>
      <c r="C559" s="21">
        <v>20060368076240</v>
      </c>
      <c r="D559" s="20" t="s">
        <v>325</v>
      </c>
      <c r="E559" s="22">
        <v>0.70564784053156093</v>
      </c>
      <c r="F559" s="9"/>
      <c r="G559" s="14" t="str">
        <f t="shared" si="21"/>
        <v>O</v>
      </c>
      <c r="H559" s="15"/>
      <c r="L559" s="35"/>
    </row>
    <row r="560" spans="1:12" x14ac:dyDescent="0.3">
      <c r="A560" s="19">
        <f>COUNTIFS($B$2:B560,B560)</f>
        <v>3</v>
      </c>
      <c r="B560" s="20" t="s">
        <v>542</v>
      </c>
      <c r="C560" s="21">
        <v>20060368076240</v>
      </c>
      <c r="D560" s="20" t="s">
        <v>172</v>
      </c>
      <c r="E560" s="22">
        <v>5.0179401993355484</v>
      </c>
      <c r="F560" s="9"/>
      <c r="G560" s="14" t="str">
        <f t="shared" si="21"/>
        <v>O</v>
      </c>
      <c r="H560" s="15"/>
      <c r="L560" s="35"/>
    </row>
    <row r="561" spans="1:12" x14ac:dyDescent="0.3">
      <c r="A561" s="19">
        <f>COUNTIFS($B$2:B561,B561)</f>
        <v>4</v>
      </c>
      <c r="B561" s="20" t="s">
        <v>542</v>
      </c>
      <c r="C561" s="21">
        <v>20060368076240</v>
      </c>
      <c r="D561" s="20" t="s">
        <v>196</v>
      </c>
      <c r="E561" s="22">
        <v>43.122923588039903</v>
      </c>
      <c r="F561" s="9"/>
      <c r="G561" s="14" t="str">
        <f t="shared" si="21"/>
        <v>O</v>
      </c>
      <c r="H561" s="15"/>
      <c r="L561" s="35"/>
    </row>
    <row r="562" spans="1:12" x14ac:dyDescent="0.3">
      <c r="A562" s="19">
        <f>COUNTIFS($B$2:B562,B562)</f>
        <v>5</v>
      </c>
      <c r="B562" s="20" t="s">
        <v>542</v>
      </c>
      <c r="C562" s="21">
        <v>20060368076240</v>
      </c>
      <c r="D562" s="20" t="s">
        <v>157</v>
      </c>
      <c r="E562" s="22">
        <v>17.24916943521589</v>
      </c>
      <c r="F562" s="9"/>
      <c r="G562" s="14" t="str">
        <f t="shared" si="21"/>
        <v>O</v>
      </c>
      <c r="H562" s="15"/>
      <c r="L562" s="35"/>
    </row>
    <row r="563" spans="1:12" x14ac:dyDescent="0.3">
      <c r="A563" s="19">
        <f>COUNTIFS($B$2:B563,B563)</f>
        <v>6</v>
      </c>
      <c r="B563" s="20" t="s">
        <v>542</v>
      </c>
      <c r="C563" s="21">
        <v>20060368076240</v>
      </c>
      <c r="D563" s="20" t="s">
        <v>12</v>
      </c>
      <c r="E563" s="22">
        <v>7.0564784053156089</v>
      </c>
      <c r="F563" s="9"/>
      <c r="G563" s="14" t="str">
        <f t="shared" si="21"/>
        <v>O</v>
      </c>
      <c r="H563" s="15"/>
      <c r="L563" s="35"/>
    </row>
    <row r="564" spans="1:12" x14ac:dyDescent="0.3">
      <c r="A564" s="23">
        <f>COUNTIFS($B$2:B564,B564)</f>
        <v>1</v>
      </c>
      <c r="B564" s="20" t="s">
        <v>543</v>
      </c>
      <c r="C564" s="25">
        <v>20060368076471</v>
      </c>
      <c r="D564" s="20" t="s">
        <v>210</v>
      </c>
      <c r="E564" s="22">
        <v>51.912721665381646</v>
      </c>
      <c r="F564" s="9"/>
      <c r="G564" s="14" t="str">
        <f t="shared" si="21"/>
        <v>O</v>
      </c>
      <c r="H564" s="15"/>
      <c r="L564" s="35"/>
    </row>
    <row r="565" spans="1:12" x14ac:dyDescent="0.3">
      <c r="A565" s="19">
        <f>COUNTIFS($B$2:B565,B565)</f>
        <v>2</v>
      </c>
      <c r="B565" s="20" t="s">
        <v>151</v>
      </c>
      <c r="C565" s="25">
        <v>20060368076471</v>
      </c>
      <c r="D565" s="20" t="s">
        <v>213</v>
      </c>
      <c r="E565" s="22">
        <v>42.578257517347723</v>
      </c>
      <c r="F565" s="9"/>
      <c r="G565" s="14" t="str">
        <f t="shared" si="21"/>
        <v>O</v>
      </c>
      <c r="H565" s="15"/>
      <c r="L565" s="35"/>
    </row>
    <row r="566" spans="1:12" x14ac:dyDescent="0.3">
      <c r="A566" s="19">
        <f>COUNTIFS($B$2:B566,B566)</f>
        <v>3</v>
      </c>
      <c r="B566" s="20" t="s">
        <v>151</v>
      </c>
      <c r="C566" s="25">
        <v>20060368076471</v>
      </c>
      <c r="D566" s="20" t="s">
        <v>17</v>
      </c>
      <c r="E566" s="22">
        <v>13.919814957594447</v>
      </c>
      <c r="F566" s="9"/>
      <c r="G566" s="14" t="str">
        <f t="shared" si="21"/>
        <v>O</v>
      </c>
      <c r="H566" s="15"/>
      <c r="L566" s="35"/>
    </row>
    <row r="567" spans="1:12" x14ac:dyDescent="0.3">
      <c r="A567" s="19">
        <f>COUNTIFS($B$2:B567,B567)</f>
        <v>4</v>
      </c>
      <c r="B567" s="20" t="s">
        <v>151</v>
      </c>
      <c r="C567" s="25">
        <v>20060368076471</v>
      </c>
      <c r="D567" s="20" t="s">
        <v>206</v>
      </c>
      <c r="E567" s="22">
        <v>73.365612952968391</v>
      </c>
      <c r="F567" s="9"/>
      <c r="G567" s="14" t="str">
        <f t="shared" si="21"/>
        <v>O</v>
      </c>
      <c r="H567" s="15"/>
      <c r="L567" s="35"/>
    </row>
    <row r="568" spans="1:12" x14ac:dyDescent="0.3">
      <c r="A568" s="19">
        <f>COUNTIFS($B$2:B568,B568)</f>
        <v>5</v>
      </c>
      <c r="B568" s="20" t="s">
        <v>151</v>
      </c>
      <c r="C568" s="25">
        <v>20060368076471</v>
      </c>
      <c r="D568" s="20" t="s">
        <v>141</v>
      </c>
      <c r="E568" s="22">
        <v>30.623592906707785</v>
      </c>
      <c r="F568" s="9"/>
      <c r="G568" s="14" t="str">
        <f t="shared" si="21"/>
        <v>O</v>
      </c>
      <c r="H568" s="15"/>
      <c r="L568" s="35"/>
    </row>
    <row r="569" spans="1:12" x14ac:dyDescent="0.3">
      <c r="A569" s="19">
        <f>COUNTIFS($B$2:B569,B569)</f>
        <v>6</v>
      </c>
      <c r="B569" s="20" t="s">
        <v>151</v>
      </c>
      <c r="C569" s="25">
        <v>20060368076471</v>
      </c>
      <c r="D569" s="20" t="s">
        <v>222</v>
      </c>
      <c r="E569" s="22">
        <v>0.46672320740169615</v>
      </c>
      <c r="F569" s="9"/>
      <c r="G569" s="14" t="str">
        <f t="shared" si="21"/>
        <v>O</v>
      </c>
      <c r="H569" s="15"/>
      <c r="L569" s="35"/>
    </row>
    <row r="570" spans="1:12" x14ac:dyDescent="0.3">
      <c r="A570" s="23">
        <f>COUNTIFS($B$2:B570,B570)</f>
        <v>1</v>
      </c>
      <c r="B570" s="20" t="s">
        <v>544</v>
      </c>
      <c r="C570" s="21">
        <v>20060368076590</v>
      </c>
      <c r="D570" s="20" t="s">
        <v>210</v>
      </c>
      <c r="E570" s="22">
        <v>28.840400925212023</v>
      </c>
      <c r="F570" s="9"/>
      <c r="G570" s="14" t="str">
        <f t="shared" si="21"/>
        <v>O</v>
      </c>
      <c r="H570" s="15"/>
      <c r="L570" s="35"/>
    </row>
    <row r="571" spans="1:12" x14ac:dyDescent="0.3">
      <c r="A571" s="19">
        <f>COUNTIFS($B$2:B571,B571)</f>
        <v>2</v>
      </c>
      <c r="B571" s="20" t="s">
        <v>544</v>
      </c>
      <c r="C571" s="21">
        <v>20060368076590</v>
      </c>
      <c r="D571" s="20" t="s">
        <v>213</v>
      </c>
      <c r="E571" s="22">
        <v>23.654587509637619</v>
      </c>
      <c r="F571" s="9"/>
      <c r="G571" s="14" t="str">
        <f t="shared" si="21"/>
        <v>O</v>
      </c>
      <c r="H571" s="15"/>
      <c r="L571" s="35"/>
    </row>
    <row r="572" spans="1:12" x14ac:dyDescent="0.3">
      <c r="A572" s="19">
        <f>COUNTIFS($B$2:B572,B572)</f>
        <v>3</v>
      </c>
      <c r="B572" s="20" t="s">
        <v>544</v>
      </c>
      <c r="C572" s="21">
        <v>20060368076590</v>
      </c>
      <c r="D572" s="20" t="s">
        <v>17</v>
      </c>
      <c r="E572" s="22">
        <v>7.7332305319969157</v>
      </c>
      <c r="F572" s="9"/>
      <c r="G572" s="14" t="str">
        <f t="shared" si="21"/>
        <v>O</v>
      </c>
      <c r="H572" s="15"/>
      <c r="L572" s="35"/>
    </row>
    <row r="573" spans="1:12" x14ac:dyDescent="0.3">
      <c r="A573" s="19">
        <f>COUNTIFS($B$2:B573,B573)</f>
        <v>4</v>
      </c>
      <c r="B573" s="20" t="s">
        <v>544</v>
      </c>
      <c r="C573" s="21">
        <v>20060368076590</v>
      </c>
      <c r="D573" s="20" t="s">
        <v>206</v>
      </c>
      <c r="E573" s="22">
        <v>40.758673862760219</v>
      </c>
      <c r="F573" s="9"/>
      <c r="G573" s="14" t="str">
        <f t="shared" si="21"/>
        <v>O</v>
      </c>
      <c r="H573" s="15"/>
      <c r="L573" s="35"/>
    </row>
    <row r="574" spans="1:12" x14ac:dyDescent="0.3">
      <c r="A574" s="19">
        <f>COUNTIFS($B$2:B574,B574)</f>
        <v>5</v>
      </c>
      <c r="B574" s="20" t="s">
        <v>544</v>
      </c>
      <c r="C574" s="21">
        <v>20060368076590</v>
      </c>
      <c r="D574" s="20" t="s">
        <v>141</v>
      </c>
      <c r="E574" s="22">
        <v>17.013107170393212</v>
      </c>
      <c r="F574" s="9"/>
      <c r="G574" s="14" t="str">
        <f t="shared" si="21"/>
        <v>O</v>
      </c>
      <c r="H574" s="15"/>
      <c r="L574" s="35"/>
    </row>
    <row r="575" spans="1:12" x14ac:dyDescent="0.3">
      <c r="A575" s="19">
        <f>COUNTIFS($B$2:B575,B575)</f>
        <v>6</v>
      </c>
      <c r="B575" s="20" t="s">
        <v>544</v>
      </c>
      <c r="C575" s="21">
        <v>20060368076590</v>
      </c>
      <c r="D575" s="20" t="s">
        <v>222</v>
      </c>
      <c r="E575" s="22">
        <v>0.25929067077872009</v>
      </c>
      <c r="F575" s="9"/>
      <c r="G575" s="14" t="str">
        <f t="shared" si="21"/>
        <v>O</v>
      </c>
      <c r="H575" s="15"/>
      <c r="L575" s="35"/>
    </row>
    <row r="576" spans="1:12" x14ac:dyDescent="0.3">
      <c r="A576" s="23">
        <f>COUNTIFS($B$2:B576,B576)</f>
        <v>1</v>
      </c>
      <c r="B576" s="20" t="s">
        <v>545</v>
      </c>
      <c r="C576" s="24">
        <v>20060368076589</v>
      </c>
      <c r="D576" s="20" t="s">
        <v>157</v>
      </c>
      <c r="E576" s="22">
        <v>25.69</v>
      </c>
      <c r="F576" s="9"/>
      <c r="G576" s="14" t="str">
        <f t="shared" si="21"/>
        <v>O</v>
      </c>
      <c r="H576" s="15"/>
      <c r="L576" s="35"/>
    </row>
    <row r="577" spans="1:12" x14ac:dyDescent="0.3">
      <c r="A577" s="19">
        <f>COUNTIFS($B$2:B577,B577)</f>
        <v>2</v>
      </c>
      <c r="B577" s="20" t="s">
        <v>545</v>
      </c>
      <c r="C577" s="24">
        <v>20060368076589</v>
      </c>
      <c r="D577" s="20" t="s">
        <v>210</v>
      </c>
      <c r="E577" s="22">
        <v>29.14</v>
      </c>
      <c r="F577" s="9"/>
      <c r="G577" s="14" t="str">
        <f t="shared" si="21"/>
        <v>O</v>
      </c>
      <c r="H577" s="15"/>
      <c r="L577" s="35"/>
    </row>
    <row r="578" spans="1:12" x14ac:dyDescent="0.3">
      <c r="A578" s="19">
        <f>COUNTIFS($B$2:B578,B578)</f>
        <v>3</v>
      </c>
      <c r="B578" s="20" t="s">
        <v>545</v>
      </c>
      <c r="C578" s="24">
        <v>20060368076589</v>
      </c>
      <c r="D578" s="20" t="s">
        <v>17</v>
      </c>
      <c r="E578" s="22">
        <v>7.63</v>
      </c>
      <c r="F578" s="9"/>
      <c r="G578" s="14" t="str">
        <f t="shared" si="21"/>
        <v>O</v>
      </c>
      <c r="H578" s="15"/>
      <c r="L578" s="35"/>
    </row>
    <row r="579" spans="1:12" x14ac:dyDescent="0.3">
      <c r="A579" s="19">
        <f>COUNTIFS($B$2:B579,B579)</f>
        <v>4</v>
      </c>
      <c r="B579" s="20" t="s">
        <v>545</v>
      </c>
      <c r="C579" s="24">
        <v>20060368076589</v>
      </c>
      <c r="D579" s="20" t="s">
        <v>206</v>
      </c>
      <c r="E579" s="22">
        <v>34.22</v>
      </c>
      <c r="F579" s="9"/>
      <c r="G579" s="14" t="str">
        <f t="shared" si="21"/>
        <v>O</v>
      </c>
      <c r="H579" s="15"/>
      <c r="L579" s="35"/>
    </row>
    <row r="580" spans="1:12" x14ac:dyDescent="0.3">
      <c r="A580" s="19">
        <f>COUNTIFS($B$2:B580,B580)</f>
        <v>5</v>
      </c>
      <c r="B580" s="20" t="s">
        <v>545</v>
      </c>
      <c r="C580" s="24">
        <v>20060368076589</v>
      </c>
      <c r="D580" s="20" t="s">
        <v>172</v>
      </c>
      <c r="E580" s="22">
        <v>3.45</v>
      </c>
      <c r="F580" s="9"/>
      <c r="G580" s="14" t="str">
        <f t="shared" si="21"/>
        <v>O</v>
      </c>
      <c r="H580" s="15"/>
      <c r="L580" s="35"/>
    </row>
    <row r="581" spans="1:12" x14ac:dyDescent="0.3">
      <c r="A581" s="19">
        <f>COUNTIFS($B$2:B581,B581)</f>
        <v>6</v>
      </c>
      <c r="B581" s="20" t="s">
        <v>545</v>
      </c>
      <c r="C581" s="24">
        <v>20060368076589</v>
      </c>
      <c r="D581" s="20" t="s">
        <v>141</v>
      </c>
      <c r="E581" s="22">
        <v>15.43</v>
      </c>
      <c r="F581" s="9"/>
      <c r="G581" s="14" t="str">
        <f t="shared" si="21"/>
        <v>O</v>
      </c>
      <c r="H581" s="15"/>
      <c r="L581" s="35"/>
    </row>
    <row r="582" spans="1:12" x14ac:dyDescent="0.3">
      <c r="A582" s="19">
        <f>COUNTIFS($B$2:B582,B582)</f>
        <v>7</v>
      </c>
      <c r="B582" s="20" t="s">
        <v>545</v>
      </c>
      <c r="C582" s="24">
        <v>20060368076589</v>
      </c>
      <c r="D582" s="20" t="s">
        <v>222</v>
      </c>
      <c r="E582" s="22">
        <v>0.26</v>
      </c>
      <c r="F582" s="9"/>
      <c r="G582" s="14" t="str">
        <f t="shared" si="21"/>
        <v>O</v>
      </c>
      <c r="H582" s="15"/>
      <c r="L582" s="35"/>
    </row>
    <row r="583" spans="1:12" x14ac:dyDescent="0.3">
      <c r="A583" s="19">
        <f>COUNTIFS($B$2:B583,B583)</f>
        <v>8</v>
      </c>
      <c r="B583" s="20" t="s">
        <v>545</v>
      </c>
      <c r="C583" s="24">
        <v>20060368076589</v>
      </c>
      <c r="D583" s="20" t="s">
        <v>255</v>
      </c>
      <c r="E583" s="22">
        <v>2.1800000000000002</v>
      </c>
      <c r="F583" s="9"/>
      <c r="G583" s="14" t="str">
        <f t="shared" si="21"/>
        <v>O</v>
      </c>
      <c r="H583" s="15"/>
      <c r="L583" s="35"/>
    </row>
    <row r="584" spans="1:12" x14ac:dyDescent="0.3">
      <c r="A584" s="23">
        <v>1</v>
      </c>
      <c r="B584" s="20" t="s">
        <v>546</v>
      </c>
      <c r="C584" s="24">
        <v>20060368076740</v>
      </c>
      <c r="D584" s="20" t="s">
        <v>210</v>
      </c>
      <c r="E584" s="22">
        <v>29.0074650826778</v>
      </c>
      <c r="F584" s="9"/>
      <c r="G584" s="14" t="str">
        <f t="shared" si="21"/>
        <v>O</v>
      </c>
      <c r="H584" s="15"/>
      <c r="L584" s="35"/>
    </row>
    <row r="585" spans="1:12" x14ac:dyDescent="0.3">
      <c r="A585" s="19">
        <v>2</v>
      </c>
      <c r="B585" s="20" t="s">
        <v>546</v>
      </c>
      <c r="C585" s="24">
        <v>20060368076740</v>
      </c>
      <c r="D585" s="20" t="s">
        <v>213</v>
      </c>
      <c r="E585" s="22">
        <v>24.86354149943811</v>
      </c>
      <c r="F585" s="9"/>
      <c r="G585" s="14" t="str">
        <f t="shared" si="21"/>
        <v>O</v>
      </c>
      <c r="H585" s="15"/>
      <c r="L585" s="35"/>
    </row>
    <row r="586" spans="1:12" x14ac:dyDescent="0.3">
      <c r="A586" s="19">
        <v>3</v>
      </c>
      <c r="B586" s="20" t="s">
        <v>546</v>
      </c>
      <c r="C586" s="24">
        <v>20060368076740</v>
      </c>
      <c r="D586" s="20" t="s">
        <v>263</v>
      </c>
      <c r="E586" s="22">
        <v>4.9727082998876222</v>
      </c>
      <c r="F586" s="9"/>
      <c r="G586" s="14" t="str">
        <f t="shared" si="21"/>
        <v>O</v>
      </c>
      <c r="H586" s="15"/>
      <c r="L586" s="35"/>
    </row>
    <row r="587" spans="1:12" x14ac:dyDescent="0.3">
      <c r="A587" s="19">
        <v>4</v>
      </c>
      <c r="B587" s="20" t="s">
        <v>546</v>
      </c>
      <c r="C587" s="24">
        <v>20060368076740</v>
      </c>
      <c r="D587" s="20" t="s">
        <v>255</v>
      </c>
      <c r="E587" s="22">
        <v>5.8014930165355585</v>
      </c>
      <c r="F587" s="9"/>
      <c r="G587" s="14" t="str">
        <f t="shared" si="21"/>
        <v>O</v>
      </c>
      <c r="H587" s="15"/>
      <c r="L587" s="35"/>
    </row>
    <row r="588" spans="1:12" x14ac:dyDescent="0.3">
      <c r="A588" s="19">
        <v>5</v>
      </c>
      <c r="B588" s="20" t="s">
        <v>546</v>
      </c>
      <c r="C588" s="24">
        <v>20060368076740</v>
      </c>
      <c r="D588" s="20" t="s">
        <v>206</v>
      </c>
      <c r="E588" s="22">
        <v>41.439235832396854</v>
      </c>
      <c r="F588" s="9"/>
      <c r="G588" s="14" t="str">
        <f t="shared" si="21"/>
        <v>O</v>
      </c>
      <c r="H588" s="15"/>
      <c r="L588" s="35"/>
    </row>
    <row r="589" spans="1:12" x14ac:dyDescent="0.3">
      <c r="A589" s="19">
        <v>6</v>
      </c>
      <c r="B589" s="20" t="s">
        <v>546</v>
      </c>
      <c r="C589" s="24">
        <v>20060368076740</v>
      </c>
      <c r="D589" s="20" t="s">
        <v>172</v>
      </c>
      <c r="E589" s="22">
        <v>3.3151388665917487</v>
      </c>
      <c r="F589" s="9"/>
      <c r="G589" s="14" t="str">
        <f t="shared" si="21"/>
        <v>O</v>
      </c>
      <c r="H589" s="15"/>
      <c r="L589" s="35"/>
    </row>
    <row r="590" spans="1:12" x14ac:dyDescent="0.3">
      <c r="A590" s="19">
        <v>7</v>
      </c>
      <c r="B590" s="20" t="s">
        <v>546</v>
      </c>
      <c r="C590" s="24">
        <v>20060368076740</v>
      </c>
      <c r="D590" s="20" t="s">
        <v>222</v>
      </c>
      <c r="E590" s="22">
        <v>0.31257023599293626</v>
      </c>
      <c r="F590" s="9"/>
      <c r="G590" s="14" t="str">
        <f t="shared" si="21"/>
        <v>O</v>
      </c>
      <c r="H590" s="15"/>
      <c r="L590" s="35"/>
    </row>
    <row r="591" spans="1:12" x14ac:dyDescent="0.3">
      <c r="A591" s="19">
        <v>8</v>
      </c>
      <c r="B591" s="20" t="s">
        <v>546</v>
      </c>
      <c r="C591" s="24">
        <v>20060368076740</v>
      </c>
      <c r="D591" s="20" t="s">
        <v>44</v>
      </c>
      <c r="E591" s="22">
        <v>8.28784716647937</v>
      </c>
      <c r="F591" s="9"/>
      <c r="G591" s="14" t="str">
        <f t="shared" si="21"/>
        <v>O</v>
      </c>
      <c r="H591" s="15"/>
      <c r="L591" s="35"/>
    </row>
    <row r="592" spans="1:12" x14ac:dyDescent="0.3">
      <c r="A592" s="23">
        <f>COUNTIFS($B$2:B592,B592)</f>
        <v>1</v>
      </c>
      <c r="B592" s="20" t="s">
        <v>154</v>
      </c>
      <c r="C592" s="24">
        <v>20060368076472</v>
      </c>
      <c r="D592" s="20" t="s">
        <v>547</v>
      </c>
      <c r="E592" s="22">
        <v>44.47</v>
      </c>
      <c r="F592" s="9"/>
      <c r="G592" s="14" t="str">
        <f t="shared" si="21"/>
        <v>O</v>
      </c>
      <c r="H592" s="15"/>
      <c r="L592" s="35"/>
    </row>
    <row r="593" spans="1:12" x14ac:dyDescent="0.3">
      <c r="A593" s="19">
        <f>COUNTIFS($B$2:B593,B593)</f>
        <v>2</v>
      </c>
      <c r="B593" s="20" t="s">
        <v>154</v>
      </c>
      <c r="C593" s="24">
        <v>20060368076472</v>
      </c>
      <c r="D593" s="20" t="s">
        <v>548</v>
      </c>
      <c r="E593" s="22">
        <v>0.89</v>
      </c>
      <c r="F593" s="9"/>
      <c r="G593" s="14" t="str">
        <f t="shared" si="21"/>
        <v>O</v>
      </c>
      <c r="H593" s="15"/>
      <c r="L593" s="35"/>
    </row>
    <row r="594" spans="1:12" x14ac:dyDescent="0.3">
      <c r="A594" s="19">
        <f>COUNTIFS($B$2:B594,B594)</f>
        <v>3</v>
      </c>
      <c r="B594" s="20" t="s">
        <v>154</v>
      </c>
      <c r="C594" s="24">
        <v>20060368076472</v>
      </c>
      <c r="D594" s="20" t="s">
        <v>268</v>
      </c>
      <c r="E594" s="22">
        <v>0.89</v>
      </c>
      <c r="F594" s="9"/>
      <c r="G594" s="14" t="str">
        <f t="shared" si="21"/>
        <v>O</v>
      </c>
      <c r="H594" s="15"/>
      <c r="L594" s="35"/>
    </row>
    <row r="595" spans="1:12" x14ac:dyDescent="0.3">
      <c r="A595" s="19">
        <f>COUNTIFS($B$2:B595,B595)</f>
        <v>4</v>
      </c>
      <c r="B595" s="20" t="s">
        <v>154</v>
      </c>
      <c r="C595" s="24">
        <v>20060368076472</v>
      </c>
      <c r="D595" s="20" t="s">
        <v>132</v>
      </c>
      <c r="E595" s="22">
        <v>0.89</v>
      </c>
      <c r="F595" s="9"/>
      <c r="G595" s="14" t="str">
        <f t="shared" si="21"/>
        <v>O</v>
      </c>
      <c r="H595" s="15"/>
      <c r="L595" s="35"/>
    </row>
    <row r="596" spans="1:12" x14ac:dyDescent="0.3">
      <c r="A596" s="19">
        <f>COUNTIFS($B$2:B596,B596)</f>
        <v>5</v>
      </c>
      <c r="B596" s="20" t="s">
        <v>154</v>
      </c>
      <c r="C596" s="24">
        <v>20060368076472</v>
      </c>
      <c r="D596" s="20" t="s">
        <v>270</v>
      </c>
      <c r="E596" s="22">
        <v>17.79</v>
      </c>
      <c r="F596" s="9"/>
      <c r="G596" s="14" t="str">
        <f t="shared" si="21"/>
        <v>O</v>
      </c>
      <c r="H596" s="15"/>
      <c r="L596" s="35"/>
    </row>
    <row r="597" spans="1:12" x14ac:dyDescent="0.3">
      <c r="A597" s="19">
        <f>COUNTIFS($B$2:B597,B597)</f>
        <v>6</v>
      </c>
      <c r="B597" s="20" t="s">
        <v>154</v>
      </c>
      <c r="C597" s="24">
        <v>20060368076472</v>
      </c>
      <c r="D597" s="20" t="s">
        <v>213</v>
      </c>
      <c r="E597" s="22">
        <v>47.32</v>
      </c>
      <c r="F597" s="9"/>
      <c r="G597" s="14" t="str">
        <f t="shared" si="21"/>
        <v>O</v>
      </c>
      <c r="H597" s="15"/>
      <c r="L597" s="35"/>
    </row>
    <row r="598" spans="1:12" x14ac:dyDescent="0.3">
      <c r="A598" s="19">
        <f>COUNTIFS($B$2:B598,B598)</f>
        <v>7</v>
      </c>
      <c r="B598" s="20" t="s">
        <v>154</v>
      </c>
      <c r="C598" s="24">
        <v>20060368076472</v>
      </c>
      <c r="D598" s="20" t="s">
        <v>23</v>
      </c>
      <c r="E598" s="22">
        <v>29.89</v>
      </c>
      <c r="F598" s="9"/>
      <c r="G598" s="14" t="str">
        <f t="shared" si="21"/>
        <v>O</v>
      </c>
      <c r="H598" s="15"/>
      <c r="L598" s="35"/>
    </row>
    <row r="599" spans="1:12" x14ac:dyDescent="0.3">
      <c r="A599" s="19">
        <f>COUNTIFS($B$2:B599,B599)</f>
        <v>8</v>
      </c>
      <c r="B599" s="20" t="s">
        <v>154</v>
      </c>
      <c r="C599" s="24">
        <v>20060368076472</v>
      </c>
      <c r="D599" s="20" t="s">
        <v>114</v>
      </c>
      <c r="E599" s="22">
        <v>17.79</v>
      </c>
      <c r="F599" s="9"/>
      <c r="G599" s="14" t="str">
        <f t="shared" si="21"/>
        <v>O</v>
      </c>
      <c r="H599" s="15"/>
      <c r="L599" s="35"/>
    </row>
    <row r="600" spans="1:12" x14ac:dyDescent="0.3">
      <c r="A600" s="19">
        <f>COUNTIFS($B$2:B600,B600)</f>
        <v>9</v>
      </c>
      <c r="B600" s="20" t="s">
        <v>154</v>
      </c>
      <c r="C600" s="24">
        <v>20060368076472</v>
      </c>
      <c r="D600" s="20" t="s">
        <v>214</v>
      </c>
      <c r="E600" s="22">
        <v>0.89</v>
      </c>
      <c r="F600" s="9"/>
      <c r="G600" s="14" t="str">
        <f t="shared" si="21"/>
        <v>O</v>
      </c>
      <c r="H600" s="15"/>
      <c r="L600" s="35"/>
    </row>
    <row r="601" spans="1:12" x14ac:dyDescent="0.3">
      <c r="A601" s="19">
        <f>COUNTIFS($B$2:B601,B601)</f>
        <v>10</v>
      </c>
      <c r="B601" s="20" t="s">
        <v>154</v>
      </c>
      <c r="C601" s="24">
        <v>20060368076472</v>
      </c>
      <c r="D601" s="20" t="s">
        <v>41</v>
      </c>
      <c r="E601" s="22">
        <v>17.79</v>
      </c>
      <c r="F601" s="9"/>
      <c r="G601" s="14" t="str">
        <f t="shared" si="21"/>
        <v>O</v>
      </c>
      <c r="H601" s="15"/>
      <c r="L601" s="35"/>
    </row>
    <row r="602" spans="1:12" x14ac:dyDescent="0.3">
      <c r="A602" s="19">
        <f>COUNTIFS($B$2:B602,B602)</f>
        <v>11</v>
      </c>
      <c r="B602" s="20" t="s">
        <v>154</v>
      </c>
      <c r="C602" s="24">
        <v>20060368076472</v>
      </c>
      <c r="D602" s="20" t="s">
        <v>272</v>
      </c>
      <c r="E602" s="22">
        <v>16.010000000000002</v>
      </c>
      <c r="F602" s="9"/>
      <c r="G602" s="14" t="str">
        <f t="shared" si="21"/>
        <v>O</v>
      </c>
      <c r="H602" s="15"/>
      <c r="L602" s="35"/>
    </row>
    <row r="603" spans="1:12" x14ac:dyDescent="0.3">
      <c r="A603" s="19">
        <f>COUNTIFS($B$2:B603,B603)</f>
        <v>12</v>
      </c>
      <c r="B603" s="20" t="s">
        <v>154</v>
      </c>
      <c r="C603" s="24">
        <v>20060368076472</v>
      </c>
      <c r="D603" s="20" t="s">
        <v>549</v>
      </c>
      <c r="E603" s="22">
        <v>17.79</v>
      </c>
      <c r="F603" s="9"/>
      <c r="G603" s="14" t="str">
        <f t="shared" si="21"/>
        <v>O</v>
      </c>
      <c r="H603" s="15"/>
      <c r="L603" s="35"/>
    </row>
    <row r="604" spans="1:12" x14ac:dyDescent="0.3">
      <c r="A604" s="23">
        <f>COUNTIFS($B$2:B604,B604)</f>
        <v>1</v>
      </c>
      <c r="B604" s="20" t="s">
        <v>550</v>
      </c>
      <c r="C604" s="21">
        <v>20060368076592</v>
      </c>
      <c r="D604" s="20" t="s">
        <v>547</v>
      </c>
      <c r="E604" s="22">
        <v>24.71</v>
      </c>
      <c r="F604" s="9"/>
      <c r="G604" s="14" t="str">
        <f t="shared" si="21"/>
        <v>O</v>
      </c>
      <c r="H604" s="15"/>
      <c r="L604" s="35"/>
    </row>
    <row r="605" spans="1:12" x14ac:dyDescent="0.3">
      <c r="A605" s="19">
        <f>COUNTIFS($B$2:B605,B605)</f>
        <v>2</v>
      </c>
      <c r="B605" s="20" t="s">
        <v>550</v>
      </c>
      <c r="C605" s="21">
        <v>20060368076592</v>
      </c>
      <c r="D605" s="20" t="s">
        <v>548</v>
      </c>
      <c r="E605" s="22">
        <v>0.49</v>
      </c>
      <c r="F605" s="9"/>
      <c r="G605" s="14" t="str">
        <f t="shared" ref="G605:G638" si="22">IF(D605="","",IF(COUNTIF(I:I,D605)&gt;0,"O","X"))</f>
        <v>O</v>
      </c>
      <c r="H605" s="15"/>
      <c r="L605" s="35"/>
    </row>
    <row r="606" spans="1:12" x14ac:dyDescent="0.3">
      <c r="A606" s="19">
        <f>COUNTIFS($B$2:B606,B606)</f>
        <v>3</v>
      </c>
      <c r="B606" s="20" t="s">
        <v>550</v>
      </c>
      <c r="C606" s="21">
        <v>20060368076592</v>
      </c>
      <c r="D606" s="20" t="s">
        <v>268</v>
      </c>
      <c r="E606" s="22">
        <v>0.49</v>
      </c>
      <c r="F606" s="9"/>
      <c r="G606" s="14" t="str">
        <f t="shared" si="22"/>
        <v>O</v>
      </c>
      <c r="H606" s="15"/>
      <c r="L606" s="35"/>
    </row>
    <row r="607" spans="1:12" x14ac:dyDescent="0.3">
      <c r="A607" s="19">
        <f>COUNTIFS($B$2:B607,B607)</f>
        <v>4</v>
      </c>
      <c r="B607" s="20" t="s">
        <v>550</v>
      </c>
      <c r="C607" s="21">
        <v>20060368076592</v>
      </c>
      <c r="D607" s="20" t="s">
        <v>132</v>
      </c>
      <c r="E607" s="22">
        <v>0.49</v>
      </c>
      <c r="F607" s="9"/>
      <c r="G607" s="14" t="str">
        <f t="shared" si="22"/>
        <v>O</v>
      </c>
      <c r="H607" s="15"/>
      <c r="L607" s="35"/>
    </row>
    <row r="608" spans="1:12" x14ac:dyDescent="0.3">
      <c r="A608" s="19">
        <f>COUNTIFS($B$2:B608,B608)</f>
        <v>5</v>
      </c>
      <c r="B608" s="20" t="s">
        <v>550</v>
      </c>
      <c r="C608" s="21">
        <v>20060368076592</v>
      </c>
      <c r="D608" s="20" t="s">
        <v>270</v>
      </c>
      <c r="E608" s="22">
        <v>9.8800000000000008</v>
      </c>
      <c r="F608" s="9"/>
      <c r="G608" s="14" t="str">
        <f t="shared" si="22"/>
        <v>O</v>
      </c>
      <c r="H608" s="15"/>
      <c r="L608" s="35"/>
    </row>
    <row r="609" spans="1:12" x14ac:dyDescent="0.3">
      <c r="A609" s="19">
        <f>COUNTIFS($B$2:B609,B609)</f>
        <v>6</v>
      </c>
      <c r="B609" s="20" t="s">
        <v>550</v>
      </c>
      <c r="C609" s="21">
        <v>20060368076592</v>
      </c>
      <c r="D609" s="20" t="s">
        <v>213</v>
      </c>
      <c r="E609" s="22">
        <v>26.29</v>
      </c>
      <c r="F609" s="9"/>
      <c r="G609" s="14" t="str">
        <f t="shared" si="22"/>
        <v>O</v>
      </c>
      <c r="H609" s="15"/>
      <c r="L609" s="35"/>
    </row>
    <row r="610" spans="1:12" x14ac:dyDescent="0.3">
      <c r="A610" s="19">
        <f>COUNTIFS($B$2:B610,B610)</f>
        <v>7</v>
      </c>
      <c r="B610" s="20" t="s">
        <v>550</v>
      </c>
      <c r="C610" s="21">
        <v>20060368076592</v>
      </c>
      <c r="D610" s="20" t="s">
        <v>23</v>
      </c>
      <c r="E610" s="22">
        <v>16.600000000000001</v>
      </c>
      <c r="F610" s="9"/>
      <c r="G610" s="14" t="str">
        <f t="shared" si="22"/>
        <v>O</v>
      </c>
      <c r="H610" s="15"/>
      <c r="L610" s="35"/>
    </row>
    <row r="611" spans="1:12" x14ac:dyDescent="0.3">
      <c r="A611" s="19">
        <f>COUNTIFS($B$2:B611,B611)</f>
        <v>8</v>
      </c>
      <c r="B611" s="20" t="s">
        <v>550</v>
      </c>
      <c r="C611" s="21">
        <v>20060368076592</v>
      </c>
      <c r="D611" s="20" t="s">
        <v>114</v>
      </c>
      <c r="E611" s="22">
        <v>9.8800000000000008</v>
      </c>
      <c r="F611" s="9"/>
      <c r="G611" s="14" t="str">
        <f t="shared" si="22"/>
        <v>O</v>
      </c>
      <c r="H611" s="15"/>
      <c r="L611" s="35"/>
    </row>
    <row r="612" spans="1:12" x14ac:dyDescent="0.3">
      <c r="A612" s="19">
        <f>COUNTIFS($B$2:B612,B612)</f>
        <v>9</v>
      </c>
      <c r="B612" s="20" t="s">
        <v>550</v>
      </c>
      <c r="C612" s="21">
        <v>20060368076592</v>
      </c>
      <c r="D612" s="20" t="s">
        <v>214</v>
      </c>
      <c r="E612" s="22">
        <v>0.49</v>
      </c>
      <c r="F612" s="9"/>
      <c r="G612" s="14" t="str">
        <f t="shared" si="22"/>
        <v>O</v>
      </c>
      <c r="H612" s="15"/>
      <c r="L612" s="35"/>
    </row>
    <row r="613" spans="1:12" x14ac:dyDescent="0.3">
      <c r="A613" s="19">
        <f>COUNTIFS($B$2:B613,B613)</f>
        <v>10</v>
      </c>
      <c r="B613" s="20" t="s">
        <v>550</v>
      </c>
      <c r="C613" s="21">
        <v>20060368076592</v>
      </c>
      <c r="D613" s="20" t="s">
        <v>41</v>
      </c>
      <c r="E613" s="22">
        <v>9.8800000000000008</v>
      </c>
      <c r="F613" s="9"/>
      <c r="G613" s="14" t="str">
        <f t="shared" si="22"/>
        <v>O</v>
      </c>
      <c r="H613" s="15"/>
      <c r="L613" s="35"/>
    </row>
    <row r="614" spans="1:12" x14ac:dyDescent="0.3">
      <c r="A614" s="19">
        <f>COUNTIFS($B$2:B614,B614)</f>
        <v>11</v>
      </c>
      <c r="B614" s="20" t="s">
        <v>550</v>
      </c>
      <c r="C614" s="21">
        <v>20060368076592</v>
      </c>
      <c r="D614" s="20" t="s">
        <v>272</v>
      </c>
      <c r="E614" s="22">
        <v>8.89</v>
      </c>
      <c r="F614" s="9"/>
      <c r="G614" s="14" t="str">
        <f t="shared" si="22"/>
        <v>O</v>
      </c>
      <c r="H614" s="15"/>
      <c r="L614" s="35"/>
    </row>
    <row r="615" spans="1:12" x14ac:dyDescent="0.3">
      <c r="A615" s="19">
        <f>COUNTIFS($B$2:B615,B615)</f>
        <v>12</v>
      </c>
      <c r="B615" s="20" t="s">
        <v>550</v>
      </c>
      <c r="C615" s="21">
        <v>20060368076592</v>
      </c>
      <c r="D615" s="20" t="s">
        <v>549</v>
      </c>
      <c r="E615" s="22">
        <v>9.8800000000000008</v>
      </c>
      <c r="F615" s="9"/>
      <c r="G615" s="14" t="str">
        <f t="shared" si="22"/>
        <v>O</v>
      </c>
      <c r="H615" s="15"/>
      <c r="L615" s="35"/>
    </row>
    <row r="616" spans="1:12" x14ac:dyDescent="0.3">
      <c r="A616" s="23">
        <f>COUNTIFS($B$2:B616,B616)</f>
        <v>1</v>
      </c>
      <c r="B616" s="20" t="s">
        <v>158</v>
      </c>
      <c r="C616" s="24">
        <v>20060368076474</v>
      </c>
      <c r="D616" s="20" t="s">
        <v>210</v>
      </c>
      <c r="E616" s="22">
        <v>27.878589007383102</v>
      </c>
      <c r="F616" s="9"/>
      <c r="G616" s="14" t="str">
        <f t="shared" si="22"/>
        <v>O</v>
      </c>
      <c r="H616" s="15"/>
      <c r="L616" s="35"/>
    </row>
    <row r="617" spans="1:12" x14ac:dyDescent="0.3">
      <c r="A617" s="19">
        <f>COUNTIFS($B$2:B617,B617)</f>
        <v>2</v>
      </c>
      <c r="B617" s="20" t="s">
        <v>158</v>
      </c>
      <c r="C617" s="24">
        <v>20060368076474</v>
      </c>
      <c r="D617" s="20" t="s">
        <v>213</v>
      </c>
      <c r="E617" s="22">
        <v>24.393765381460213</v>
      </c>
      <c r="F617" s="9"/>
      <c r="G617" s="14" t="str">
        <f t="shared" si="22"/>
        <v>O</v>
      </c>
      <c r="H617" s="15"/>
      <c r="L617" s="35"/>
    </row>
    <row r="618" spans="1:12" x14ac:dyDescent="0.3">
      <c r="A618" s="19">
        <f>COUNTIFS($B$2:B618,B618)</f>
        <v>3</v>
      </c>
      <c r="B618" s="20" t="s">
        <v>158</v>
      </c>
      <c r="C618" s="24">
        <v>20060368076474</v>
      </c>
      <c r="D618" s="20" t="s">
        <v>260</v>
      </c>
      <c r="E618" s="22">
        <v>13.939294503691551</v>
      </c>
      <c r="F618" s="9"/>
      <c r="G618" s="14" t="str">
        <f t="shared" si="22"/>
        <v>O</v>
      </c>
      <c r="H618" s="15"/>
      <c r="L618" s="35"/>
    </row>
    <row r="619" spans="1:12" x14ac:dyDescent="0.3">
      <c r="A619" s="19">
        <f>COUNTIFS($B$2:B619,B619)</f>
        <v>4</v>
      </c>
      <c r="B619" s="20" t="s">
        <v>158</v>
      </c>
      <c r="C619" s="24">
        <v>20060368076474</v>
      </c>
      <c r="D619" s="20" t="s">
        <v>263</v>
      </c>
      <c r="E619" s="22">
        <v>13.939294503691551</v>
      </c>
      <c r="F619" s="9"/>
      <c r="G619" s="14" t="str">
        <f t="shared" si="22"/>
        <v>O</v>
      </c>
      <c r="H619" s="15"/>
      <c r="L619" s="35"/>
    </row>
    <row r="620" spans="1:12" x14ac:dyDescent="0.3">
      <c r="A620" s="19">
        <f>COUNTIFS($B$2:B620,B620)</f>
        <v>5</v>
      </c>
      <c r="B620" s="20" t="s">
        <v>158</v>
      </c>
      <c r="C620" s="24">
        <v>20060368076474</v>
      </c>
      <c r="D620" s="20" t="s">
        <v>206</v>
      </c>
      <c r="E620" s="22">
        <v>48.787530762920426</v>
      </c>
      <c r="F620" s="9"/>
      <c r="G620" s="14" t="str">
        <f t="shared" si="22"/>
        <v>O</v>
      </c>
      <c r="H620" s="15"/>
      <c r="L620" s="35"/>
    </row>
    <row r="621" spans="1:12" x14ac:dyDescent="0.3">
      <c r="A621" s="19">
        <f>COUNTIFS($B$2:B621,B621)</f>
        <v>6</v>
      </c>
      <c r="B621" s="20" t="s">
        <v>158</v>
      </c>
      <c r="C621" s="24">
        <v>20060368076474</v>
      </c>
      <c r="D621" s="20" t="s">
        <v>268</v>
      </c>
      <c r="E621" s="22">
        <v>2.7878589007383101</v>
      </c>
      <c r="F621" s="9"/>
      <c r="G621" s="14" t="str">
        <f t="shared" si="22"/>
        <v>O</v>
      </c>
      <c r="H621" s="15"/>
      <c r="L621" s="35"/>
    </row>
    <row r="622" spans="1:12" x14ac:dyDescent="0.3">
      <c r="A622" s="19">
        <f>COUNTIFS($B$2:B622,B622)</f>
        <v>7</v>
      </c>
      <c r="B622" s="20" t="s">
        <v>158</v>
      </c>
      <c r="C622" s="24">
        <v>20060368076474</v>
      </c>
      <c r="D622" s="20" t="s">
        <v>132</v>
      </c>
      <c r="E622" s="22">
        <v>1.3939294503691551</v>
      </c>
      <c r="F622" s="9"/>
      <c r="G622" s="14" t="str">
        <f t="shared" si="22"/>
        <v>O</v>
      </c>
      <c r="H622" s="15"/>
      <c r="L622" s="35"/>
    </row>
    <row r="623" spans="1:12" x14ac:dyDescent="0.3">
      <c r="A623" s="19">
        <f>COUNTIFS($B$2:B623,B623)</f>
        <v>8</v>
      </c>
      <c r="B623" s="20" t="s">
        <v>158</v>
      </c>
      <c r="C623" s="24">
        <v>20060368076474</v>
      </c>
      <c r="D623" s="20" t="s">
        <v>272</v>
      </c>
      <c r="E623" s="22">
        <v>13.939294503691551</v>
      </c>
      <c r="F623" s="9"/>
      <c r="G623" s="14" t="str">
        <f t="shared" si="22"/>
        <v>O</v>
      </c>
      <c r="H623" s="15"/>
      <c r="L623" s="35"/>
    </row>
    <row r="624" spans="1:12" x14ac:dyDescent="0.3">
      <c r="A624" s="19">
        <f>COUNTIFS($B$2:B624,B624)</f>
        <v>9</v>
      </c>
      <c r="B624" s="20" t="s">
        <v>158</v>
      </c>
      <c r="C624" s="24">
        <v>20060368076474</v>
      </c>
      <c r="D624" s="20" t="s">
        <v>168</v>
      </c>
      <c r="E624" s="22">
        <v>13.06808859721083</v>
      </c>
      <c r="F624" s="9"/>
      <c r="G624" s="14" t="str">
        <f t="shared" si="22"/>
        <v>O</v>
      </c>
      <c r="H624" s="15"/>
      <c r="L624" s="35"/>
    </row>
    <row r="625" spans="1:12" x14ac:dyDescent="0.3">
      <c r="A625" s="19">
        <f>COUNTIFS($B$2:B625,B625)</f>
        <v>10</v>
      </c>
      <c r="B625" s="20" t="s">
        <v>158</v>
      </c>
      <c r="C625" s="24">
        <v>20060368076474</v>
      </c>
      <c r="D625" s="20" t="s">
        <v>21</v>
      </c>
      <c r="E625" s="22">
        <v>52.272354388843318</v>
      </c>
      <c r="F625" s="9"/>
      <c r="G625" s="14" t="str">
        <f t="shared" si="22"/>
        <v>O</v>
      </c>
      <c r="H625" s="15"/>
      <c r="L625" s="35"/>
    </row>
    <row r="626" spans="1:12" x14ac:dyDescent="0.3">
      <c r="A626" s="19"/>
      <c r="B626" s="20"/>
      <c r="C626" s="25"/>
      <c r="D626" s="20"/>
      <c r="E626" s="22"/>
      <c r="F626" s="9"/>
      <c r="G626" s="14" t="str">
        <f t="shared" si="22"/>
        <v/>
      </c>
      <c r="H626" s="15"/>
      <c r="L626" s="35"/>
    </row>
    <row r="627" spans="1:12" x14ac:dyDescent="0.3">
      <c r="A627" s="19"/>
      <c r="B627" s="20"/>
      <c r="C627" s="25"/>
      <c r="D627" s="20"/>
      <c r="E627" s="22"/>
      <c r="F627" s="9"/>
      <c r="G627" s="14" t="str">
        <f t="shared" si="22"/>
        <v/>
      </c>
      <c r="H627" s="15"/>
      <c r="L627" s="35"/>
    </row>
    <row r="628" spans="1:12" x14ac:dyDescent="0.3">
      <c r="A628" s="19"/>
      <c r="B628" s="20"/>
      <c r="C628" s="25"/>
      <c r="D628" s="20"/>
      <c r="E628" s="22"/>
      <c r="F628" s="9"/>
      <c r="G628" s="14" t="str">
        <f t="shared" si="22"/>
        <v/>
      </c>
      <c r="H628" s="15"/>
      <c r="L628" s="35"/>
    </row>
    <row r="629" spans="1:12" x14ac:dyDescent="0.3">
      <c r="A629" s="19"/>
      <c r="B629" s="20"/>
      <c r="C629" s="25"/>
      <c r="D629" s="20"/>
      <c r="E629" s="22"/>
      <c r="F629" s="9"/>
      <c r="G629" s="14" t="str">
        <f t="shared" si="22"/>
        <v/>
      </c>
      <c r="H629" s="15"/>
      <c r="L629" s="35"/>
    </row>
    <row r="630" spans="1:12" x14ac:dyDescent="0.3">
      <c r="A630" s="19"/>
      <c r="B630" s="20"/>
      <c r="C630" s="25"/>
      <c r="D630" s="20"/>
      <c r="E630" s="22"/>
      <c r="F630" s="9"/>
      <c r="G630" s="14" t="str">
        <f t="shared" si="22"/>
        <v/>
      </c>
      <c r="H630" s="15"/>
      <c r="L630" s="35"/>
    </row>
    <row r="631" spans="1:12" x14ac:dyDescent="0.3">
      <c r="A631" s="19"/>
      <c r="B631" s="20"/>
      <c r="C631" s="25"/>
      <c r="D631" s="20"/>
      <c r="E631" s="22"/>
      <c r="F631" s="9"/>
      <c r="G631" s="14" t="str">
        <f t="shared" si="22"/>
        <v/>
      </c>
      <c r="H631" s="15"/>
      <c r="L631" s="35"/>
    </row>
    <row r="632" spans="1:12" x14ac:dyDescent="0.3">
      <c r="A632" s="19"/>
      <c r="B632" s="20"/>
      <c r="C632" s="25"/>
      <c r="D632" s="20"/>
      <c r="E632" s="22"/>
      <c r="F632" s="9"/>
      <c r="G632" s="14" t="str">
        <f t="shared" si="22"/>
        <v/>
      </c>
      <c r="H632" s="15"/>
      <c r="L632" s="35"/>
    </row>
    <row r="633" spans="1:12" x14ac:dyDescent="0.3">
      <c r="A633" s="19"/>
      <c r="B633" s="20"/>
      <c r="C633" s="25"/>
      <c r="D633" s="20"/>
      <c r="E633" s="22"/>
      <c r="F633" s="9"/>
      <c r="G633" s="14" t="str">
        <f t="shared" si="22"/>
        <v/>
      </c>
      <c r="H633" s="15"/>
      <c r="L633" s="35"/>
    </row>
    <row r="634" spans="1:12" x14ac:dyDescent="0.3">
      <c r="A634" s="19"/>
      <c r="B634" s="20"/>
      <c r="C634" s="25"/>
      <c r="D634" s="20"/>
      <c r="E634" s="22"/>
      <c r="F634" s="9"/>
      <c r="G634" s="14" t="str">
        <f t="shared" si="22"/>
        <v/>
      </c>
      <c r="H634" s="15"/>
      <c r="L634" s="35"/>
    </row>
    <row r="635" spans="1:12" x14ac:dyDescent="0.3">
      <c r="A635" s="19"/>
      <c r="B635" s="20"/>
      <c r="C635" s="25"/>
      <c r="D635" s="20"/>
      <c r="E635" s="22"/>
      <c r="F635" s="9"/>
      <c r="G635" s="14" t="str">
        <f t="shared" si="22"/>
        <v/>
      </c>
      <c r="H635" s="15"/>
      <c r="L635" s="35"/>
    </row>
    <row r="636" spans="1:12" x14ac:dyDescent="0.3">
      <c r="A636" s="38">
        <f>COUNTIFS($B$2:B636,B636)</f>
        <v>1</v>
      </c>
      <c r="B636" s="39" t="s">
        <v>165</v>
      </c>
      <c r="C636" s="40">
        <v>20060368076475</v>
      </c>
      <c r="D636" s="39" t="s">
        <v>463</v>
      </c>
      <c r="E636" s="41">
        <v>394.8</v>
      </c>
      <c r="F636" s="9"/>
      <c r="G636" s="14" t="str">
        <f t="shared" si="22"/>
        <v>O</v>
      </c>
      <c r="H636" s="15"/>
      <c r="L636" s="35"/>
    </row>
    <row r="637" spans="1:12" x14ac:dyDescent="0.3">
      <c r="A637" s="38">
        <f>COUNTIFS($B$2:B637,B637)</f>
        <v>2</v>
      </c>
      <c r="B637" s="39" t="s">
        <v>165</v>
      </c>
      <c r="C637" s="40">
        <v>20060368076475</v>
      </c>
      <c r="D637" s="39" t="s">
        <v>418</v>
      </c>
      <c r="E637" s="41">
        <v>6.4</v>
      </c>
      <c r="F637" s="9"/>
      <c r="G637" s="14" t="str">
        <f t="shared" si="22"/>
        <v>O</v>
      </c>
      <c r="H637" s="15"/>
      <c r="L637" s="35"/>
    </row>
    <row r="638" spans="1:12" x14ac:dyDescent="0.3">
      <c r="A638" s="38">
        <f>COUNTIFS($B$2:B638,B638)</f>
        <v>3</v>
      </c>
      <c r="B638" s="39" t="s">
        <v>165</v>
      </c>
      <c r="C638" s="40">
        <v>20060368076475</v>
      </c>
      <c r="D638" s="39" t="s">
        <v>76</v>
      </c>
      <c r="E638" s="41">
        <v>98.7</v>
      </c>
      <c r="F638" s="9"/>
      <c r="G638" s="14" t="str">
        <f t="shared" si="22"/>
        <v>O</v>
      </c>
      <c r="H638" s="15"/>
      <c r="L638" s="35"/>
    </row>
    <row r="639" spans="1:12" x14ac:dyDescent="0.3">
      <c r="A639" s="38">
        <f>COUNTIFS($B$2:B639,B639)</f>
        <v>4</v>
      </c>
      <c r="B639" s="39" t="s">
        <v>165</v>
      </c>
      <c r="C639" s="40">
        <v>20060368076475</v>
      </c>
      <c r="D639" s="39" t="s">
        <v>463</v>
      </c>
      <c r="E639" s="30">
        <v>49.35</v>
      </c>
      <c r="F639" s="9" t="s">
        <v>551</v>
      </c>
      <c r="G639" s="14"/>
      <c r="H639" s="15"/>
      <c r="L639" s="35"/>
    </row>
    <row r="640" spans="1:12" x14ac:dyDescent="0.3">
      <c r="A640" s="38">
        <v>5</v>
      </c>
      <c r="B640" s="39" t="s">
        <v>165</v>
      </c>
      <c r="C640" s="40">
        <v>20060368076475</v>
      </c>
      <c r="D640" s="39" t="s">
        <v>164</v>
      </c>
      <c r="E640" s="41">
        <v>9.9</v>
      </c>
      <c r="F640" s="9"/>
      <c r="G640" s="14"/>
      <c r="H640" s="15"/>
      <c r="L640" s="35"/>
    </row>
    <row r="641" spans="1:12" x14ac:dyDescent="0.3">
      <c r="A641" s="38">
        <v>6</v>
      </c>
      <c r="B641" s="39" t="s">
        <v>165</v>
      </c>
      <c r="C641" s="40">
        <v>20060368076475</v>
      </c>
      <c r="D641" s="39" t="s">
        <v>80</v>
      </c>
      <c r="E641" s="41">
        <v>39.5</v>
      </c>
      <c r="F641" s="9"/>
      <c r="G641" s="14" t="str">
        <f t="shared" ref="G641:G653" si="23">IF(D641="","",IF(COUNTIF(I:I,D641)&gt;0,"O","X"))</f>
        <v>O</v>
      </c>
      <c r="H641" s="15"/>
      <c r="L641" s="35"/>
    </row>
    <row r="642" spans="1:12" x14ac:dyDescent="0.3">
      <c r="A642" s="38">
        <f>COUNTIFS($B$2:B642,B642)</f>
        <v>7</v>
      </c>
      <c r="B642" s="39" t="s">
        <v>165</v>
      </c>
      <c r="C642" s="40">
        <v>20060368076475</v>
      </c>
      <c r="D642" s="39" t="s">
        <v>82</v>
      </c>
      <c r="E642" s="30">
        <v>19.75</v>
      </c>
      <c r="F642" s="9" t="s">
        <v>519</v>
      </c>
      <c r="G642" s="14" t="str">
        <f t="shared" si="23"/>
        <v>O</v>
      </c>
      <c r="H642" s="15"/>
      <c r="L642" s="35"/>
    </row>
    <row r="643" spans="1:12" x14ac:dyDescent="0.3">
      <c r="A643" s="38">
        <f>COUNTIFS($B$2:B643,B643)</f>
        <v>8</v>
      </c>
      <c r="B643" s="39" t="s">
        <v>165</v>
      </c>
      <c r="C643" s="40">
        <v>20060368076475</v>
      </c>
      <c r="D643" s="39" t="s">
        <v>114</v>
      </c>
      <c r="E643" s="41">
        <v>246.8</v>
      </c>
      <c r="F643" s="9"/>
      <c r="G643" s="14" t="str">
        <f t="shared" si="23"/>
        <v>O</v>
      </c>
      <c r="H643" s="15"/>
      <c r="L643" s="35"/>
    </row>
    <row r="644" spans="1:12" x14ac:dyDescent="0.3">
      <c r="A644" s="38">
        <f>COUNTIFS($B$2:B644,B644)</f>
        <v>9</v>
      </c>
      <c r="B644" s="39" t="s">
        <v>165</v>
      </c>
      <c r="C644" s="40">
        <v>20060368076475</v>
      </c>
      <c r="D644" s="39" t="s">
        <v>218</v>
      </c>
      <c r="E644" s="41">
        <v>3.9</v>
      </c>
      <c r="F644" s="9"/>
      <c r="G644" s="14" t="str">
        <f t="shared" si="23"/>
        <v>O</v>
      </c>
      <c r="H644" s="15"/>
      <c r="L644" s="35"/>
    </row>
    <row r="645" spans="1:12" x14ac:dyDescent="0.3">
      <c r="A645" s="31">
        <f>COUNTIFS($B$2:B645,B645)</f>
        <v>1</v>
      </c>
      <c r="B645" s="26" t="s">
        <v>552</v>
      </c>
      <c r="C645" s="32">
        <v>200603680764761</v>
      </c>
      <c r="D645" s="26" t="s">
        <v>284</v>
      </c>
      <c r="E645" s="28">
        <v>95.890410958904098</v>
      </c>
      <c r="F645" s="9"/>
      <c r="G645" s="14" t="str">
        <f t="shared" si="23"/>
        <v>O</v>
      </c>
      <c r="H645" s="15"/>
      <c r="L645" s="35"/>
    </row>
    <row r="646" spans="1:12" x14ac:dyDescent="0.3">
      <c r="A646" s="31">
        <f>COUNTIFS($B$2:B646,B646)</f>
        <v>2</v>
      </c>
      <c r="B646" s="26" t="s">
        <v>167</v>
      </c>
      <c r="C646" s="32">
        <v>200603680764761</v>
      </c>
      <c r="D646" s="26" t="s">
        <v>463</v>
      </c>
      <c r="E646" s="28">
        <v>13.698630136986301</v>
      </c>
      <c r="F646" s="9"/>
      <c r="G646" s="14" t="str">
        <f t="shared" si="23"/>
        <v>O</v>
      </c>
      <c r="H646" s="15"/>
      <c r="L646" s="35"/>
    </row>
    <row r="647" spans="1:12" x14ac:dyDescent="0.3">
      <c r="A647" s="31">
        <f>COUNTIFS($B$2:B647,B647)</f>
        <v>3</v>
      </c>
      <c r="B647" s="26" t="s">
        <v>167</v>
      </c>
      <c r="C647" s="32">
        <v>200603680764761</v>
      </c>
      <c r="D647" s="26" t="s">
        <v>553</v>
      </c>
      <c r="E647" s="28">
        <v>27.397260273972602</v>
      </c>
      <c r="F647" s="9"/>
      <c r="G647" s="14" t="str">
        <f t="shared" si="23"/>
        <v>O</v>
      </c>
      <c r="H647" s="15"/>
      <c r="L647" s="35"/>
    </row>
    <row r="648" spans="1:12" x14ac:dyDescent="0.3">
      <c r="A648" s="31">
        <f>COUNTIFS($B$2:B648,B648)</f>
        <v>4</v>
      </c>
      <c r="B648" s="26" t="s">
        <v>167</v>
      </c>
      <c r="C648" s="32">
        <v>200603680764761</v>
      </c>
      <c r="D648" s="26" t="s">
        <v>418</v>
      </c>
      <c r="E648" s="28">
        <v>2.7123287671232879</v>
      </c>
      <c r="F648" s="9"/>
      <c r="G648" s="14" t="str">
        <f t="shared" si="23"/>
        <v>O</v>
      </c>
      <c r="H648" s="15"/>
      <c r="L648" s="35"/>
    </row>
    <row r="649" spans="1:12" x14ac:dyDescent="0.3">
      <c r="A649" s="31">
        <f>COUNTIFS($B$2:B649,B649)</f>
        <v>5</v>
      </c>
      <c r="B649" s="26" t="s">
        <v>167</v>
      </c>
      <c r="C649" s="32">
        <v>200603680764761</v>
      </c>
      <c r="D649" s="26" t="s">
        <v>32</v>
      </c>
      <c r="E649" s="28">
        <v>6.3926940639269407</v>
      </c>
      <c r="F649" s="9"/>
      <c r="G649" s="14" t="str">
        <f t="shared" si="23"/>
        <v>O</v>
      </c>
      <c r="H649" s="15"/>
      <c r="L649" s="35"/>
    </row>
    <row r="650" spans="1:12" x14ac:dyDescent="0.3">
      <c r="A650" s="31">
        <f>COUNTIFS($B$2:B650,B650)</f>
        <v>6</v>
      </c>
      <c r="B650" s="26" t="s">
        <v>167</v>
      </c>
      <c r="C650" s="32">
        <v>200603680764761</v>
      </c>
      <c r="D650" s="26" t="s">
        <v>33</v>
      </c>
      <c r="E650" s="28">
        <v>31.05022831050228</v>
      </c>
      <c r="F650" s="9"/>
      <c r="G650" s="14" t="str">
        <f t="shared" si="23"/>
        <v>O</v>
      </c>
      <c r="H650" s="15"/>
      <c r="L650" s="35"/>
    </row>
    <row r="651" spans="1:12" x14ac:dyDescent="0.3">
      <c r="A651" s="31">
        <f>COUNTIFS($B$2:B651,B651)</f>
        <v>7</v>
      </c>
      <c r="B651" s="26" t="s">
        <v>167</v>
      </c>
      <c r="C651" s="32">
        <v>200603680764761</v>
      </c>
      <c r="D651" s="26" t="s">
        <v>272</v>
      </c>
      <c r="E651" s="28">
        <v>52.785388127853878</v>
      </c>
      <c r="F651" s="9"/>
      <c r="G651" s="14" t="str">
        <f t="shared" si="23"/>
        <v>O</v>
      </c>
      <c r="H651" s="15"/>
      <c r="L651" s="35"/>
    </row>
    <row r="652" spans="1:12" x14ac:dyDescent="0.3">
      <c r="A652" s="31">
        <f>COUNTIFS($B$2:B652,B652)</f>
        <v>8</v>
      </c>
      <c r="B652" s="26" t="s">
        <v>167</v>
      </c>
      <c r="C652" s="32">
        <v>200603680764761</v>
      </c>
      <c r="D652" s="26" t="s">
        <v>164</v>
      </c>
      <c r="E652" s="28">
        <v>0.68493150684931503</v>
      </c>
      <c r="F652" s="9"/>
      <c r="G652" s="14" t="str">
        <f t="shared" si="23"/>
        <v>O</v>
      </c>
      <c r="H652" s="15"/>
      <c r="L652" s="35"/>
    </row>
    <row r="653" spans="1:12" x14ac:dyDescent="0.3">
      <c r="A653" s="31">
        <f>COUNTIFS($B$2:B653,B653)</f>
        <v>9</v>
      </c>
      <c r="B653" s="26" t="s">
        <v>167</v>
      </c>
      <c r="C653" s="32">
        <v>200603680764761</v>
      </c>
      <c r="D653" s="26" t="s">
        <v>554</v>
      </c>
      <c r="E653" s="28">
        <v>41.095890410958901</v>
      </c>
      <c r="F653" s="9"/>
      <c r="G653" s="14" t="str">
        <f t="shared" si="23"/>
        <v>O</v>
      </c>
      <c r="H653" s="15"/>
      <c r="L653" s="35"/>
    </row>
    <row r="654" spans="1:12" x14ac:dyDescent="0.3">
      <c r="A654" s="31">
        <f>COUNTIFS($B$2:B654,B654)</f>
        <v>10</v>
      </c>
      <c r="B654" s="26" t="s">
        <v>552</v>
      </c>
      <c r="C654" s="32">
        <v>200603680764761</v>
      </c>
      <c r="D654" s="26" t="s">
        <v>284</v>
      </c>
      <c r="E654" s="30">
        <v>20.55</v>
      </c>
      <c r="F654" s="9" t="s">
        <v>459</v>
      </c>
      <c r="G654" s="14"/>
      <c r="H654" s="15"/>
      <c r="L654" s="35"/>
    </row>
    <row r="655" spans="1:12" x14ac:dyDescent="0.3">
      <c r="A655" s="31">
        <f>COUNTIFS($B$2:B655,B655)</f>
        <v>11</v>
      </c>
      <c r="B655" s="26" t="s">
        <v>167</v>
      </c>
      <c r="C655" s="32">
        <v>200603680764761</v>
      </c>
      <c r="D655" s="26" t="s">
        <v>114</v>
      </c>
      <c r="E655" s="28">
        <v>93.607305936073061</v>
      </c>
      <c r="F655" s="9"/>
      <c r="G655" s="14" t="str">
        <f t="shared" ref="G655:G665" si="24">IF(D655="","",IF(COUNTIF(I:I,D655)&gt;0,"O","X"))</f>
        <v>O</v>
      </c>
      <c r="H655" s="15"/>
      <c r="L655" s="35"/>
    </row>
    <row r="656" spans="1:12" x14ac:dyDescent="0.3">
      <c r="A656" s="31">
        <f>COUNTIFS($B$2:B656,B656)</f>
        <v>12</v>
      </c>
      <c r="B656" s="26" t="s">
        <v>167</v>
      </c>
      <c r="C656" s="32">
        <v>200603680764761</v>
      </c>
      <c r="D656" s="26" t="s">
        <v>218</v>
      </c>
      <c r="E656" s="28">
        <v>0.68493150684931503</v>
      </c>
      <c r="F656" s="9"/>
      <c r="G656" s="14" t="str">
        <f t="shared" si="24"/>
        <v>O</v>
      </c>
      <c r="H656" s="15"/>
      <c r="L656" s="35"/>
    </row>
    <row r="657" spans="1:12" x14ac:dyDescent="0.3">
      <c r="A657" s="31">
        <f>COUNTIFS($B$2:B657,B657)</f>
        <v>1</v>
      </c>
      <c r="B657" s="26" t="s">
        <v>169</v>
      </c>
      <c r="C657" s="27">
        <v>20060368076476</v>
      </c>
      <c r="D657" s="26" t="s">
        <v>284</v>
      </c>
      <c r="E657" s="28">
        <v>48.2</v>
      </c>
      <c r="F657" s="9"/>
      <c r="G657" s="14" t="str">
        <f t="shared" si="24"/>
        <v>O</v>
      </c>
      <c r="H657" s="15"/>
      <c r="L657" s="35"/>
    </row>
    <row r="658" spans="1:12" x14ac:dyDescent="0.3">
      <c r="A658" s="31">
        <f>COUNTIFS($B$2:B658,B658)</f>
        <v>2</v>
      </c>
      <c r="B658" s="26" t="s">
        <v>169</v>
      </c>
      <c r="C658" s="27">
        <v>20060368076476</v>
      </c>
      <c r="D658" s="26" t="s">
        <v>206</v>
      </c>
      <c r="E658" s="28">
        <v>38.6</v>
      </c>
      <c r="F658" s="9"/>
      <c r="G658" s="14" t="str">
        <f t="shared" si="24"/>
        <v>O</v>
      </c>
      <c r="H658" s="15"/>
      <c r="L658" s="35"/>
    </row>
    <row r="659" spans="1:12" x14ac:dyDescent="0.3">
      <c r="A659" s="31">
        <f>COUNTIFS($B$2:B659,B659)</f>
        <v>3</v>
      </c>
      <c r="B659" s="26" t="s">
        <v>169</v>
      </c>
      <c r="C659" s="27">
        <v>20060368076476</v>
      </c>
      <c r="D659" s="26" t="s">
        <v>463</v>
      </c>
      <c r="E659" s="28">
        <v>9.6</v>
      </c>
      <c r="F659" s="9"/>
      <c r="G659" s="14" t="str">
        <f t="shared" si="24"/>
        <v>O</v>
      </c>
      <c r="H659" s="15"/>
      <c r="L659" s="35"/>
    </row>
    <row r="660" spans="1:12" x14ac:dyDescent="0.3">
      <c r="A660" s="31">
        <f>COUNTIFS($B$2:B660,B660)</f>
        <v>4</v>
      </c>
      <c r="B660" s="26" t="s">
        <v>169</v>
      </c>
      <c r="C660" s="27">
        <v>20060368076476</v>
      </c>
      <c r="D660" s="26" t="s">
        <v>114</v>
      </c>
      <c r="E660" s="28">
        <v>67.5</v>
      </c>
      <c r="F660" s="9"/>
      <c r="G660" s="14" t="str">
        <f t="shared" si="24"/>
        <v>O</v>
      </c>
      <c r="H660" s="15"/>
      <c r="L660" s="35"/>
    </row>
    <row r="661" spans="1:12" x14ac:dyDescent="0.3">
      <c r="A661" s="31">
        <f>COUNTIFS($B$2:B661,B661)</f>
        <v>5</v>
      </c>
      <c r="B661" s="26" t="s">
        <v>169</v>
      </c>
      <c r="C661" s="27">
        <v>20060368076476</v>
      </c>
      <c r="D661" s="26" t="s">
        <v>218</v>
      </c>
      <c r="E661" s="28">
        <v>0.96913137114142134</v>
      </c>
      <c r="F661" s="9"/>
      <c r="G661" s="14" t="str">
        <f t="shared" si="24"/>
        <v>O</v>
      </c>
      <c r="H661" s="15"/>
      <c r="L661" s="35"/>
    </row>
    <row r="662" spans="1:12" x14ac:dyDescent="0.3">
      <c r="A662" s="31">
        <f>COUNTIFS($B$2:B662,B662)</f>
        <v>6</v>
      </c>
      <c r="B662" s="26" t="s">
        <v>169</v>
      </c>
      <c r="C662" s="27">
        <v>20060368076476</v>
      </c>
      <c r="D662" s="26" t="s">
        <v>41</v>
      </c>
      <c r="E662" s="28">
        <v>12.211055276381909</v>
      </c>
      <c r="F662" s="9"/>
      <c r="G662" s="14" t="str">
        <f t="shared" si="24"/>
        <v>O</v>
      </c>
      <c r="H662" s="15"/>
      <c r="L662" s="35"/>
    </row>
    <row r="663" spans="1:12" x14ac:dyDescent="0.3">
      <c r="A663" s="31">
        <f>COUNTIFS($B$2:B663,B663)</f>
        <v>7</v>
      </c>
      <c r="B663" s="26" t="s">
        <v>555</v>
      </c>
      <c r="C663" s="27">
        <v>20060368076476</v>
      </c>
      <c r="D663" s="26" t="s">
        <v>44</v>
      </c>
      <c r="E663" s="28">
        <v>19.3</v>
      </c>
      <c r="F663" s="9"/>
      <c r="G663" s="14" t="str">
        <f t="shared" si="24"/>
        <v>O</v>
      </c>
      <c r="H663" s="15"/>
      <c r="L663" s="35"/>
    </row>
    <row r="664" spans="1:12" x14ac:dyDescent="0.3">
      <c r="A664" s="31">
        <f>COUNTIFS($B$2:B664,B664)</f>
        <v>8</v>
      </c>
      <c r="B664" s="26" t="s">
        <v>555</v>
      </c>
      <c r="C664" s="27">
        <v>20060368076476</v>
      </c>
      <c r="D664" s="26" t="s">
        <v>272</v>
      </c>
      <c r="E664" s="28">
        <v>28</v>
      </c>
      <c r="F664" s="9"/>
      <c r="G664" s="14" t="str">
        <f t="shared" si="24"/>
        <v>O</v>
      </c>
      <c r="H664" s="15"/>
      <c r="L664" s="35"/>
    </row>
    <row r="665" spans="1:12" x14ac:dyDescent="0.3">
      <c r="A665" s="31">
        <f>COUNTIFS($B$2:B665,B665)</f>
        <v>9</v>
      </c>
      <c r="B665" s="26" t="s">
        <v>169</v>
      </c>
      <c r="C665" s="27">
        <v>20060368076476</v>
      </c>
      <c r="D665" s="26" t="s">
        <v>421</v>
      </c>
      <c r="E665" s="28">
        <v>41.5</v>
      </c>
      <c r="F665" s="9"/>
      <c r="G665" s="14" t="str">
        <f t="shared" si="24"/>
        <v>O</v>
      </c>
      <c r="H665" s="15"/>
      <c r="L665" s="35"/>
    </row>
    <row r="666" spans="1:12" x14ac:dyDescent="0.3">
      <c r="A666" s="31">
        <f>COUNTIFS($B$2:B666,B666)</f>
        <v>10</v>
      </c>
      <c r="B666" s="26" t="s">
        <v>169</v>
      </c>
      <c r="C666" s="27">
        <v>20060368076476</v>
      </c>
      <c r="D666" s="26" t="s">
        <v>284</v>
      </c>
      <c r="E666" s="30">
        <v>20.75</v>
      </c>
      <c r="F666" s="9" t="s">
        <v>459</v>
      </c>
      <c r="G666" s="14"/>
      <c r="H666" s="15"/>
      <c r="L666" s="35"/>
    </row>
    <row r="667" spans="1:12" x14ac:dyDescent="0.3">
      <c r="A667" s="31">
        <f>COUNTIFS($B$2:B667,B667)</f>
        <v>11</v>
      </c>
      <c r="B667" s="26" t="s">
        <v>169</v>
      </c>
      <c r="C667" s="27">
        <v>20060368076476</v>
      </c>
      <c r="D667" s="26" t="s">
        <v>164</v>
      </c>
      <c r="E667" s="28">
        <v>2.1</v>
      </c>
      <c r="F667" s="9"/>
      <c r="G667" s="14" t="str">
        <f t="shared" ref="G667:G673" si="25">IF(D667="","",IF(COUNTIF(I:I,D667)&gt;0,"O","X"))</f>
        <v>O</v>
      </c>
      <c r="H667" s="15"/>
      <c r="L667" s="35"/>
    </row>
    <row r="668" spans="1:12" x14ac:dyDescent="0.3">
      <c r="A668" s="31">
        <f>COUNTIFS($B$2:B668,B668)</f>
        <v>12</v>
      </c>
      <c r="B668" s="26" t="s">
        <v>169</v>
      </c>
      <c r="C668" s="27">
        <v>20060368076476</v>
      </c>
      <c r="D668" s="26" t="s">
        <v>295</v>
      </c>
      <c r="E668" s="28">
        <v>0.1938262742282843</v>
      </c>
      <c r="F668" s="9"/>
      <c r="G668" s="14" t="str">
        <f t="shared" si="25"/>
        <v>O</v>
      </c>
      <c r="H668" s="15"/>
      <c r="L668" s="35"/>
    </row>
    <row r="669" spans="1:12" x14ac:dyDescent="0.3">
      <c r="A669" s="19">
        <f>COUNTIFS($B$2:B669,B669)</f>
        <v>1</v>
      </c>
      <c r="B669" s="26" t="s">
        <v>174</v>
      </c>
      <c r="C669" s="27">
        <v>20060368076478</v>
      </c>
      <c r="D669" s="26" t="s">
        <v>284</v>
      </c>
      <c r="E669" s="28">
        <v>192</v>
      </c>
      <c r="F669" s="9"/>
      <c r="G669" s="14" t="str">
        <f t="shared" si="25"/>
        <v>O</v>
      </c>
      <c r="H669" s="15"/>
      <c r="L669" s="35"/>
    </row>
    <row r="670" spans="1:12" x14ac:dyDescent="0.3">
      <c r="A670" s="19">
        <f>COUNTIFS($B$2:B670,B670)</f>
        <v>2</v>
      </c>
      <c r="B670" s="26" t="s">
        <v>174</v>
      </c>
      <c r="C670" s="27">
        <v>20060368076478</v>
      </c>
      <c r="D670" s="26" t="s">
        <v>206</v>
      </c>
      <c r="E670" s="28">
        <v>48</v>
      </c>
      <c r="F670" s="9"/>
      <c r="G670" s="14" t="str">
        <f t="shared" si="25"/>
        <v>O</v>
      </c>
      <c r="H670" s="15"/>
      <c r="L670" s="35"/>
    </row>
    <row r="671" spans="1:12" x14ac:dyDescent="0.3">
      <c r="A671" s="19">
        <f>COUNTIFS($B$2:B671,B671)</f>
        <v>3</v>
      </c>
      <c r="B671" s="26" t="s">
        <v>174</v>
      </c>
      <c r="C671" s="27">
        <v>20060368076478</v>
      </c>
      <c r="D671" s="26" t="s">
        <v>418</v>
      </c>
      <c r="E671" s="28">
        <v>3.8879999999999995</v>
      </c>
      <c r="F671" s="9"/>
      <c r="G671" s="14" t="str">
        <f t="shared" si="25"/>
        <v>O</v>
      </c>
      <c r="H671" s="15"/>
      <c r="L671" s="35"/>
    </row>
    <row r="672" spans="1:12" x14ac:dyDescent="0.3">
      <c r="A672" s="19">
        <f>COUNTIFS($B$2:B672,B672)</f>
        <v>4</v>
      </c>
      <c r="B672" s="26" t="s">
        <v>174</v>
      </c>
      <c r="C672" s="27">
        <v>20060368076478</v>
      </c>
      <c r="D672" s="26" t="s">
        <v>164</v>
      </c>
      <c r="E672" s="28">
        <v>2.4</v>
      </c>
      <c r="F672" s="9"/>
      <c r="G672" s="14" t="str">
        <f t="shared" si="25"/>
        <v>O</v>
      </c>
      <c r="H672" s="15"/>
      <c r="L672" s="35"/>
    </row>
    <row r="673" spans="1:12" x14ac:dyDescent="0.3">
      <c r="A673" s="19">
        <f>COUNTIFS($B$2:B673,B673)</f>
        <v>5</v>
      </c>
      <c r="B673" s="26" t="s">
        <v>174</v>
      </c>
      <c r="C673" s="27">
        <v>20060368076478</v>
      </c>
      <c r="D673" s="26" t="s">
        <v>421</v>
      </c>
      <c r="E673" s="28">
        <v>24</v>
      </c>
      <c r="F673" s="9"/>
      <c r="G673" s="14" t="str">
        <f t="shared" si="25"/>
        <v>O</v>
      </c>
      <c r="H673" s="15"/>
      <c r="L673" s="35"/>
    </row>
    <row r="674" spans="1:12" x14ac:dyDescent="0.3">
      <c r="A674" s="19">
        <f>COUNTIFS($B$2:B674,B674)</f>
        <v>6</v>
      </c>
      <c r="B674" s="26" t="s">
        <v>174</v>
      </c>
      <c r="C674" s="27">
        <v>20060368076478</v>
      </c>
      <c r="D674" s="26" t="s">
        <v>284</v>
      </c>
      <c r="E674" s="30">
        <v>12</v>
      </c>
      <c r="F674" s="9" t="s">
        <v>459</v>
      </c>
      <c r="G674" s="14"/>
      <c r="H674" s="15"/>
      <c r="L674" s="35"/>
    </row>
    <row r="675" spans="1:12" x14ac:dyDescent="0.3">
      <c r="A675" s="19">
        <f>COUNTIFS($B$2:B675,B675)</f>
        <v>7</v>
      </c>
      <c r="B675" s="26" t="s">
        <v>174</v>
      </c>
      <c r="C675" s="27">
        <v>20060368076478</v>
      </c>
      <c r="D675" s="26" t="s">
        <v>295</v>
      </c>
      <c r="E675" s="28">
        <v>0.48</v>
      </c>
      <c r="F675" s="9"/>
      <c r="G675" s="14" t="str">
        <f t="shared" ref="G675:G720" si="26">IF(D675="","",IF(COUNTIF(I:I,D675)&gt;0,"O","X"))</f>
        <v>O</v>
      </c>
      <c r="H675" s="15"/>
      <c r="L675" s="35"/>
    </row>
    <row r="676" spans="1:12" x14ac:dyDescent="0.3">
      <c r="A676" s="19">
        <f>COUNTIFS($B$2:B676,B676)</f>
        <v>8</v>
      </c>
      <c r="B676" s="26" t="s">
        <v>174</v>
      </c>
      <c r="C676" s="27">
        <v>20060368076478</v>
      </c>
      <c r="D676" s="26" t="s">
        <v>218</v>
      </c>
      <c r="E676" s="28">
        <v>1.92</v>
      </c>
      <c r="F676" s="9"/>
      <c r="G676" s="14" t="str">
        <f t="shared" si="26"/>
        <v>O</v>
      </c>
      <c r="H676" s="15"/>
      <c r="L676" s="35"/>
    </row>
    <row r="677" spans="1:12" x14ac:dyDescent="0.3">
      <c r="A677" s="19">
        <f>COUNTIFS($B$2:B677,B677)</f>
        <v>9</v>
      </c>
      <c r="B677" s="26" t="s">
        <v>174</v>
      </c>
      <c r="C677" s="27">
        <v>20060368076478</v>
      </c>
      <c r="D677" s="26" t="s">
        <v>114</v>
      </c>
      <c r="E677" s="28">
        <v>158.4</v>
      </c>
      <c r="F677" s="9"/>
      <c r="G677" s="14" t="str">
        <f t="shared" si="26"/>
        <v>O</v>
      </c>
      <c r="H677" s="15"/>
      <c r="L677" s="35"/>
    </row>
    <row r="678" spans="1:12" x14ac:dyDescent="0.3">
      <c r="A678" s="19">
        <f>COUNTIFS($B$2:B678,B678)</f>
        <v>10</v>
      </c>
      <c r="B678" s="26" t="s">
        <v>174</v>
      </c>
      <c r="C678" s="27">
        <v>20060368076478</v>
      </c>
      <c r="D678" s="26" t="s">
        <v>427</v>
      </c>
      <c r="E678" s="28">
        <v>12</v>
      </c>
      <c r="F678" s="9"/>
      <c r="G678" s="14" t="str">
        <f t="shared" si="26"/>
        <v>O</v>
      </c>
      <c r="H678" s="15"/>
      <c r="L678" s="35"/>
    </row>
    <row r="679" spans="1:12" x14ac:dyDescent="0.3">
      <c r="A679" s="19">
        <f>COUNTIFS($B$2:B679,B679)</f>
        <v>11</v>
      </c>
      <c r="B679" s="26" t="s">
        <v>174</v>
      </c>
      <c r="C679" s="27">
        <v>20060368076478</v>
      </c>
      <c r="D679" s="26" t="s">
        <v>429</v>
      </c>
      <c r="E679" s="28">
        <v>51.6</v>
      </c>
      <c r="F679" s="9"/>
      <c r="G679" s="14" t="str">
        <f t="shared" si="26"/>
        <v>O</v>
      </c>
      <c r="H679" s="15"/>
      <c r="L679" s="35"/>
    </row>
    <row r="680" spans="1:12" x14ac:dyDescent="0.3">
      <c r="A680" s="23">
        <v>1</v>
      </c>
      <c r="B680" s="20" t="s">
        <v>176</v>
      </c>
      <c r="C680" s="25">
        <v>20060368076479</v>
      </c>
      <c r="D680" s="20" t="s">
        <v>210</v>
      </c>
      <c r="E680" s="22">
        <v>52.213437148820034</v>
      </c>
      <c r="F680" s="9"/>
      <c r="G680" s="14" t="str">
        <f t="shared" si="26"/>
        <v>O</v>
      </c>
      <c r="H680" s="15"/>
      <c r="L680" s="35"/>
    </row>
    <row r="681" spans="1:12" x14ac:dyDescent="0.3">
      <c r="A681" s="19">
        <v>2</v>
      </c>
      <c r="B681" s="20" t="s">
        <v>176</v>
      </c>
      <c r="C681" s="25">
        <v>20060368076479</v>
      </c>
      <c r="D681" s="20" t="s">
        <v>213</v>
      </c>
      <c r="E681" s="22">
        <v>44.754374698988599</v>
      </c>
      <c r="F681" s="9"/>
      <c r="G681" s="14" t="str">
        <f t="shared" si="26"/>
        <v>O</v>
      </c>
      <c r="H681" s="15"/>
      <c r="L681" s="35"/>
    </row>
    <row r="682" spans="1:12" x14ac:dyDescent="0.3">
      <c r="A682" s="19">
        <v>3</v>
      </c>
      <c r="B682" s="20" t="s">
        <v>176</v>
      </c>
      <c r="C682" s="25">
        <v>20060368076479</v>
      </c>
      <c r="D682" s="20" t="s">
        <v>263</v>
      </c>
      <c r="E682" s="22">
        <v>8.9508749397977194</v>
      </c>
      <c r="F682" s="9"/>
      <c r="G682" s="14" t="str">
        <f t="shared" si="26"/>
        <v>O</v>
      </c>
      <c r="H682" s="15"/>
      <c r="L682" s="35"/>
    </row>
    <row r="683" spans="1:12" x14ac:dyDescent="0.3">
      <c r="A683" s="19">
        <v>4</v>
      </c>
      <c r="B683" s="20" t="s">
        <v>176</v>
      </c>
      <c r="C683" s="25">
        <v>20060368076479</v>
      </c>
      <c r="D683" s="20" t="s">
        <v>255</v>
      </c>
      <c r="E683" s="22">
        <v>10.442687429764007</v>
      </c>
      <c r="F683" s="9"/>
      <c r="G683" s="14" t="str">
        <f t="shared" si="26"/>
        <v>O</v>
      </c>
      <c r="H683" s="15"/>
      <c r="L683" s="35"/>
    </row>
    <row r="684" spans="1:12" x14ac:dyDescent="0.3">
      <c r="A684" s="19">
        <v>5</v>
      </c>
      <c r="B684" s="20" t="s">
        <v>176</v>
      </c>
      <c r="C684" s="25">
        <v>20060368076479</v>
      </c>
      <c r="D684" s="20" t="s">
        <v>206</v>
      </c>
      <c r="E684" s="22">
        <v>74.590624498314341</v>
      </c>
      <c r="F684" s="9"/>
      <c r="G684" s="14" t="str">
        <f t="shared" si="26"/>
        <v>O</v>
      </c>
      <c r="H684" s="15"/>
      <c r="L684" s="35"/>
    </row>
    <row r="685" spans="1:12" x14ac:dyDescent="0.3">
      <c r="A685" s="19">
        <v>6</v>
      </c>
      <c r="B685" s="20" t="s">
        <v>176</v>
      </c>
      <c r="C685" s="25">
        <v>20060368076479</v>
      </c>
      <c r="D685" s="20" t="s">
        <v>172</v>
      </c>
      <c r="E685" s="22">
        <v>5.9672499598651472</v>
      </c>
      <c r="F685" s="9"/>
      <c r="G685" s="14" t="str">
        <f t="shared" si="26"/>
        <v>O</v>
      </c>
      <c r="H685" s="15"/>
      <c r="L685" s="35"/>
    </row>
    <row r="686" spans="1:12" x14ac:dyDescent="0.3">
      <c r="A686" s="19">
        <v>7</v>
      </c>
      <c r="B686" s="20" t="s">
        <v>176</v>
      </c>
      <c r="C686" s="25">
        <v>20060368076479</v>
      </c>
      <c r="D686" s="20" t="s">
        <v>222</v>
      </c>
      <c r="E686" s="22">
        <v>0.56262642478728531</v>
      </c>
      <c r="F686" s="9"/>
      <c r="G686" s="14" t="str">
        <f t="shared" si="26"/>
        <v>O</v>
      </c>
      <c r="H686" s="15"/>
      <c r="L686" s="35"/>
    </row>
    <row r="687" spans="1:12" x14ac:dyDescent="0.3">
      <c r="A687" s="19">
        <v>8</v>
      </c>
      <c r="B687" s="20" t="s">
        <v>176</v>
      </c>
      <c r="C687" s="25">
        <v>20060368076479</v>
      </c>
      <c r="D687" s="20" t="s">
        <v>44</v>
      </c>
      <c r="E687" s="22">
        <v>14.918124899662866</v>
      </c>
      <c r="F687" s="9"/>
      <c r="G687" s="14" t="str">
        <f t="shared" si="26"/>
        <v>O</v>
      </c>
      <c r="H687" s="15"/>
      <c r="L687" s="35"/>
    </row>
    <row r="688" spans="1:12" x14ac:dyDescent="0.3">
      <c r="A688" s="23">
        <f>COUNTIFS($B$2:B688,B688)</f>
        <v>1</v>
      </c>
      <c r="B688" s="20" t="s">
        <v>556</v>
      </c>
      <c r="C688" s="24">
        <v>20060368076246</v>
      </c>
      <c r="D688" s="20" t="s">
        <v>210</v>
      </c>
      <c r="E688" s="22">
        <v>29.0074650826778</v>
      </c>
      <c r="F688" s="9"/>
      <c r="G688" s="14" t="str">
        <f t="shared" si="26"/>
        <v>O</v>
      </c>
      <c r="H688" s="15"/>
      <c r="L688" s="35"/>
    </row>
    <row r="689" spans="1:12" x14ac:dyDescent="0.3">
      <c r="A689" s="19">
        <f>COUNTIFS($B$2:B689,B689)</f>
        <v>2</v>
      </c>
      <c r="B689" s="20" t="s">
        <v>556</v>
      </c>
      <c r="C689" s="24">
        <v>20060368076246</v>
      </c>
      <c r="D689" s="20" t="s">
        <v>213</v>
      </c>
      <c r="E689" s="22">
        <v>24.86354149943811</v>
      </c>
      <c r="F689" s="9"/>
      <c r="G689" s="14" t="str">
        <f t="shared" si="26"/>
        <v>O</v>
      </c>
      <c r="H689" s="15"/>
      <c r="L689" s="35"/>
    </row>
    <row r="690" spans="1:12" x14ac:dyDescent="0.3">
      <c r="A690" s="19">
        <f>COUNTIFS($B$2:B690,B690)</f>
        <v>3</v>
      </c>
      <c r="B690" s="20" t="s">
        <v>556</v>
      </c>
      <c r="C690" s="24">
        <v>20060368076246</v>
      </c>
      <c r="D690" s="20" t="s">
        <v>263</v>
      </c>
      <c r="E690" s="22">
        <v>4.9727082998876222</v>
      </c>
      <c r="F690" s="9"/>
      <c r="G690" s="14" t="str">
        <f t="shared" si="26"/>
        <v>O</v>
      </c>
      <c r="H690" s="15"/>
      <c r="L690" s="35"/>
    </row>
    <row r="691" spans="1:12" x14ac:dyDescent="0.3">
      <c r="A691" s="19">
        <f>COUNTIFS($B$2:B691,B691)</f>
        <v>4</v>
      </c>
      <c r="B691" s="20" t="s">
        <v>556</v>
      </c>
      <c r="C691" s="24">
        <v>20060368076246</v>
      </c>
      <c r="D691" s="20" t="s">
        <v>255</v>
      </c>
      <c r="E691" s="22">
        <v>5.8014930165355585</v>
      </c>
      <c r="F691" s="9"/>
      <c r="G691" s="14" t="str">
        <f t="shared" si="26"/>
        <v>O</v>
      </c>
      <c r="H691" s="15"/>
      <c r="L691" s="35"/>
    </row>
    <row r="692" spans="1:12" x14ac:dyDescent="0.3">
      <c r="A692" s="19">
        <f>COUNTIFS($B$2:B692,B692)</f>
        <v>5</v>
      </c>
      <c r="B692" s="20" t="s">
        <v>556</v>
      </c>
      <c r="C692" s="24">
        <v>20060368076246</v>
      </c>
      <c r="D692" s="20" t="s">
        <v>206</v>
      </c>
      <c r="E692" s="22">
        <v>41.439235832396854</v>
      </c>
      <c r="F692" s="9"/>
      <c r="G692" s="14" t="str">
        <f t="shared" si="26"/>
        <v>O</v>
      </c>
      <c r="H692" s="15"/>
      <c r="L692" s="35"/>
    </row>
    <row r="693" spans="1:12" x14ac:dyDescent="0.3">
      <c r="A693" s="19">
        <f>COUNTIFS($B$2:B693,B693)</f>
        <v>6</v>
      </c>
      <c r="B693" s="20" t="s">
        <v>556</v>
      </c>
      <c r="C693" s="24">
        <v>20060368076246</v>
      </c>
      <c r="D693" s="20" t="s">
        <v>172</v>
      </c>
      <c r="E693" s="22">
        <v>3.3151388665917487</v>
      </c>
      <c r="F693" s="9"/>
      <c r="G693" s="14" t="str">
        <f t="shared" si="26"/>
        <v>O</v>
      </c>
      <c r="H693" s="15"/>
      <c r="L693" s="35"/>
    </row>
    <row r="694" spans="1:12" x14ac:dyDescent="0.3">
      <c r="A694" s="19">
        <f>COUNTIFS($B$2:B694,B694)</f>
        <v>7</v>
      </c>
      <c r="B694" s="20" t="s">
        <v>556</v>
      </c>
      <c r="C694" s="24">
        <v>20060368076246</v>
      </c>
      <c r="D694" s="20" t="s">
        <v>222</v>
      </c>
      <c r="E694" s="22">
        <v>0.31257023599293626</v>
      </c>
      <c r="F694" s="9"/>
      <c r="G694" s="14" t="str">
        <f t="shared" si="26"/>
        <v>O</v>
      </c>
      <c r="H694" s="15"/>
      <c r="L694" s="35"/>
    </row>
    <row r="695" spans="1:12" x14ac:dyDescent="0.3">
      <c r="A695" s="19">
        <f>COUNTIFS($B$2:B695,B695)</f>
        <v>8</v>
      </c>
      <c r="B695" s="20" t="s">
        <v>556</v>
      </c>
      <c r="C695" s="24">
        <v>20060368076246</v>
      </c>
      <c r="D695" s="20" t="s">
        <v>44</v>
      </c>
      <c r="E695" s="22">
        <v>8.28784716647937</v>
      </c>
      <c r="F695" s="9"/>
      <c r="G695" s="14" t="str">
        <f t="shared" si="26"/>
        <v>O</v>
      </c>
      <c r="H695" s="15"/>
      <c r="L695" s="35"/>
    </row>
    <row r="696" spans="1:12" x14ac:dyDescent="0.3">
      <c r="A696" s="23">
        <f>COUNTIFS($B$2:B696,B696)</f>
        <v>1</v>
      </c>
      <c r="B696" s="20" t="s">
        <v>180</v>
      </c>
      <c r="C696" s="25">
        <v>20060368076480</v>
      </c>
      <c r="D696" s="20" t="s">
        <v>210</v>
      </c>
      <c r="E696" s="22">
        <v>65.17</v>
      </c>
      <c r="F696" s="9"/>
      <c r="G696" s="14" t="str">
        <f t="shared" si="26"/>
        <v>O</v>
      </c>
      <c r="H696" s="15"/>
      <c r="L696" s="35"/>
    </row>
    <row r="697" spans="1:12" x14ac:dyDescent="0.3">
      <c r="A697" s="19">
        <f>COUNTIFS($B$2:B697,B697)</f>
        <v>2</v>
      </c>
      <c r="B697" s="20" t="s">
        <v>180</v>
      </c>
      <c r="C697" s="25">
        <v>20060368076480</v>
      </c>
      <c r="D697" s="20" t="s">
        <v>213</v>
      </c>
      <c r="E697" s="22">
        <v>24.44</v>
      </c>
      <c r="F697" s="9"/>
      <c r="G697" s="14" t="str">
        <f t="shared" si="26"/>
        <v>O</v>
      </c>
      <c r="H697" s="15"/>
      <c r="L697" s="35"/>
    </row>
    <row r="698" spans="1:12" x14ac:dyDescent="0.3">
      <c r="A698" s="19">
        <f>COUNTIFS($B$2:B698,B698)</f>
        <v>3</v>
      </c>
      <c r="B698" s="20" t="s">
        <v>180</v>
      </c>
      <c r="C698" s="25">
        <v>20060368076480</v>
      </c>
      <c r="D698" s="20" t="s">
        <v>263</v>
      </c>
      <c r="E698" s="22">
        <v>6.52</v>
      </c>
      <c r="F698" s="9"/>
      <c r="G698" s="14" t="str">
        <f t="shared" si="26"/>
        <v>O</v>
      </c>
      <c r="H698" s="15"/>
      <c r="L698" s="35"/>
    </row>
    <row r="699" spans="1:12" x14ac:dyDescent="0.3">
      <c r="A699" s="19">
        <f>COUNTIFS($B$2:B699,B699)</f>
        <v>4</v>
      </c>
      <c r="B699" s="20" t="s">
        <v>180</v>
      </c>
      <c r="C699" s="25">
        <v>20060368076480</v>
      </c>
      <c r="D699" s="20" t="s">
        <v>404</v>
      </c>
      <c r="E699" s="22">
        <v>8.15</v>
      </c>
      <c r="F699" s="9"/>
      <c r="G699" s="14" t="str">
        <f t="shared" si="26"/>
        <v>O</v>
      </c>
      <c r="H699" s="15"/>
      <c r="L699" s="35"/>
    </row>
    <row r="700" spans="1:12" x14ac:dyDescent="0.3">
      <c r="A700" s="19">
        <f>COUNTIFS($B$2:B700,B700)</f>
        <v>5</v>
      </c>
      <c r="B700" s="20" t="s">
        <v>180</v>
      </c>
      <c r="C700" s="25">
        <v>20060368076480</v>
      </c>
      <c r="D700" s="20" t="s">
        <v>222</v>
      </c>
      <c r="E700" s="22">
        <v>0.57999999999999996</v>
      </c>
      <c r="F700" s="9"/>
      <c r="G700" s="14" t="str">
        <f t="shared" si="26"/>
        <v>O</v>
      </c>
      <c r="H700" s="15"/>
      <c r="L700" s="35"/>
    </row>
    <row r="701" spans="1:12" x14ac:dyDescent="0.3">
      <c r="A701" s="19">
        <f>COUNTIFS($B$2:B701,B701)</f>
        <v>6</v>
      </c>
      <c r="B701" s="20" t="s">
        <v>180</v>
      </c>
      <c r="C701" s="25">
        <v>20060368076480</v>
      </c>
      <c r="D701" s="20" t="s">
        <v>206</v>
      </c>
      <c r="E701" s="22">
        <v>87.98</v>
      </c>
      <c r="F701" s="9"/>
      <c r="G701" s="14" t="str">
        <f t="shared" si="26"/>
        <v>O</v>
      </c>
      <c r="H701" s="15"/>
      <c r="L701" s="35"/>
    </row>
    <row r="702" spans="1:12" x14ac:dyDescent="0.3">
      <c r="A702" s="19">
        <f>COUNTIFS($B$2:B702,B702)</f>
        <v>7</v>
      </c>
      <c r="B702" s="20" t="s">
        <v>180</v>
      </c>
      <c r="C702" s="25">
        <v>20060368076480</v>
      </c>
      <c r="D702" s="20" t="s">
        <v>272</v>
      </c>
      <c r="E702" s="22">
        <v>19.55</v>
      </c>
      <c r="F702" s="9"/>
      <c r="G702" s="14" t="str">
        <f t="shared" si="26"/>
        <v>O</v>
      </c>
      <c r="H702" s="15"/>
      <c r="L702" s="35"/>
    </row>
    <row r="703" spans="1:12" x14ac:dyDescent="0.3">
      <c r="A703" s="19"/>
      <c r="B703" s="20"/>
      <c r="C703" s="25"/>
      <c r="D703" s="20"/>
      <c r="E703" s="22"/>
      <c r="F703" s="9"/>
      <c r="G703" s="14" t="str">
        <f t="shared" si="26"/>
        <v/>
      </c>
      <c r="H703" s="15"/>
      <c r="L703" s="35"/>
    </row>
    <row r="704" spans="1:12" x14ac:dyDescent="0.3">
      <c r="A704" s="19"/>
      <c r="B704" s="20"/>
      <c r="C704" s="25"/>
      <c r="D704" s="20"/>
      <c r="E704" s="22"/>
      <c r="F704" s="9"/>
      <c r="G704" s="14" t="str">
        <f t="shared" si="26"/>
        <v/>
      </c>
      <c r="H704" s="15"/>
      <c r="L704" s="35"/>
    </row>
    <row r="705" spans="1:12" x14ac:dyDescent="0.3">
      <c r="A705" s="19"/>
      <c r="B705" s="20"/>
      <c r="C705" s="25"/>
      <c r="D705" s="20"/>
      <c r="E705" s="22"/>
      <c r="F705" s="9"/>
      <c r="G705" s="14" t="str">
        <f t="shared" si="26"/>
        <v/>
      </c>
      <c r="H705" s="15"/>
      <c r="L705" s="35"/>
    </row>
    <row r="706" spans="1:12" x14ac:dyDescent="0.3">
      <c r="A706" s="19"/>
      <c r="B706" s="20"/>
      <c r="C706" s="25"/>
      <c r="D706" s="20"/>
      <c r="E706" s="22"/>
      <c r="F706" s="9"/>
      <c r="G706" s="14" t="str">
        <f t="shared" si="26"/>
        <v/>
      </c>
      <c r="H706" s="15"/>
      <c r="L706" s="35"/>
    </row>
    <row r="707" spans="1:12" x14ac:dyDescent="0.3">
      <c r="A707" s="19"/>
      <c r="B707" s="20"/>
      <c r="C707" s="25"/>
      <c r="D707" s="20"/>
      <c r="E707" s="22"/>
      <c r="F707" s="9"/>
      <c r="G707" s="14" t="str">
        <f t="shared" si="26"/>
        <v/>
      </c>
      <c r="H707" s="15"/>
      <c r="L707" s="35"/>
    </row>
    <row r="708" spans="1:12" x14ac:dyDescent="0.3">
      <c r="A708" s="19"/>
      <c r="B708" s="20"/>
      <c r="C708" s="25"/>
      <c r="D708" s="20"/>
      <c r="E708" s="22"/>
      <c r="F708" s="9"/>
      <c r="G708" s="14" t="str">
        <f t="shared" si="26"/>
        <v/>
      </c>
      <c r="H708" s="15"/>
      <c r="L708" s="35"/>
    </row>
    <row r="709" spans="1:12" x14ac:dyDescent="0.3">
      <c r="A709" s="19"/>
      <c r="B709" s="20"/>
      <c r="C709" s="25"/>
      <c r="D709" s="20"/>
      <c r="E709" s="22"/>
      <c r="F709" s="9"/>
      <c r="G709" s="14" t="str">
        <f t="shared" si="26"/>
        <v/>
      </c>
      <c r="H709" s="15"/>
      <c r="L709" s="35"/>
    </row>
    <row r="710" spans="1:12" x14ac:dyDescent="0.3">
      <c r="A710" s="31">
        <f>COUNTIFS($B$2:B710,B710)</f>
        <v>1</v>
      </c>
      <c r="B710" s="26" t="s">
        <v>184</v>
      </c>
      <c r="C710" s="27">
        <v>20060368076481</v>
      </c>
      <c r="D710" s="26" t="s">
        <v>284</v>
      </c>
      <c r="E710" s="28">
        <v>175.9</v>
      </c>
      <c r="F710" s="9"/>
      <c r="G710" s="14" t="str">
        <f t="shared" si="26"/>
        <v>O</v>
      </c>
      <c r="H710" s="15"/>
      <c r="L710" s="35"/>
    </row>
    <row r="711" spans="1:12" x14ac:dyDescent="0.3">
      <c r="A711" s="31">
        <f>COUNTIFS($B$2:B711,B711)</f>
        <v>2</v>
      </c>
      <c r="B711" s="26" t="s">
        <v>184</v>
      </c>
      <c r="C711" s="27">
        <v>20060368076481</v>
      </c>
      <c r="D711" s="26" t="s">
        <v>353</v>
      </c>
      <c r="E711" s="28">
        <v>15.7</v>
      </c>
      <c r="F711" s="9"/>
      <c r="G711" s="14" t="str">
        <f t="shared" si="26"/>
        <v>O</v>
      </c>
      <c r="H711" s="15"/>
      <c r="L711" s="35"/>
    </row>
    <row r="712" spans="1:12" x14ac:dyDescent="0.3">
      <c r="A712" s="31">
        <f>COUNTIFS($B$2:B712,B712)</f>
        <v>3</v>
      </c>
      <c r="B712" s="26" t="s">
        <v>184</v>
      </c>
      <c r="C712" s="27">
        <v>20060368076481</v>
      </c>
      <c r="D712" s="26" t="s">
        <v>206</v>
      </c>
      <c r="E712" s="28">
        <v>6</v>
      </c>
      <c r="F712" s="9"/>
      <c r="G712" s="14" t="str">
        <f t="shared" si="26"/>
        <v>O</v>
      </c>
      <c r="H712" s="15"/>
      <c r="L712" s="35"/>
    </row>
    <row r="713" spans="1:12" x14ac:dyDescent="0.3">
      <c r="A713" s="31">
        <f>COUNTIFS($B$2:B713,B713)</f>
        <v>4</v>
      </c>
      <c r="B713" s="26" t="s">
        <v>184</v>
      </c>
      <c r="C713" s="27">
        <v>20060368076481</v>
      </c>
      <c r="D713" s="26" t="s">
        <v>157</v>
      </c>
      <c r="E713" s="28">
        <v>19.5</v>
      </c>
      <c r="F713" s="9"/>
      <c r="G713" s="14" t="str">
        <f t="shared" si="26"/>
        <v>O</v>
      </c>
      <c r="H713" s="15"/>
      <c r="L713" s="35"/>
    </row>
    <row r="714" spans="1:12" x14ac:dyDescent="0.3">
      <c r="A714" s="31">
        <f>COUNTIFS($B$2:B714,B714)</f>
        <v>5</v>
      </c>
      <c r="B714" s="26" t="s">
        <v>184</v>
      </c>
      <c r="C714" s="27">
        <v>20060368076481</v>
      </c>
      <c r="D714" s="26" t="s">
        <v>155</v>
      </c>
      <c r="E714" s="28">
        <v>3.2</v>
      </c>
      <c r="F714" s="9"/>
      <c r="G714" s="14" t="str">
        <f t="shared" si="26"/>
        <v>O</v>
      </c>
      <c r="H714" s="15"/>
      <c r="L714" s="35"/>
    </row>
    <row r="715" spans="1:12" x14ac:dyDescent="0.3">
      <c r="A715" s="31">
        <f>COUNTIFS($B$2:B715,B715)</f>
        <v>6</v>
      </c>
      <c r="B715" s="26" t="s">
        <v>184</v>
      </c>
      <c r="C715" s="27">
        <v>20060368076481</v>
      </c>
      <c r="D715" s="26" t="s">
        <v>170</v>
      </c>
      <c r="E715" s="28">
        <v>6.8</v>
      </c>
      <c r="F715" s="9"/>
      <c r="G715" s="14" t="str">
        <f t="shared" si="26"/>
        <v>O</v>
      </c>
      <c r="H715" s="15"/>
      <c r="L715" s="35"/>
    </row>
    <row r="716" spans="1:12" x14ac:dyDescent="0.3">
      <c r="A716" s="31">
        <f>COUNTIFS($B$2:B716,B716)</f>
        <v>7</v>
      </c>
      <c r="B716" s="26" t="s">
        <v>184</v>
      </c>
      <c r="C716" s="27">
        <v>20060368076481</v>
      </c>
      <c r="D716" s="26" t="s">
        <v>164</v>
      </c>
      <c r="E716" s="28">
        <v>5.0999999999999996</v>
      </c>
      <c r="F716" s="9"/>
      <c r="G716" s="14" t="str">
        <f t="shared" si="26"/>
        <v>O</v>
      </c>
      <c r="H716" s="15"/>
      <c r="L716" s="35"/>
    </row>
    <row r="717" spans="1:12" x14ac:dyDescent="0.3">
      <c r="A717" s="31">
        <f>COUNTIFS($B$2:B717,B717)</f>
        <v>8</v>
      </c>
      <c r="B717" s="26" t="s">
        <v>184</v>
      </c>
      <c r="C717" s="27">
        <v>20060368076481</v>
      </c>
      <c r="D717" s="26" t="s">
        <v>111</v>
      </c>
      <c r="E717" s="28">
        <v>66</v>
      </c>
      <c r="F717" s="9"/>
      <c r="G717" s="14" t="str">
        <f t="shared" si="26"/>
        <v>O</v>
      </c>
      <c r="H717" s="15"/>
      <c r="L717" s="35"/>
    </row>
    <row r="718" spans="1:12" x14ac:dyDescent="0.3">
      <c r="A718" s="31">
        <f>COUNTIFS($B$2:B718,B718)</f>
        <v>9</v>
      </c>
      <c r="B718" s="26" t="s">
        <v>184</v>
      </c>
      <c r="C718" s="27">
        <v>20060368076481</v>
      </c>
      <c r="D718" s="26" t="s">
        <v>114</v>
      </c>
      <c r="E718" s="28">
        <v>46.3</v>
      </c>
      <c r="F718" s="9"/>
      <c r="G718" s="14" t="str">
        <f t="shared" si="26"/>
        <v>O</v>
      </c>
      <c r="H718" s="15"/>
      <c r="L718" s="35"/>
    </row>
    <row r="719" spans="1:12" x14ac:dyDescent="0.3">
      <c r="A719" s="31">
        <f>COUNTIFS($B$2:B719,B719)</f>
        <v>10</v>
      </c>
      <c r="B719" s="26" t="s">
        <v>184</v>
      </c>
      <c r="C719" s="27">
        <v>20060368076481</v>
      </c>
      <c r="D719" s="26" t="s">
        <v>196</v>
      </c>
      <c r="E719" s="28">
        <v>19.399999999999999</v>
      </c>
      <c r="F719" s="9"/>
      <c r="G719" s="14" t="str">
        <f t="shared" si="26"/>
        <v>O</v>
      </c>
      <c r="H719" s="15"/>
      <c r="L719" s="35"/>
    </row>
    <row r="720" spans="1:12" x14ac:dyDescent="0.3">
      <c r="A720" s="31">
        <f>COUNTIFS($B$2:B720,B720)</f>
        <v>11</v>
      </c>
      <c r="B720" s="26" t="s">
        <v>184</v>
      </c>
      <c r="C720" s="27">
        <v>20060368076481</v>
      </c>
      <c r="D720" s="26" t="s">
        <v>228</v>
      </c>
      <c r="E720" s="28">
        <v>33.200000000000003</v>
      </c>
      <c r="F720" s="9"/>
      <c r="G720" s="14" t="str">
        <f t="shared" si="26"/>
        <v>O</v>
      </c>
      <c r="H720" s="15"/>
      <c r="L720" s="35"/>
    </row>
    <row r="721" spans="1:12" x14ac:dyDescent="0.3">
      <c r="A721" s="31">
        <f>COUNTIFS($B$2:B721,B721)</f>
        <v>12</v>
      </c>
      <c r="B721" s="26" t="s">
        <v>184</v>
      </c>
      <c r="C721" s="27">
        <v>20060368076481</v>
      </c>
      <c r="D721" s="26" t="s">
        <v>284</v>
      </c>
      <c r="E721" s="30">
        <v>16.600000000000001</v>
      </c>
      <c r="F721" s="9" t="s">
        <v>459</v>
      </c>
      <c r="G721" s="14"/>
      <c r="H721" s="15"/>
      <c r="L721" s="35"/>
    </row>
    <row r="722" spans="1:12" x14ac:dyDescent="0.3">
      <c r="A722" s="31">
        <f>COUNTIFS($B$2:B722,B722)</f>
        <v>13</v>
      </c>
      <c r="B722" s="26" t="s">
        <v>184</v>
      </c>
      <c r="C722" s="27">
        <v>20060368076481</v>
      </c>
      <c r="D722" s="26" t="s">
        <v>84</v>
      </c>
      <c r="E722" s="28">
        <v>53</v>
      </c>
      <c r="F722" s="9"/>
      <c r="G722" s="14"/>
      <c r="H722" s="15"/>
      <c r="L722" s="35"/>
    </row>
    <row r="723" spans="1:12" x14ac:dyDescent="0.3">
      <c r="A723" s="31">
        <f>COUNTIFS($B$2:B723,B723)</f>
        <v>14</v>
      </c>
      <c r="B723" s="26" t="s">
        <v>184</v>
      </c>
      <c r="C723" s="27">
        <v>20060368076481</v>
      </c>
      <c r="D723" s="26" t="s">
        <v>284</v>
      </c>
      <c r="E723" s="30">
        <v>26.5</v>
      </c>
      <c r="F723" s="9" t="s">
        <v>557</v>
      </c>
      <c r="G723" s="14"/>
      <c r="H723" s="15"/>
      <c r="L723" s="35"/>
    </row>
    <row r="724" spans="1:12" x14ac:dyDescent="0.3">
      <c r="A724" s="31">
        <f>COUNTIFS($B$2:B724,B724)</f>
        <v>1</v>
      </c>
      <c r="B724" s="26" t="s">
        <v>186</v>
      </c>
      <c r="C724" s="27">
        <v>20060368076482</v>
      </c>
      <c r="D724" s="26" t="s">
        <v>284</v>
      </c>
      <c r="E724" s="28">
        <v>231.9</v>
      </c>
      <c r="F724" s="9"/>
      <c r="G724" s="14" t="str">
        <f>IF(D724="","",IF(COUNTIF(I:I,D724)&gt;0,"O","X"))</f>
        <v>O</v>
      </c>
      <c r="H724" s="15"/>
      <c r="L724" s="35"/>
    </row>
    <row r="725" spans="1:12" x14ac:dyDescent="0.3">
      <c r="A725" s="31">
        <f>COUNTIFS($B$2:B725,B725)</f>
        <v>2</v>
      </c>
      <c r="B725" s="26" t="s">
        <v>186</v>
      </c>
      <c r="C725" s="27">
        <v>20060368076482</v>
      </c>
      <c r="D725" s="26" t="s">
        <v>157</v>
      </c>
      <c r="E725" s="28">
        <v>28.9</v>
      </c>
      <c r="F725" s="9"/>
      <c r="G725" s="14" t="str">
        <f>IF(D725="","",IF(COUNTIF(I:I,D725)&gt;0,"O","X"))</f>
        <v>O</v>
      </c>
      <c r="H725" s="15"/>
      <c r="L725" s="35"/>
    </row>
    <row r="726" spans="1:12" x14ac:dyDescent="0.3">
      <c r="A726" s="31">
        <f>COUNTIFS($B$2:B726,B726)</f>
        <v>3</v>
      </c>
      <c r="B726" s="26" t="s">
        <v>186</v>
      </c>
      <c r="C726" s="27">
        <v>20060368076482</v>
      </c>
      <c r="D726" s="26" t="s">
        <v>418</v>
      </c>
      <c r="E726" s="28">
        <v>4.5760733278568031</v>
      </c>
      <c r="F726" s="9"/>
      <c r="G726" s="14" t="str">
        <f>IF(D726="","",IF(COUNTIF(I:I,D726)&gt;0,"O","X"))</f>
        <v>O</v>
      </c>
      <c r="H726" s="15"/>
      <c r="L726" s="35"/>
    </row>
    <row r="727" spans="1:12" x14ac:dyDescent="0.3">
      <c r="A727" s="31">
        <f>COUNTIFS($B$2:B727,B727)</f>
        <v>4</v>
      </c>
      <c r="B727" s="26" t="s">
        <v>186</v>
      </c>
      <c r="C727" s="27">
        <v>20060368076482</v>
      </c>
      <c r="D727" s="26" t="s">
        <v>84</v>
      </c>
      <c r="E727" s="28">
        <v>73.2</v>
      </c>
      <c r="F727" s="9"/>
      <c r="G727" s="14" t="str">
        <f>IF(D727="","",IF(COUNTIF(I:I,D727)&gt;0,"O","X"))</f>
        <v>O</v>
      </c>
      <c r="H727" s="15"/>
      <c r="L727" s="35"/>
    </row>
    <row r="728" spans="1:12" x14ac:dyDescent="0.3">
      <c r="A728" s="31">
        <f>COUNTIFS($B$2:B728,B728)</f>
        <v>5</v>
      </c>
      <c r="B728" s="26" t="s">
        <v>186</v>
      </c>
      <c r="C728" s="27">
        <v>20060368076482</v>
      </c>
      <c r="D728" s="26" t="s">
        <v>284</v>
      </c>
      <c r="E728" s="30">
        <v>36.6</v>
      </c>
      <c r="F728" s="9" t="s">
        <v>557</v>
      </c>
      <c r="G728" s="14"/>
      <c r="H728" s="15"/>
      <c r="L728" s="35"/>
    </row>
    <row r="729" spans="1:12" x14ac:dyDescent="0.3">
      <c r="A729" s="31">
        <f>COUNTIFS($B$2:B729,B729)</f>
        <v>6</v>
      </c>
      <c r="B729" s="26" t="s">
        <v>186</v>
      </c>
      <c r="C729" s="27">
        <v>20060368076482</v>
      </c>
      <c r="D729" s="26" t="s">
        <v>164</v>
      </c>
      <c r="E729" s="28">
        <v>8.1999999999999993</v>
      </c>
      <c r="F729" s="9"/>
      <c r="G729" s="14" t="str">
        <f>IF(D729="","",IF(COUNTIF(I:I,D729)&gt;0,"O","X"))</f>
        <v>O</v>
      </c>
      <c r="H729" s="15"/>
      <c r="L729" s="35"/>
    </row>
    <row r="730" spans="1:12" x14ac:dyDescent="0.3">
      <c r="A730" s="31">
        <f>COUNTIFS($B$2:B730,B730)</f>
        <v>7</v>
      </c>
      <c r="B730" s="26" t="s">
        <v>186</v>
      </c>
      <c r="C730" s="27">
        <v>20060368076482</v>
      </c>
      <c r="D730" s="26" t="s">
        <v>111</v>
      </c>
      <c r="E730" s="28">
        <v>126.2</v>
      </c>
      <c r="F730" s="9"/>
      <c r="G730" s="14" t="str">
        <f>IF(D730="","",IF(COUNTIF(I:I,D730)&gt;0,"O","X"))</f>
        <v>O</v>
      </c>
      <c r="H730" s="15"/>
      <c r="L730" s="35"/>
    </row>
    <row r="731" spans="1:12" x14ac:dyDescent="0.3">
      <c r="A731" s="31">
        <f>COUNTIFS($B$2:B731,B731)</f>
        <v>8</v>
      </c>
      <c r="B731" s="26" t="s">
        <v>186</v>
      </c>
      <c r="C731" s="27">
        <v>20060368076482</v>
      </c>
      <c r="D731" s="26" t="s">
        <v>114</v>
      </c>
      <c r="E731" s="28">
        <v>13.2</v>
      </c>
      <c r="F731" s="9"/>
      <c r="G731" s="14" t="str">
        <f>IF(D731="","",IF(COUNTIF(I:I,D731)&gt;0,"O","X"))</f>
        <v>O</v>
      </c>
      <c r="H731" s="15"/>
      <c r="L731" s="35"/>
    </row>
    <row r="732" spans="1:12" x14ac:dyDescent="0.3">
      <c r="A732" s="31">
        <f>COUNTIFS($B$2:B732,B732)</f>
        <v>9</v>
      </c>
      <c r="B732" s="26" t="s">
        <v>186</v>
      </c>
      <c r="C732" s="27">
        <v>20060368076482</v>
      </c>
      <c r="D732" s="26" t="s">
        <v>424</v>
      </c>
      <c r="E732" s="28">
        <v>0.96848112758874128</v>
      </c>
      <c r="F732" s="9"/>
      <c r="G732" s="14" t="str">
        <f>IF(D732="","",IF(COUNTIF(I:I,D732)&gt;0,"O","X"))</f>
        <v>O</v>
      </c>
      <c r="H732" s="15"/>
      <c r="L732" s="35"/>
    </row>
    <row r="733" spans="1:12" x14ac:dyDescent="0.3">
      <c r="A733" s="31">
        <f>COUNTIFS($B$2:B733,B733)</f>
        <v>10</v>
      </c>
      <c r="B733" s="26" t="s">
        <v>186</v>
      </c>
      <c r="C733" s="27">
        <v>20060368076482</v>
      </c>
      <c r="D733" s="26" t="s">
        <v>228</v>
      </c>
      <c r="E733" s="28">
        <v>48.6</v>
      </c>
      <c r="F733" s="9"/>
      <c r="G733" s="14" t="str">
        <f>IF(D733="","",IF(COUNTIF(I:I,D733)&gt;0,"O","X"))</f>
        <v>O</v>
      </c>
      <c r="H733" s="15"/>
      <c r="L733" s="35"/>
    </row>
    <row r="734" spans="1:12" x14ac:dyDescent="0.3">
      <c r="A734" s="31">
        <f>COUNTIFS($B$2:B734,B734)</f>
        <v>11</v>
      </c>
      <c r="B734" s="26" t="s">
        <v>186</v>
      </c>
      <c r="C734" s="27">
        <v>20060368076482</v>
      </c>
      <c r="D734" s="26" t="s">
        <v>284</v>
      </c>
      <c r="E734" s="30">
        <v>24.3</v>
      </c>
      <c r="F734" s="9" t="s">
        <v>459</v>
      </c>
      <c r="G734" s="14"/>
      <c r="H734" s="15"/>
      <c r="L734" s="35"/>
    </row>
    <row r="735" spans="1:12" x14ac:dyDescent="0.3">
      <c r="A735" s="31">
        <f>COUNTIFS($B$2:B735,B735)</f>
        <v>12</v>
      </c>
      <c r="B735" s="26" t="s">
        <v>186</v>
      </c>
      <c r="C735" s="27">
        <v>20060368076482</v>
      </c>
      <c r="D735" s="26" t="s">
        <v>488</v>
      </c>
      <c r="E735" s="28">
        <v>24.3</v>
      </c>
      <c r="F735" s="9"/>
      <c r="G735" s="14" t="str">
        <f t="shared" ref="G735:G740" si="27">IF(D735="","",IF(COUNTIF(I:I,D735)&gt;0,"O","X"))</f>
        <v>O</v>
      </c>
      <c r="H735" s="15"/>
      <c r="L735" s="35"/>
    </row>
    <row r="736" spans="1:12" x14ac:dyDescent="0.3">
      <c r="A736" s="31">
        <f>COUNTIFS($B$2:B736,B736)</f>
        <v>1</v>
      </c>
      <c r="B736" s="26" t="s">
        <v>189</v>
      </c>
      <c r="C736" s="27">
        <v>20060368076483</v>
      </c>
      <c r="D736" s="26" t="s">
        <v>284</v>
      </c>
      <c r="E736" s="28">
        <v>318.10000000000002</v>
      </c>
      <c r="F736" s="9"/>
      <c r="G736" s="14" t="str">
        <f t="shared" si="27"/>
        <v>O</v>
      </c>
      <c r="H736" s="15"/>
      <c r="L736" s="35"/>
    </row>
    <row r="737" spans="1:12" x14ac:dyDescent="0.3">
      <c r="A737" s="31">
        <f>COUNTIFS($B$2:B737,B737)</f>
        <v>2</v>
      </c>
      <c r="B737" s="26" t="s">
        <v>189</v>
      </c>
      <c r="C737" s="27">
        <v>20060368076483</v>
      </c>
      <c r="D737" s="26" t="s">
        <v>418</v>
      </c>
      <c r="E737" s="28">
        <v>5.2</v>
      </c>
      <c r="F737" s="9"/>
      <c r="G737" s="14" t="str">
        <f t="shared" si="27"/>
        <v>O</v>
      </c>
      <c r="H737" s="15"/>
      <c r="L737" s="35"/>
    </row>
    <row r="738" spans="1:12" x14ac:dyDescent="0.3">
      <c r="A738" s="31">
        <f>COUNTIFS($B$2:B738,B738)</f>
        <v>3</v>
      </c>
      <c r="B738" s="26" t="s">
        <v>189</v>
      </c>
      <c r="C738" s="27">
        <v>20060368076483</v>
      </c>
      <c r="D738" s="26" t="s">
        <v>528</v>
      </c>
      <c r="E738" s="28">
        <v>174.7</v>
      </c>
      <c r="F738" s="9"/>
      <c r="G738" s="14" t="str">
        <f t="shared" si="27"/>
        <v>O</v>
      </c>
      <c r="H738" s="15"/>
      <c r="L738" s="35"/>
    </row>
    <row r="739" spans="1:12" x14ac:dyDescent="0.3">
      <c r="A739" s="31">
        <f>COUNTIFS($B$2:B739,B739)</f>
        <v>4</v>
      </c>
      <c r="B739" s="26" t="s">
        <v>189</v>
      </c>
      <c r="C739" s="27">
        <v>20060368076483</v>
      </c>
      <c r="D739" s="26" t="s">
        <v>489</v>
      </c>
      <c r="E739" s="28">
        <v>3.1</v>
      </c>
      <c r="F739" s="9"/>
      <c r="G739" s="14" t="str">
        <f t="shared" si="27"/>
        <v>O</v>
      </c>
      <c r="H739" s="15"/>
      <c r="L739" s="35"/>
    </row>
    <row r="740" spans="1:12" x14ac:dyDescent="0.3">
      <c r="A740" s="31">
        <f>COUNTIFS($B$2:B740,B740)</f>
        <v>5</v>
      </c>
      <c r="B740" s="26" t="s">
        <v>189</v>
      </c>
      <c r="C740" s="27">
        <v>20060368076483</v>
      </c>
      <c r="D740" s="26" t="s">
        <v>421</v>
      </c>
      <c r="E740" s="28">
        <v>41.7</v>
      </c>
      <c r="F740" s="9"/>
      <c r="G740" s="14" t="str">
        <f t="shared" si="27"/>
        <v>O</v>
      </c>
      <c r="H740" s="15"/>
      <c r="L740" s="35"/>
    </row>
    <row r="741" spans="1:12" x14ac:dyDescent="0.3">
      <c r="A741" s="31">
        <f>COUNTIFS($B$2:B741,B741)</f>
        <v>6</v>
      </c>
      <c r="B741" s="26" t="s">
        <v>189</v>
      </c>
      <c r="C741" s="27">
        <v>20060368076483</v>
      </c>
      <c r="D741" s="26" t="s">
        <v>284</v>
      </c>
      <c r="E741" s="30">
        <v>20.85</v>
      </c>
      <c r="F741" s="9" t="s">
        <v>459</v>
      </c>
      <c r="G741" s="14"/>
      <c r="H741" s="15"/>
      <c r="L741" s="35"/>
    </row>
    <row r="742" spans="1:12" x14ac:dyDescent="0.3">
      <c r="A742" s="31">
        <f>COUNTIFS($B$2:B742,B742)</f>
        <v>7</v>
      </c>
      <c r="B742" s="26" t="s">
        <v>189</v>
      </c>
      <c r="C742" s="27">
        <v>20060368076483</v>
      </c>
      <c r="D742" s="26" t="s">
        <v>424</v>
      </c>
      <c r="E742" s="28">
        <v>26.1</v>
      </c>
      <c r="F742" s="9"/>
      <c r="G742" s="14" t="str">
        <f>IF(D742="","",IF(COUNTIF(I:I,D742)&gt;0,"O","X"))</f>
        <v>O</v>
      </c>
      <c r="H742" s="15"/>
      <c r="L742" s="35"/>
    </row>
    <row r="743" spans="1:12" x14ac:dyDescent="0.3">
      <c r="A743" s="31">
        <f>COUNTIFS($B$2:B743,B743)</f>
        <v>8</v>
      </c>
      <c r="B743" s="26" t="s">
        <v>189</v>
      </c>
      <c r="C743" s="27">
        <v>20060368076483</v>
      </c>
      <c r="D743" s="26" t="s">
        <v>511</v>
      </c>
      <c r="E743" s="28">
        <v>26.1</v>
      </c>
      <c r="F743" s="9"/>
      <c r="G743" s="14" t="str">
        <f>IF(D743="","",IF(COUNTIF(I:I,D743)&gt;0,"O","X"))</f>
        <v>O</v>
      </c>
      <c r="H743" s="15">
        <f>E743/2</f>
        <v>13.05</v>
      </c>
      <c r="L743" s="35"/>
    </row>
    <row r="744" spans="1:12" x14ac:dyDescent="0.3">
      <c r="A744" s="31">
        <f>COUNTIFS($B$2:B744,B744)</f>
        <v>9</v>
      </c>
      <c r="B744" s="26" t="s">
        <v>189</v>
      </c>
      <c r="C744" s="27">
        <v>20060368076483</v>
      </c>
      <c r="D744" s="26" t="s">
        <v>284</v>
      </c>
      <c r="E744" s="30">
        <v>23.5</v>
      </c>
      <c r="F744" s="9" t="s">
        <v>557</v>
      </c>
      <c r="G744" s="14"/>
      <c r="H744" s="15"/>
      <c r="L744" s="35"/>
    </row>
    <row r="745" spans="1:12" x14ac:dyDescent="0.3">
      <c r="A745" s="31">
        <f>COUNTIFS($B$2:B745,B745)</f>
        <v>10</v>
      </c>
      <c r="B745" s="26" t="s">
        <v>189</v>
      </c>
      <c r="C745" s="27">
        <v>20060368076483</v>
      </c>
      <c r="D745" s="26" t="s">
        <v>558</v>
      </c>
      <c r="E745" s="28">
        <v>13</v>
      </c>
      <c r="F745" s="9"/>
      <c r="G745" s="14" t="str">
        <f t="shared" ref="G745:G750" si="28">IF(D745="","",IF(COUNTIF(I:I,D745)&gt;0,"O","X"))</f>
        <v>O</v>
      </c>
      <c r="H745" s="15">
        <f t="shared" ref="H745:H820" si="29">E745/2</f>
        <v>6.5</v>
      </c>
      <c r="L745" s="35"/>
    </row>
    <row r="746" spans="1:12" x14ac:dyDescent="0.3">
      <c r="A746" s="31">
        <f>COUNTIFS($B$2:B746,B746)</f>
        <v>1</v>
      </c>
      <c r="B746" s="26" t="s">
        <v>191</v>
      </c>
      <c r="C746" s="27">
        <v>200603680764831</v>
      </c>
      <c r="D746" s="26" t="s">
        <v>284</v>
      </c>
      <c r="E746" s="28">
        <v>79.5</v>
      </c>
      <c r="F746" s="9"/>
      <c r="G746" s="14" t="str">
        <f t="shared" si="28"/>
        <v>O</v>
      </c>
      <c r="H746" s="15">
        <f t="shared" si="29"/>
        <v>39.75</v>
      </c>
      <c r="L746" s="35"/>
    </row>
    <row r="747" spans="1:12" x14ac:dyDescent="0.3">
      <c r="A747" s="31">
        <f>COUNTIFS($B$2:B747,B747)</f>
        <v>2</v>
      </c>
      <c r="B747" s="26" t="s">
        <v>191</v>
      </c>
      <c r="C747" s="27">
        <v>200603680764831</v>
      </c>
      <c r="D747" s="26" t="s">
        <v>418</v>
      </c>
      <c r="E747" s="28">
        <v>1.3</v>
      </c>
      <c r="F747" s="9"/>
      <c r="G747" s="14" t="str">
        <f t="shared" si="28"/>
        <v>O</v>
      </c>
      <c r="H747" s="15">
        <f t="shared" si="29"/>
        <v>0.65</v>
      </c>
      <c r="L747" s="35"/>
    </row>
    <row r="748" spans="1:12" x14ac:dyDescent="0.3">
      <c r="A748" s="31">
        <f>COUNTIFS($B$2:B748,B748)</f>
        <v>3</v>
      </c>
      <c r="B748" s="26" t="s">
        <v>191</v>
      </c>
      <c r="C748" s="27">
        <v>200603680764831</v>
      </c>
      <c r="D748" s="26" t="s">
        <v>528</v>
      </c>
      <c r="E748" s="28">
        <v>43.7</v>
      </c>
      <c r="F748" s="9"/>
      <c r="G748" s="14" t="str">
        <f t="shared" si="28"/>
        <v>O</v>
      </c>
      <c r="H748" s="15">
        <f t="shared" si="29"/>
        <v>21.85</v>
      </c>
      <c r="L748" s="35"/>
    </row>
    <row r="749" spans="1:12" x14ac:dyDescent="0.3">
      <c r="A749" s="31">
        <f>COUNTIFS($B$2:B749,B749)</f>
        <v>4</v>
      </c>
      <c r="B749" s="26" t="s">
        <v>191</v>
      </c>
      <c r="C749" s="27">
        <v>200603680764831</v>
      </c>
      <c r="D749" s="26" t="s">
        <v>489</v>
      </c>
      <c r="E749" s="28">
        <v>0.8</v>
      </c>
      <c r="F749" s="9"/>
      <c r="G749" s="14" t="str">
        <f t="shared" si="28"/>
        <v>O</v>
      </c>
      <c r="H749" s="15">
        <f t="shared" si="29"/>
        <v>0.4</v>
      </c>
      <c r="L749" s="35"/>
    </row>
    <row r="750" spans="1:12" x14ac:dyDescent="0.3">
      <c r="A750" s="31">
        <f>COUNTIFS($B$2:B750,B750)</f>
        <v>5</v>
      </c>
      <c r="B750" s="26" t="s">
        <v>191</v>
      </c>
      <c r="C750" s="27">
        <v>200603680764831</v>
      </c>
      <c r="D750" s="26" t="s">
        <v>421</v>
      </c>
      <c r="E750" s="28">
        <v>10.4</v>
      </c>
      <c r="F750" s="9"/>
      <c r="G750" s="14" t="str">
        <f t="shared" si="28"/>
        <v>O</v>
      </c>
      <c r="H750" s="15">
        <f t="shared" si="29"/>
        <v>5.2</v>
      </c>
      <c r="L750" s="35"/>
    </row>
    <row r="751" spans="1:12" x14ac:dyDescent="0.3">
      <c r="A751" s="31">
        <f>COUNTIFS($B$2:B751,B751)</f>
        <v>6</v>
      </c>
      <c r="B751" s="26" t="s">
        <v>191</v>
      </c>
      <c r="C751" s="27">
        <v>200603680764831</v>
      </c>
      <c r="D751" s="26" t="s">
        <v>284</v>
      </c>
      <c r="E751" s="30">
        <v>5.2</v>
      </c>
      <c r="F751" s="9" t="s">
        <v>459</v>
      </c>
      <c r="G751" s="14"/>
      <c r="H751" s="15">
        <f t="shared" si="29"/>
        <v>2.6</v>
      </c>
      <c r="L751" s="35"/>
    </row>
    <row r="752" spans="1:12" x14ac:dyDescent="0.3">
      <c r="A752" s="31">
        <f>COUNTIFS($B$2:B752,B752)</f>
        <v>7</v>
      </c>
      <c r="B752" s="26" t="s">
        <v>191</v>
      </c>
      <c r="C752" s="27">
        <v>200603680764831</v>
      </c>
      <c r="D752" s="26" t="s">
        <v>424</v>
      </c>
      <c r="E752" s="28">
        <v>6.5</v>
      </c>
      <c r="F752" s="9"/>
      <c r="G752" s="14" t="str">
        <f>IF(D752="","",IF(COUNTIF(I:I,D752)&gt;0,"O","X"))</f>
        <v>O</v>
      </c>
      <c r="H752" s="15">
        <f t="shared" si="29"/>
        <v>3.25</v>
      </c>
      <c r="L752" s="35"/>
    </row>
    <row r="753" spans="1:12" x14ac:dyDescent="0.3">
      <c r="A753" s="31">
        <f>COUNTIFS($B$2:B753,B753)</f>
        <v>8</v>
      </c>
      <c r="B753" s="26" t="s">
        <v>191</v>
      </c>
      <c r="C753" s="27">
        <v>200603680764831</v>
      </c>
      <c r="D753" s="26" t="s">
        <v>511</v>
      </c>
      <c r="E753" s="28">
        <v>6.5</v>
      </c>
      <c r="F753" s="9"/>
      <c r="G753" s="14" t="str">
        <f>IF(D753="","",IF(COUNTIF(I:I,D753)&gt;0,"O","X"))</f>
        <v>O</v>
      </c>
      <c r="H753" s="15">
        <f t="shared" si="29"/>
        <v>3.25</v>
      </c>
      <c r="L753" s="35"/>
    </row>
    <row r="754" spans="1:12" x14ac:dyDescent="0.3">
      <c r="A754" s="31">
        <f>COUNTIFS($B$2:B754,B754)</f>
        <v>9</v>
      </c>
      <c r="B754" s="26" t="s">
        <v>191</v>
      </c>
      <c r="C754" s="27">
        <v>200603680764831</v>
      </c>
      <c r="D754" s="26" t="s">
        <v>284</v>
      </c>
      <c r="E754" s="30">
        <v>3.25</v>
      </c>
      <c r="F754" s="9" t="s">
        <v>557</v>
      </c>
      <c r="G754" s="14"/>
      <c r="H754" s="15">
        <f t="shared" si="29"/>
        <v>1.625</v>
      </c>
      <c r="L754" s="35"/>
    </row>
    <row r="755" spans="1:12" x14ac:dyDescent="0.3">
      <c r="A755" s="31">
        <f>COUNTIFS($B$2:B755,B755)</f>
        <v>10</v>
      </c>
      <c r="B755" s="26" t="s">
        <v>191</v>
      </c>
      <c r="C755" s="27">
        <v>200603680764831</v>
      </c>
      <c r="D755" s="26" t="s">
        <v>558</v>
      </c>
      <c r="E755" s="28">
        <v>3.3</v>
      </c>
      <c r="F755" s="9"/>
      <c r="G755" s="14" t="str">
        <f t="shared" ref="G755:G760" si="30">IF(D755="","",IF(COUNTIF(I:I,D755)&gt;0,"O","X"))</f>
        <v>O</v>
      </c>
      <c r="H755" s="15">
        <f t="shared" si="29"/>
        <v>1.65</v>
      </c>
      <c r="L755" s="35"/>
    </row>
    <row r="756" spans="1:12" x14ac:dyDescent="0.3">
      <c r="A756" s="31">
        <f>COUNTIFS($B$2:B756,B756)</f>
        <v>1</v>
      </c>
      <c r="B756" s="26" t="s">
        <v>193</v>
      </c>
      <c r="C756" s="27">
        <v>20060368076484</v>
      </c>
      <c r="D756" s="26" t="s">
        <v>284</v>
      </c>
      <c r="E756" s="28">
        <v>227.54304879545174</v>
      </c>
      <c r="F756" s="9"/>
      <c r="G756" s="14" t="str">
        <f t="shared" si="30"/>
        <v>O</v>
      </c>
      <c r="H756" s="15">
        <f t="shared" si="29"/>
        <v>113.77152439772587</v>
      </c>
      <c r="L756" s="35"/>
    </row>
    <row r="757" spans="1:12" x14ac:dyDescent="0.3">
      <c r="A757" s="31">
        <f>COUNTIFS($B$2:B757,B757)</f>
        <v>2</v>
      </c>
      <c r="B757" s="26" t="s">
        <v>193</v>
      </c>
      <c r="C757" s="27">
        <v>20060368076484</v>
      </c>
      <c r="D757" s="26" t="s">
        <v>418</v>
      </c>
      <c r="E757" s="28">
        <v>3.5250521493721627</v>
      </c>
      <c r="F757" s="9"/>
      <c r="G757" s="14" t="str">
        <f t="shared" si="30"/>
        <v>O</v>
      </c>
      <c r="H757" s="15">
        <f t="shared" si="29"/>
        <v>1.7625260746860814</v>
      </c>
      <c r="L757" s="35"/>
    </row>
    <row r="758" spans="1:12" x14ac:dyDescent="0.3">
      <c r="A758" s="31">
        <f>COUNTIFS($B$2:B758,B758)</f>
        <v>3</v>
      </c>
      <c r="B758" s="26" t="s">
        <v>193</v>
      </c>
      <c r="C758" s="27">
        <v>20060368076484</v>
      </c>
      <c r="D758" s="26" t="s">
        <v>114</v>
      </c>
      <c r="E758" s="28">
        <v>111.90641744038609</v>
      </c>
      <c r="F758" s="9"/>
      <c r="G758" s="14" t="str">
        <f t="shared" si="30"/>
        <v>O</v>
      </c>
      <c r="H758" s="15">
        <f t="shared" si="29"/>
        <v>55.953208720193047</v>
      </c>
      <c r="L758" s="35"/>
    </row>
    <row r="759" spans="1:12" x14ac:dyDescent="0.3">
      <c r="A759" s="31">
        <f>COUNTIFS($B$2:B759,B759)</f>
        <v>4</v>
      </c>
      <c r="B759" s="26" t="s">
        <v>193</v>
      </c>
      <c r="C759" s="27">
        <v>20060368076484</v>
      </c>
      <c r="D759" s="26" t="s">
        <v>489</v>
      </c>
      <c r="E759" s="28">
        <v>2.2381283488077219</v>
      </c>
      <c r="F759" s="9"/>
      <c r="G759" s="14" t="str">
        <f t="shared" si="30"/>
        <v>O</v>
      </c>
      <c r="H759" s="15">
        <f t="shared" si="29"/>
        <v>1.119064174403861</v>
      </c>
      <c r="L759" s="35"/>
    </row>
    <row r="760" spans="1:12" x14ac:dyDescent="0.3">
      <c r="A760" s="31">
        <f>COUNTIFS($B$2:B760,B760)</f>
        <v>5</v>
      </c>
      <c r="B760" s="26" t="s">
        <v>193</v>
      </c>
      <c r="C760" s="27">
        <v>20060368076484</v>
      </c>
      <c r="D760" s="26" t="s">
        <v>421</v>
      </c>
      <c r="E760" s="28">
        <v>29.841711317436296</v>
      </c>
      <c r="F760" s="9"/>
      <c r="G760" s="14" t="str">
        <f t="shared" si="30"/>
        <v>O</v>
      </c>
      <c r="H760" s="15">
        <f t="shared" si="29"/>
        <v>14.920855658718148</v>
      </c>
      <c r="L760" s="35"/>
    </row>
    <row r="761" spans="1:12" x14ac:dyDescent="0.3">
      <c r="A761" s="31">
        <f>COUNTIFS($B$2:B761,B761)</f>
        <v>6</v>
      </c>
      <c r="B761" s="26" t="s">
        <v>193</v>
      </c>
      <c r="C761" s="27">
        <v>20060368076484</v>
      </c>
      <c r="D761" s="26" t="s">
        <v>284</v>
      </c>
      <c r="E761" s="30">
        <v>14.92</v>
      </c>
      <c r="F761" s="9" t="s">
        <v>459</v>
      </c>
      <c r="G761" s="14"/>
      <c r="H761" s="15">
        <f t="shared" si="29"/>
        <v>7.46</v>
      </c>
      <c r="L761" s="35"/>
    </row>
    <row r="762" spans="1:12" x14ac:dyDescent="0.3">
      <c r="A762" s="31">
        <f>COUNTIFS($B$2:B762,B762)</f>
        <v>7</v>
      </c>
      <c r="B762" s="26" t="s">
        <v>193</v>
      </c>
      <c r="C762" s="27">
        <v>20060368076484</v>
      </c>
      <c r="D762" s="26" t="s">
        <v>511</v>
      </c>
      <c r="E762" s="28">
        <v>18.651069573397685</v>
      </c>
      <c r="F762" s="9"/>
      <c r="G762" s="14" t="str">
        <f>IF(D762="","",IF(COUNTIF(I:I,D762)&gt;0,"O","X"))</f>
        <v>O</v>
      </c>
      <c r="H762" s="15">
        <f t="shared" si="29"/>
        <v>9.3255347866988423</v>
      </c>
      <c r="L762" s="35"/>
    </row>
    <row r="763" spans="1:12" x14ac:dyDescent="0.3">
      <c r="A763" s="31">
        <f>COUNTIFS($B$2:B763,B763)</f>
        <v>8</v>
      </c>
      <c r="B763" s="26" t="s">
        <v>193</v>
      </c>
      <c r="C763" s="27">
        <v>20060368076484</v>
      </c>
      <c r="D763" s="26" t="s">
        <v>284</v>
      </c>
      <c r="E763" s="30">
        <v>9.3249999999999993</v>
      </c>
      <c r="F763" s="9" t="s">
        <v>557</v>
      </c>
      <c r="G763" s="14"/>
      <c r="H763" s="15">
        <f t="shared" si="29"/>
        <v>4.6624999999999996</v>
      </c>
      <c r="L763" s="35"/>
    </row>
    <row r="764" spans="1:12" x14ac:dyDescent="0.3">
      <c r="A764" s="31">
        <f>COUNTIFS($B$2:B764,B764)</f>
        <v>9</v>
      </c>
      <c r="B764" s="26" t="s">
        <v>193</v>
      </c>
      <c r="C764" s="27">
        <v>20060368076484</v>
      </c>
      <c r="D764" s="26" t="s">
        <v>424</v>
      </c>
      <c r="E764" s="28">
        <v>15.666898441654055</v>
      </c>
      <c r="F764" s="9"/>
      <c r="G764" s="14" t="str">
        <f t="shared" ref="G764:G771" si="31">IF(D764="","",IF(COUNTIF(I:I,D764)&gt;0,"O","X"))</f>
        <v>O</v>
      </c>
      <c r="H764" s="15">
        <f t="shared" si="29"/>
        <v>7.8334492208270277</v>
      </c>
      <c r="L764" s="35"/>
    </row>
    <row r="765" spans="1:12" x14ac:dyDescent="0.3">
      <c r="A765" s="31">
        <f>COUNTIFS($B$2:B765,B765)</f>
        <v>10</v>
      </c>
      <c r="B765" s="26" t="s">
        <v>193</v>
      </c>
      <c r="C765" s="27">
        <v>20060368076484</v>
      </c>
      <c r="D765" s="26" t="s">
        <v>166</v>
      </c>
      <c r="E765" s="28">
        <v>37.302139146795369</v>
      </c>
      <c r="F765" s="9"/>
      <c r="G765" s="14" t="str">
        <f t="shared" si="31"/>
        <v>O</v>
      </c>
      <c r="H765" s="15">
        <f t="shared" si="29"/>
        <v>18.651069573397685</v>
      </c>
      <c r="L765" s="35"/>
    </row>
    <row r="766" spans="1:12" x14ac:dyDescent="0.3">
      <c r="A766" s="31">
        <f>COUNTIFS($B$2:B766,B766)</f>
        <v>11</v>
      </c>
      <c r="B766" s="26" t="s">
        <v>193</v>
      </c>
      <c r="C766" s="27">
        <v>20060368076484</v>
      </c>
      <c r="D766" s="26" t="s">
        <v>558</v>
      </c>
      <c r="E766" s="28">
        <v>9.3255347866988423</v>
      </c>
      <c r="F766" s="9"/>
      <c r="G766" s="14" t="str">
        <f t="shared" si="31"/>
        <v>O</v>
      </c>
      <c r="H766" s="15">
        <f t="shared" si="29"/>
        <v>4.6627673933494211</v>
      </c>
      <c r="L766" s="35"/>
    </row>
    <row r="767" spans="1:12" x14ac:dyDescent="0.3">
      <c r="A767" s="31">
        <f>COUNTIFS($B$2:B767,B767)</f>
        <v>1</v>
      </c>
      <c r="B767" s="26" t="s">
        <v>195</v>
      </c>
      <c r="C767" s="27">
        <v>200603680764841</v>
      </c>
      <c r="D767" s="26" t="s">
        <v>284</v>
      </c>
      <c r="E767" s="28">
        <v>75.847682931817246</v>
      </c>
      <c r="F767" s="9"/>
      <c r="G767" s="14" t="str">
        <f t="shared" si="31"/>
        <v>O</v>
      </c>
      <c r="H767" s="15">
        <f t="shared" si="29"/>
        <v>37.923841465908623</v>
      </c>
      <c r="L767" s="35"/>
    </row>
    <row r="768" spans="1:12" x14ac:dyDescent="0.3">
      <c r="A768" s="31">
        <f>COUNTIFS($B$2:B768,B768)</f>
        <v>2</v>
      </c>
      <c r="B768" s="26" t="s">
        <v>195</v>
      </c>
      <c r="C768" s="27">
        <v>200603680764841</v>
      </c>
      <c r="D768" s="26" t="s">
        <v>418</v>
      </c>
      <c r="E768" s="28">
        <v>1.1750173831240542</v>
      </c>
      <c r="F768" s="9"/>
      <c r="G768" s="14" t="str">
        <f t="shared" si="31"/>
        <v>O</v>
      </c>
      <c r="H768" s="15">
        <f t="shared" si="29"/>
        <v>0.58750869156202712</v>
      </c>
      <c r="L768" s="35"/>
    </row>
    <row r="769" spans="1:12" x14ac:dyDescent="0.3">
      <c r="A769" s="31">
        <f>COUNTIFS($B$2:B769,B769)</f>
        <v>3</v>
      </c>
      <c r="B769" s="26" t="s">
        <v>195</v>
      </c>
      <c r="C769" s="27">
        <v>200603680764841</v>
      </c>
      <c r="D769" s="26" t="s">
        <v>528</v>
      </c>
      <c r="E769" s="28">
        <v>37.302139146795369</v>
      </c>
      <c r="F769" s="9"/>
      <c r="G769" s="14" t="str">
        <f t="shared" si="31"/>
        <v>O</v>
      </c>
      <c r="H769" s="15">
        <f t="shared" si="29"/>
        <v>18.651069573397685</v>
      </c>
      <c r="L769" s="35"/>
    </row>
    <row r="770" spans="1:12" x14ac:dyDescent="0.3">
      <c r="A770" s="31">
        <f>COUNTIFS($B$2:B770,B770)</f>
        <v>4</v>
      </c>
      <c r="B770" s="26" t="s">
        <v>195</v>
      </c>
      <c r="C770" s="27">
        <v>200603680764841</v>
      </c>
      <c r="D770" s="26" t="s">
        <v>489</v>
      </c>
      <c r="E770" s="28">
        <v>0.74604278293590731</v>
      </c>
      <c r="F770" s="9"/>
      <c r="G770" s="14" t="str">
        <f t="shared" si="31"/>
        <v>O</v>
      </c>
      <c r="H770" s="15">
        <f t="shared" si="29"/>
        <v>0.37302139146795366</v>
      </c>
      <c r="L770" s="35"/>
    </row>
    <row r="771" spans="1:12" x14ac:dyDescent="0.3">
      <c r="A771" s="31">
        <f>COUNTIFS($B$2:B771,B771)</f>
        <v>5</v>
      </c>
      <c r="B771" s="26" t="s">
        <v>195</v>
      </c>
      <c r="C771" s="27">
        <v>200603680764841</v>
      </c>
      <c r="D771" s="26" t="s">
        <v>421</v>
      </c>
      <c r="E771" s="28">
        <v>9.9472371058120981</v>
      </c>
      <c r="F771" s="9"/>
      <c r="G771" s="14" t="str">
        <f t="shared" si="31"/>
        <v>O</v>
      </c>
      <c r="H771" s="15">
        <f t="shared" si="29"/>
        <v>4.973618552906049</v>
      </c>
      <c r="L771" s="35"/>
    </row>
    <row r="772" spans="1:12" x14ac:dyDescent="0.3">
      <c r="A772" s="31">
        <f>COUNTIFS($B$2:B772,B772)</f>
        <v>6</v>
      </c>
      <c r="B772" s="26" t="s">
        <v>195</v>
      </c>
      <c r="C772" s="27">
        <v>200603680764841</v>
      </c>
      <c r="D772" s="26" t="s">
        <v>284</v>
      </c>
      <c r="E772" s="30">
        <v>4.9736000000000002</v>
      </c>
      <c r="F772" s="9" t="s">
        <v>459</v>
      </c>
      <c r="G772" s="14"/>
      <c r="H772" s="15">
        <f t="shared" si="29"/>
        <v>2.4868000000000001</v>
      </c>
      <c r="L772" s="35"/>
    </row>
    <row r="773" spans="1:12" x14ac:dyDescent="0.3">
      <c r="A773" s="31">
        <f>COUNTIFS($B$2:B773,B773)</f>
        <v>7</v>
      </c>
      <c r="B773" s="26" t="s">
        <v>195</v>
      </c>
      <c r="C773" s="27">
        <v>200603680764841</v>
      </c>
      <c r="D773" s="26" t="s">
        <v>511</v>
      </c>
      <c r="E773" s="28">
        <v>6.2170231911325606</v>
      </c>
      <c r="F773" s="9"/>
      <c r="G773" s="14" t="str">
        <f>IF(D773="","",IF(COUNTIF(I:I,D773)&gt;0,"O","X"))</f>
        <v>O</v>
      </c>
      <c r="H773" s="15">
        <f t="shared" si="29"/>
        <v>3.1085115955662803</v>
      </c>
      <c r="L773" s="35"/>
    </row>
    <row r="774" spans="1:12" x14ac:dyDescent="0.3">
      <c r="A774" s="31">
        <f>COUNTIFS($B$2:B774,B774)</f>
        <v>8</v>
      </c>
      <c r="B774" s="26" t="s">
        <v>195</v>
      </c>
      <c r="C774" s="27">
        <v>200603680764841</v>
      </c>
      <c r="D774" s="26" t="s">
        <v>284</v>
      </c>
      <c r="E774" s="30">
        <v>3.1</v>
      </c>
      <c r="F774" s="9" t="s">
        <v>557</v>
      </c>
      <c r="G774" s="14"/>
      <c r="H774" s="15">
        <f t="shared" si="29"/>
        <v>1.55</v>
      </c>
      <c r="L774" s="35"/>
    </row>
    <row r="775" spans="1:12" x14ac:dyDescent="0.3">
      <c r="A775" s="31">
        <f>COUNTIFS($B$2:B775,B775)</f>
        <v>9</v>
      </c>
      <c r="B775" s="26" t="s">
        <v>195</v>
      </c>
      <c r="C775" s="27">
        <v>200603680764841</v>
      </c>
      <c r="D775" s="26" t="s">
        <v>424</v>
      </c>
      <c r="E775" s="28">
        <v>5.2222994805513512</v>
      </c>
      <c r="F775" s="9"/>
      <c r="G775" s="14" t="str">
        <f t="shared" ref="G775:G782" si="32">IF(D775="","",IF(COUNTIF(I:I,D775)&gt;0,"O","X"))</f>
        <v>O</v>
      </c>
      <c r="H775" s="15">
        <f t="shared" si="29"/>
        <v>2.6111497402756756</v>
      </c>
      <c r="L775" s="35"/>
    </row>
    <row r="776" spans="1:12" x14ac:dyDescent="0.3">
      <c r="A776" s="31">
        <f>COUNTIFS($B$2:B776,B776)</f>
        <v>10</v>
      </c>
      <c r="B776" s="26" t="s">
        <v>195</v>
      </c>
      <c r="C776" s="27">
        <v>200603680764841</v>
      </c>
      <c r="D776" s="26" t="s">
        <v>166</v>
      </c>
      <c r="E776" s="28">
        <v>12.434046382265121</v>
      </c>
      <c r="F776" s="9"/>
      <c r="G776" s="14" t="str">
        <f t="shared" si="32"/>
        <v>O</v>
      </c>
      <c r="H776" s="15">
        <f t="shared" si="29"/>
        <v>6.2170231911325606</v>
      </c>
      <c r="L776" s="35"/>
    </row>
    <row r="777" spans="1:12" x14ac:dyDescent="0.3">
      <c r="A777" s="31">
        <f>COUNTIFS($B$2:B777,B777)</f>
        <v>11</v>
      </c>
      <c r="B777" s="26" t="s">
        <v>195</v>
      </c>
      <c r="C777" s="27">
        <v>200603680764841</v>
      </c>
      <c r="D777" s="26" t="s">
        <v>558</v>
      </c>
      <c r="E777" s="28">
        <v>3.1085115955662803</v>
      </c>
      <c r="F777" s="9"/>
      <c r="G777" s="14" t="str">
        <f t="shared" si="32"/>
        <v>O</v>
      </c>
      <c r="H777" s="15">
        <f t="shared" si="29"/>
        <v>1.5542557977831402</v>
      </c>
      <c r="L777" s="35"/>
    </row>
    <row r="778" spans="1:12" x14ac:dyDescent="0.3">
      <c r="A778" s="31">
        <f>COUNTIFS($B$2:B778,B778)</f>
        <v>1</v>
      </c>
      <c r="B778" s="26" t="s">
        <v>197</v>
      </c>
      <c r="C778" s="27">
        <v>20060368076485</v>
      </c>
      <c r="D778" s="26" t="s">
        <v>284</v>
      </c>
      <c r="E778" s="28">
        <v>240.22799896364103</v>
      </c>
      <c r="F778" s="9"/>
      <c r="G778" s="14" t="str">
        <f t="shared" si="32"/>
        <v>O</v>
      </c>
      <c r="H778" s="15">
        <f t="shared" si="29"/>
        <v>120.11399948182051</v>
      </c>
      <c r="L778" s="35"/>
    </row>
    <row r="779" spans="1:12" x14ac:dyDescent="0.3">
      <c r="A779" s="31">
        <f>COUNTIFS($B$2:B779,B779)</f>
        <v>2</v>
      </c>
      <c r="B779" s="26" t="s">
        <v>197</v>
      </c>
      <c r="C779" s="27">
        <v>20060368076485</v>
      </c>
      <c r="D779" s="26" t="s">
        <v>418</v>
      </c>
      <c r="E779" s="28">
        <v>3.8987822782623711</v>
      </c>
      <c r="F779" s="9"/>
      <c r="G779" s="14" t="str">
        <f t="shared" si="32"/>
        <v>O</v>
      </c>
      <c r="H779" s="15">
        <f t="shared" si="29"/>
        <v>1.9493911391311856</v>
      </c>
      <c r="L779" s="35"/>
    </row>
    <row r="780" spans="1:12" x14ac:dyDescent="0.3">
      <c r="A780" s="31">
        <f>COUNTIFS($B$2:B780,B780)</f>
        <v>3</v>
      </c>
      <c r="B780" s="26" t="s">
        <v>197</v>
      </c>
      <c r="C780" s="27">
        <v>20060368076485</v>
      </c>
      <c r="D780" s="26" t="s">
        <v>528</v>
      </c>
      <c r="E780" s="28">
        <v>124.05216339925728</v>
      </c>
      <c r="F780" s="9"/>
      <c r="G780" s="14" t="str">
        <f t="shared" si="32"/>
        <v>O</v>
      </c>
      <c r="H780" s="15">
        <f t="shared" si="29"/>
        <v>62.026081699628641</v>
      </c>
      <c r="L780" s="35"/>
    </row>
    <row r="781" spans="1:12" x14ac:dyDescent="0.3">
      <c r="A781" s="31">
        <f>COUNTIFS($B$2:B781,B781)</f>
        <v>4</v>
      </c>
      <c r="B781" s="26" t="s">
        <v>197</v>
      </c>
      <c r="C781" s="27">
        <v>20060368076485</v>
      </c>
      <c r="D781" s="26" t="s">
        <v>489</v>
      </c>
      <c r="E781" s="28">
        <v>2.3628983504620433</v>
      </c>
      <c r="F781" s="9"/>
      <c r="G781" s="14" t="str">
        <f t="shared" si="32"/>
        <v>O</v>
      </c>
      <c r="H781" s="15">
        <f t="shared" si="29"/>
        <v>1.1814491752310217</v>
      </c>
      <c r="L781" s="35"/>
    </row>
    <row r="782" spans="1:12" x14ac:dyDescent="0.3">
      <c r="A782" s="31">
        <f>COUNTIFS($B$2:B782,B782)</f>
        <v>5</v>
      </c>
      <c r="B782" s="26" t="s">
        <v>197</v>
      </c>
      <c r="C782" s="27">
        <v>20060368076485</v>
      </c>
      <c r="D782" s="26" t="s">
        <v>421</v>
      </c>
      <c r="E782" s="28">
        <v>31.505311339493907</v>
      </c>
      <c r="F782" s="9"/>
      <c r="G782" s="14" t="str">
        <f t="shared" si="32"/>
        <v>O</v>
      </c>
      <c r="H782" s="15">
        <f t="shared" si="29"/>
        <v>15.752655669746954</v>
      </c>
      <c r="L782" s="35"/>
    </row>
    <row r="783" spans="1:12" x14ac:dyDescent="0.3">
      <c r="A783" s="31">
        <f>COUNTIFS($B$2:B783,B783)</f>
        <v>6</v>
      </c>
      <c r="B783" s="26" t="s">
        <v>197</v>
      </c>
      <c r="C783" s="27">
        <v>20060368076485</v>
      </c>
      <c r="D783" s="26" t="s">
        <v>284</v>
      </c>
      <c r="E783" s="30">
        <v>15.752000000000001</v>
      </c>
      <c r="F783" s="9" t="s">
        <v>459</v>
      </c>
      <c r="G783" s="14"/>
      <c r="H783" s="15"/>
      <c r="L783" s="35"/>
    </row>
    <row r="784" spans="1:12" x14ac:dyDescent="0.3">
      <c r="A784" s="31">
        <f>COUNTIFS($B$2:B784,B784)</f>
        <v>7</v>
      </c>
      <c r="B784" s="26" t="s">
        <v>197</v>
      </c>
      <c r="C784" s="27">
        <v>20060368076485</v>
      </c>
      <c r="D784" s="26" t="s">
        <v>511</v>
      </c>
      <c r="E784" s="28">
        <v>19.690819587183693</v>
      </c>
      <c r="F784" s="9"/>
      <c r="G784" s="14" t="str">
        <f>IF(D784="","",IF(COUNTIF(I:I,D784)&gt;0,"O","X"))</f>
        <v>O</v>
      </c>
      <c r="H784" s="15">
        <f t="shared" si="29"/>
        <v>9.8454097935918465</v>
      </c>
      <c r="L784" s="35"/>
    </row>
    <row r="785" spans="1:12" x14ac:dyDescent="0.3">
      <c r="A785" s="31">
        <f>COUNTIFS($B$2:B785,B785)</f>
        <v>8</v>
      </c>
      <c r="B785" s="26" t="s">
        <v>197</v>
      </c>
      <c r="C785" s="27">
        <v>20060368076485</v>
      </c>
      <c r="D785" s="26" t="s">
        <v>284</v>
      </c>
      <c r="E785" s="30">
        <v>9.8450000000000006</v>
      </c>
      <c r="F785" s="9" t="s">
        <v>557</v>
      </c>
      <c r="G785" s="14"/>
      <c r="H785" s="15"/>
      <c r="L785" s="35"/>
    </row>
    <row r="786" spans="1:12" x14ac:dyDescent="0.3">
      <c r="A786" s="31">
        <f>COUNTIFS($B$2:B786,B786)</f>
        <v>9</v>
      </c>
      <c r="B786" s="26" t="s">
        <v>197</v>
      </c>
      <c r="C786" s="27">
        <v>20060368076485</v>
      </c>
      <c r="D786" s="26" t="s">
        <v>424</v>
      </c>
      <c r="E786" s="28">
        <v>16.540288453234304</v>
      </c>
      <c r="F786" s="9"/>
      <c r="G786" s="14" t="str">
        <f t="shared" ref="G786:G793" si="33">IF(D786="","",IF(COUNTIF(I:I,D786)&gt;0,"O","X"))</f>
        <v>O</v>
      </c>
      <c r="H786" s="15">
        <f t="shared" si="29"/>
        <v>8.2701442266171519</v>
      </c>
      <c r="L786" s="35"/>
    </row>
    <row r="787" spans="1:12" x14ac:dyDescent="0.3">
      <c r="A787" s="31">
        <f>COUNTIFS($B$2:B787,B787)</f>
        <v>10</v>
      </c>
      <c r="B787" s="26" t="s">
        <v>197</v>
      </c>
      <c r="C787" s="27">
        <v>20060368076485</v>
      </c>
      <c r="D787" s="26" t="s">
        <v>538</v>
      </c>
      <c r="E787" s="28">
        <v>7.8763278348734769</v>
      </c>
      <c r="F787" s="9"/>
      <c r="G787" s="14" t="str">
        <f t="shared" si="33"/>
        <v>O</v>
      </c>
      <c r="H787" s="15">
        <f t="shared" si="29"/>
        <v>3.9381639174367384</v>
      </c>
      <c r="L787" s="35"/>
    </row>
    <row r="788" spans="1:12" x14ac:dyDescent="0.3">
      <c r="A788" s="31">
        <f>COUNTIFS($B$2:B788,B788)</f>
        <v>11</v>
      </c>
      <c r="B788" s="26" t="s">
        <v>197</v>
      </c>
      <c r="C788" s="27">
        <v>20060368076485</v>
      </c>
      <c r="D788" s="26" t="s">
        <v>558</v>
      </c>
      <c r="E788" s="28">
        <v>9.8454097935918465</v>
      </c>
      <c r="F788" s="9"/>
      <c r="G788" s="14" t="str">
        <f t="shared" si="33"/>
        <v>O</v>
      </c>
      <c r="H788" s="15">
        <f t="shared" si="29"/>
        <v>4.9227048967959233</v>
      </c>
      <c r="L788" s="35"/>
    </row>
    <row r="789" spans="1:12" x14ac:dyDescent="0.3">
      <c r="A789" s="31">
        <f>COUNTIFS($B$2:B789,B789)</f>
        <v>1</v>
      </c>
      <c r="B789" s="26" t="s">
        <v>198</v>
      </c>
      <c r="C789" s="27">
        <v>200603680764851</v>
      </c>
      <c r="D789" s="26" t="s">
        <v>284</v>
      </c>
      <c r="E789" s="28">
        <v>80.075999654547019</v>
      </c>
      <c r="F789" s="9"/>
      <c r="G789" s="14" t="str">
        <f t="shared" si="33"/>
        <v>O</v>
      </c>
      <c r="H789" s="15">
        <f t="shared" si="29"/>
        <v>40.037999827273509</v>
      </c>
      <c r="L789" s="35"/>
    </row>
    <row r="790" spans="1:12" x14ac:dyDescent="0.3">
      <c r="A790" s="31">
        <f>COUNTIFS($B$2:B790,B790)</f>
        <v>2</v>
      </c>
      <c r="B790" s="26" t="s">
        <v>198</v>
      </c>
      <c r="C790" s="27">
        <v>200603680764851</v>
      </c>
      <c r="D790" s="26" t="s">
        <v>418</v>
      </c>
      <c r="E790" s="28">
        <v>1.2995940927541236</v>
      </c>
      <c r="F790" s="9"/>
      <c r="G790" s="14" t="str">
        <f t="shared" si="33"/>
        <v>O</v>
      </c>
      <c r="H790" s="15">
        <f t="shared" si="29"/>
        <v>0.64979704637706182</v>
      </c>
      <c r="L790" s="35"/>
    </row>
    <row r="791" spans="1:12" x14ac:dyDescent="0.3">
      <c r="A791" s="31">
        <f>COUNTIFS($B$2:B791,B791)</f>
        <v>3</v>
      </c>
      <c r="B791" s="26" t="s">
        <v>198</v>
      </c>
      <c r="C791" s="27">
        <v>200603680764851</v>
      </c>
      <c r="D791" s="26" t="s">
        <v>528</v>
      </c>
      <c r="E791" s="28">
        <v>41.350721133085763</v>
      </c>
      <c r="F791" s="9"/>
      <c r="G791" s="14" t="str">
        <f t="shared" si="33"/>
        <v>O</v>
      </c>
      <c r="H791" s="15">
        <f t="shared" si="29"/>
        <v>20.675360566542881</v>
      </c>
      <c r="L791" s="35"/>
    </row>
    <row r="792" spans="1:12" x14ac:dyDescent="0.3">
      <c r="A792" s="31">
        <f>COUNTIFS($B$2:B792,B792)</f>
        <v>4</v>
      </c>
      <c r="B792" s="26" t="s">
        <v>198</v>
      </c>
      <c r="C792" s="27">
        <v>200603680764851</v>
      </c>
      <c r="D792" s="26" t="s">
        <v>489</v>
      </c>
      <c r="E792" s="28">
        <v>0.78763278348734767</v>
      </c>
      <c r="F792" s="9"/>
      <c r="G792" s="14" t="str">
        <f t="shared" si="33"/>
        <v>O</v>
      </c>
      <c r="H792" s="15">
        <f t="shared" si="29"/>
        <v>0.39381639174367383</v>
      </c>
      <c r="L792" s="35"/>
    </row>
    <row r="793" spans="1:12" x14ac:dyDescent="0.3">
      <c r="A793" s="31">
        <f>COUNTIFS($B$2:B793,B793)</f>
        <v>5</v>
      </c>
      <c r="B793" s="26" t="s">
        <v>198</v>
      </c>
      <c r="C793" s="27">
        <v>200603680764851</v>
      </c>
      <c r="D793" s="26" t="s">
        <v>421</v>
      </c>
      <c r="E793" s="28">
        <v>10.50177044649797</v>
      </c>
      <c r="F793" s="9"/>
      <c r="G793" s="14" t="str">
        <f t="shared" si="33"/>
        <v>O</v>
      </c>
      <c r="H793" s="15">
        <f t="shared" si="29"/>
        <v>5.2508852232489849</v>
      </c>
      <c r="L793" s="35"/>
    </row>
    <row r="794" spans="1:12" x14ac:dyDescent="0.3">
      <c r="A794" s="31"/>
      <c r="B794" s="26" t="s">
        <v>198</v>
      </c>
      <c r="C794" s="27">
        <v>200603680764851</v>
      </c>
      <c r="D794" s="26" t="s">
        <v>284</v>
      </c>
      <c r="E794" s="30">
        <v>5.25</v>
      </c>
      <c r="F794" s="9" t="s">
        <v>459</v>
      </c>
      <c r="G794" s="14"/>
      <c r="H794" s="15">
        <f t="shared" si="29"/>
        <v>2.625</v>
      </c>
      <c r="L794" s="35"/>
    </row>
    <row r="795" spans="1:12" x14ac:dyDescent="0.3">
      <c r="A795" s="31">
        <f>COUNTIFS($B$2:B795,B795)</f>
        <v>7</v>
      </c>
      <c r="B795" s="26" t="s">
        <v>198</v>
      </c>
      <c r="C795" s="27">
        <v>200603680764851</v>
      </c>
      <c r="D795" s="26" t="s">
        <v>511</v>
      </c>
      <c r="E795" s="28">
        <v>6.5636065290612313</v>
      </c>
      <c r="F795" s="9"/>
      <c r="G795" s="14" t="str">
        <f>IF(D795="","",IF(COUNTIF(I:I,D795)&gt;0,"O","X"))</f>
        <v>O</v>
      </c>
      <c r="H795" s="15">
        <f t="shared" si="29"/>
        <v>3.2818032645306157</v>
      </c>
      <c r="L795" s="35"/>
    </row>
    <row r="796" spans="1:12" x14ac:dyDescent="0.3">
      <c r="A796" s="31"/>
      <c r="B796" s="26" t="s">
        <v>198</v>
      </c>
      <c r="C796" s="27">
        <v>200603680764851</v>
      </c>
      <c r="D796" s="26" t="s">
        <v>284</v>
      </c>
      <c r="E796" s="30">
        <v>3.3</v>
      </c>
      <c r="F796" s="9" t="s">
        <v>557</v>
      </c>
      <c r="G796" s="14"/>
      <c r="H796" s="15">
        <f t="shared" si="29"/>
        <v>1.65</v>
      </c>
      <c r="L796" s="35"/>
    </row>
    <row r="797" spans="1:12" x14ac:dyDescent="0.3">
      <c r="A797" s="31">
        <f>COUNTIFS($B$2:B797,B797)</f>
        <v>9</v>
      </c>
      <c r="B797" s="26" t="s">
        <v>198</v>
      </c>
      <c r="C797" s="27">
        <v>200603680764851</v>
      </c>
      <c r="D797" s="26" t="s">
        <v>424</v>
      </c>
      <c r="E797" s="28">
        <v>5.5134294844114349</v>
      </c>
      <c r="F797" s="9"/>
      <c r="G797" s="14" t="str">
        <f t="shared" ref="G797:G804" si="34">IF(D797="","",IF(COUNTIF(I:I,D797)&gt;0,"O","X"))</f>
        <v>O</v>
      </c>
      <c r="H797" s="15">
        <f t="shared" si="29"/>
        <v>2.7567147422057174</v>
      </c>
      <c r="L797" s="35"/>
    </row>
    <row r="798" spans="1:12" x14ac:dyDescent="0.3">
      <c r="A798" s="31">
        <f>COUNTIFS($B$2:B798,B798)</f>
        <v>10</v>
      </c>
      <c r="B798" s="26" t="s">
        <v>198</v>
      </c>
      <c r="C798" s="27">
        <v>200603680764851</v>
      </c>
      <c r="D798" s="26" t="s">
        <v>42</v>
      </c>
      <c r="E798" s="28">
        <v>2.6254426116244924</v>
      </c>
      <c r="F798" s="9"/>
      <c r="G798" s="14" t="str">
        <f t="shared" si="34"/>
        <v>O</v>
      </c>
      <c r="H798" s="15">
        <f t="shared" si="29"/>
        <v>1.3127213058122462</v>
      </c>
      <c r="L798" s="35"/>
    </row>
    <row r="799" spans="1:12" x14ac:dyDescent="0.3">
      <c r="A799" s="31">
        <f>COUNTIFS($B$2:B799,B799)</f>
        <v>11</v>
      </c>
      <c r="B799" s="26" t="s">
        <v>198</v>
      </c>
      <c r="C799" s="27">
        <v>200603680764851</v>
      </c>
      <c r="D799" s="26" t="s">
        <v>558</v>
      </c>
      <c r="E799" s="28">
        <v>3.2818032645306157</v>
      </c>
      <c r="F799" s="9"/>
      <c r="G799" s="14" t="str">
        <f t="shared" si="34"/>
        <v>O</v>
      </c>
      <c r="H799" s="15">
        <f t="shared" si="29"/>
        <v>1.6409016322653078</v>
      </c>
      <c r="L799" s="35"/>
    </row>
    <row r="800" spans="1:12" x14ac:dyDescent="0.3">
      <c r="A800" s="31">
        <f>COUNTIFS($B$2:B800,B800)</f>
        <v>1</v>
      </c>
      <c r="B800" s="26" t="s">
        <v>201</v>
      </c>
      <c r="C800" s="27">
        <v>20060368076486</v>
      </c>
      <c r="D800" s="26" t="s">
        <v>284</v>
      </c>
      <c r="E800" s="28">
        <v>201.02949464587641</v>
      </c>
      <c r="F800" s="9"/>
      <c r="G800" s="14" t="str">
        <f t="shared" si="34"/>
        <v>O</v>
      </c>
      <c r="H800" s="15">
        <f t="shared" si="29"/>
        <v>100.51474732293821</v>
      </c>
      <c r="L800" s="35"/>
    </row>
    <row r="801" spans="1:12" x14ac:dyDescent="0.3">
      <c r="A801" s="31">
        <f>COUNTIFS($B$2:B801,B801)</f>
        <v>2</v>
      </c>
      <c r="B801" s="26" t="s">
        <v>201</v>
      </c>
      <c r="C801" s="27">
        <v>20060368076486</v>
      </c>
      <c r="D801" s="26" t="s">
        <v>418</v>
      </c>
      <c r="E801" s="28">
        <v>3.683637046778133</v>
      </c>
      <c r="F801" s="9"/>
      <c r="G801" s="14" t="str">
        <f t="shared" si="34"/>
        <v>O</v>
      </c>
      <c r="H801" s="15">
        <f t="shared" si="29"/>
        <v>1.8418185233890665</v>
      </c>
      <c r="L801" s="35"/>
    </row>
    <row r="802" spans="1:12" x14ac:dyDescent="0.3">
      <c r="A802" s="31">
        <f>COUNTIFS($B$2:B802,B802)</f>
        <v>3</v>
      </c>
      <c r="B802" s="26" t="s">
        <v>201</v>
      </c>
      <c r="C802" s="27">
        <v>20060368076486</v>
      </c>
      <c r="D802" s="26" t="s">
        <v>528</v>
      </c>
      <c r="E802" s="28">
        <v>133.25818773874383</v>
      </c>
      <c r="F802" s="9"/>
      <c r="G802" s="14" t="str">
        <f t="shared" si="34"/>
        <v>O</v>
      </c>
      <c r="H802" s="15">
        <f t="shared" si="29"/>
        <v>66.629093869371914</v>
      </c>
      <c r="L802" s="35"/>
    </row>
    <row r="803" spans="1:12" x14ac:dyDescent="0.3">
      <c r="A803" s="31">
        <f>COUNTIFS($B$2:B803,B803)</f>
        <v>4</v>
      </c>
      <c r="B803" s="26" t="s">
        <v>201</v>
      </c>
      <c r="C803" s="27">
        <v>20060368076486</v>
      </c>
      <c r="D803" s="26" t="s">
        <v>489</v>
      </c>
      <c r="E803" s="28">
        <v>2.2844260755213228</v>
      </c>
      <c r="F803" s="9"/>
      <c r="G803" s="14" t="str">
        <f t="shared" si="34"/>
        <v>O</v>
      </c>
      <c r="H803" s="15">
        <f t="shared" si="29"/>
        <v>1.1422130377606614</v>
      </c>
      <c r="L803" s="35"/>
    </row>
    <row r="804" spans="1:12" x14ac:dyDescent="0.3">
      <c r="A804" s="31">
        <f>COUNTIFS($B$2:B804,B804)</f>
        <v>5</v>
      </c>
      <c r="B804" s="26" t="s">
        <v>201</v>
      </c>
      <c r="C804" s="27">
        <v>20060368076486</v>
      </c>
      <c r="D804" s="26" t="s">
        <v>421</v>
      </c>
      <c r="E804" s="28">
        <v>30.459014340284302</v>
      </c>
      <c r="F804" s="9"/>
      <c r="G804" s="14" t="str">
        <f t="shared" si="34"/>
        <v>O</v>
      </c>
      <c r="H804" s="15">
        <f t="shared" si="29"/>
        <v>15.229507170142151</v>
      </c>
      <c r="L804" s="35"/>
    </row>
    <row r="805" spans="1:12" x14ac:dyDescent="0.3">
      <c r="A805" s="31"/>
      <c r="B805" s="26" t="s">
        <v>201</v>
      </c>
      <c r="C805" s="27">
        <v>20060368076486</v>
      </c>
      <c r="D805" s="26" t="s">
        <v>284</v>
      </c>
      <c r="E805" s="30">
        <v>15.25</v>
      </c>
      <c r="F805" s="9" t="s">
        <v>459</v>
      </c>
      <c r="G805" s="14"/>
      <c r="H805" s="15">
        <f t="shared" si="29"/>
        <v>7.625</v>
      </c>
      <c r="L805" s="35"/>
    </row>
    <row r="806" spans="1:12" x14ac:dyDescent="0.3">
      <c r="A806" s="31">
        <f>COUNTIFS($B$2:B806,B806)</f>
        <v>7</v>
      </c>
      <c r="B806" s="26" t="s">
        <v>201</v>
      </c>
      <c r="C806" s="27">
        <v>20060368076486</v>
      </c>
      <c r="D806" s="26" t="s">
        <v>511</v>
      </c>
      <c r="E806" s="28">
        <v>19.036883962677688</v>
      </c>
      <c r="F806" s="9"/>
      <c r="G806" s="14" t="str">
        <f>IF(D806="","",IF(COUNTIF(I:I,D806)&gt;0,"O","X"))</f>
        <v>O</v>
      </c>
      <c r="H806" s="15">
        <f t="shared" si="29"/>
        <v>9.5184419813388441</v>
      </c>
      <c r="L806" s="35"/>
    </row>
    <row r="807" spans="1:12" x14ac:dyDescent="0.3">
      <c r="A807" s="31"/>
      <c r="B807" s="26" t="s">
        <v>201</v>
      </c>
      <c r="C807" s="27">
        <v>20060368076486</v>
      </c>
      <c r="D807" s="26" t="s">
        <v>284</v>
      </c>
      <c r="E807" s="30">
        <v>9.5</v>
      </c>
      <c r="F807" s="9" t="s">
        <v>557</v>
      </c>
      <c r="G807" s="14"/>
      <c r="H807" s="15">
        <f t="shared" si="29"/>
        <v>4.75</v>
      </c>
      <c r="L807" s="35"/>
    </row>
    <row r="808" spans="1:12" x14ac:dyDescent="0.3">
      <c r="A808" s="31">
        <f>COUNTIFS($B$2:B808,B808)</f>
        <v>9</v>
      </c>
      <c r="B808" s="26" t="s">
        <v>201</v>
      </c>
      <c r="C808" s="27">
        <v>20060368076486</v>
      </c>
      <c r="D808" s="26" t="s">
        <v>424</v>
      </c>
      <c r="E808" s="28">
        <v>15.99098252864926</v>
      </c>
      <c r="F808" s="9"/>
      <c r="G808" s="14" t="str">
        <f t="shared" ref="G808:G832" si="35">IF(D808="","",IF(COUNTIF(I:I,D808)&gt;0,"O","X"))</f>
        <v>O</v>
      </c>
      <c r="H808" s="15">
        <f t="shared" si="29"/>
        <v>7.9954912643246301</v>
      </c>
      <c r="L808" s="35"/>
    </row>
    <row r="809" spans="1:12" x14ac:dyDescent="0.3">
      <c r="A809" s="31">
        <f>COUNTIFS($B$2:B809,B809)</f>
        <v>10</v>
      </c>
      <c r="B809" s="26" t="s">
        <v>201</v>
      </c>
      <c r="C809" s="27">
        <v>20060368076486</v>
      </c>
      <c r="D809" s="26" t="s">
        <v>118</v>
      </c>
      <c r="E809" s="28">
        <v>50.257373661469103</v>
      </c>
      <c r="F809" s="9"/>
      <c r="G809" s="14" t="str">
        <f t="shared" si="35"/>
        <v>O</v>
      </c>
      <c r="H809" s="15">
        <f t="shared" si="29"/>
        <v>25.128686830734551</v>
      </c>
      <c r="L809" s="35"/>
    </row>
    <row r="810" spans="1:12" x14ac:dyDescent="0.3">
      <c r="A810" s="31">
        <f>COUNTIFS($B$2:B810,B810)</f>
        <v>11</v>
      </c>
      <c r="B810" s="26" t="s">
        <v>201</v>
      </c>
      <c r="C810" s="27">
        <v>20060368076486</v>
      </c>
      <c r="D810" s="26" t="s">
        <v>558</v>
      </c>
      <c r="E810" s="28">
        <v>9.5184419813388441</v>
      </c>
      <c r="F810" s="9"/>
      <c r="G810" s="14" t="str">
        <f t="shared" si="35"/>
        <v>O</v>
      </c>
      <c r="H810" s="15">
        <f t="shared" si="29"/>
        <v>4.7592209906694221</v>
      </c>
      <c r="L810" s="35"/>
    </row>
    <row r="811" spans="1:12" x14ac:dyDescent="0.3">
      <c r="A811" s="31">
        <f>COUNTIFS($B$2:B811,B811)</f>
        <v>1</v>
      </c>
      <c r="B811" s="26" t="s">
        <v>204</v>
      </c>
      <c r="C811" s="27">
        <v>200603680764861</v>
      </c>
      <c r="D811" s="26" t="s">
        <v>284</v>
      </c>
      <c r="E811" s="28">
        <v>67.009831548625471</v>
      </c>
      <c r="F811" s="9"/>
      <c r="G811" s="14" t="str">
        <f t="shared" si="35"/>
        <v>O</v>
      </c>
      <c r="H811" s="15">
        <f t="shared" si="29"/>
        <v>33.504915774312735</v>
      </c>
      <c r="L811" s="35"/>
    </row>
    <row r="812" spans="1:12" x14ac:dyDescent="0.3">
      <c r="A812" s="31">
        <f>COUNTIFS($B$2:B812,B812)</f>
        <v>2</v>
      </c>
      <c r="B812" s="26" t="s">
        <v>204</v>
      </c>
      <c r="C812" s="27">
        <v>200603680764861</v>
      </c>
      <c r="D812" s="26" t="s">
        <v>155</v>
      </c>
      <c r="E812" s="28">
        <v>1.2278790155927111</v>
      </c>
      <c r="F812" s="9"/>
      <c r="G812" s="14" t="str">
        <f t="shared" si="35"/>
        <v>O</v>
      </c>
      <c r="H812" s="15">
        <f t="shared" si="29"/>
        <v>0.61393950779635553</v>
      </c>
      <c r="L812" s="35"/>
    </row>
    <row r="813" spans="1:12" x14ac:dyDescent="0.3">
      <c r="A813" s="31">
        <f>COUNTIFS($B$2:B813,B813)</f>
        <v>3</v>
      </c>
      <c r="B813" s="26" t="s">
        <v>204</v>
      </c>
      <c r="C813" s="27">
        <v>200603680764861</v>
      </c>
      <c r="D813" s="26" t="s">
        <v>114</v>
      </c>
      <c r="E813" s="28">
        <v>44.419395912914609</v>
      </c>
      <c r="F813" s="9"/>
      <c r="G813" s="14" t="str">
        <f t="shared" si="35"/>
        <v>O</v>
      </c>
      <c r="H813" s="15">
        <f t="shared" si="29"/>
        <v>22.209697956457305</v>
      </c>
      <c r="L813" s="35"/>
    </row>
    <row r="814" spans="1:12" x14ac:dyDescent="0.3">
      <c r="A814" s="31">
        <f>COUNTIFS($B$2:B814,B814)</f>
        <v>4</v>
      </c>
      <c r="B814" s="26" t="s">
        <v>204</v>
      </c>
      <c r="C814" s="27">
        <v>200603680764861</v>
      </c>
      <c r="D814" s="26" t="s">
        <v>164</v>
      </c>
      <c r="E814" s="28">
        <v>0.76147535850710757</v>
      </c>
      <c r="F814" s="9"/>
      <c r="G814" s="14" t="str">
        <f t="shared" si="35"/>
        <v>O</v>
      </c>
      <c r="H814" s="15">
        <f t="shared" si="29"/>
        <v>0.38073767925355378</v>
      </c>
      <c r="L814" s="35"/>
    </row>
    <row r="815" spans="1:12" x14ac:dyDescent="0.3">
      <c r="A815" s="31">
        <f>COUNTIFS($B$2:B815,B815)</f>
        <v>5</v>
      </c>
      <c r="B815" s="26" t="s">
        <v>204</v>
      </c>
      <c r="C815" s="27">
        <v>200603680764861</v>
      </c>
      <c r="D815" s="26" t="s">
        <v>228</v>
      </c>
      <c r="E815" s="28">
        <v>10.153004780094768</v>
      </c>
      <c r="F815" s="9"/>
      <c r="G815" s="14" t="str">
        <f t="shared" si="35"/>
        <v>O</v>
      </c>
      <c r="H815" s="15">
        <f t="shared" si="29"/>
        <v>5.0765023900473842</v>
      </c>
      <c r="L815" s="35"/>
    </row>
    <row r="816" spans="1:12" x14ac:dyDescent="0.3">
      <c r="A816" s="31">
        <f>COUNTIFS($B$2:B816,B816)</f>
        <v>6</v>
      </c>
      <c r="B816" s="26" t="s">
        <v>204</v>
      </c>
      <c r="C816" s="27">
        <v>200603680764861</v>
      </c>
      <c r="D816" s="26" t="s">
        <v>511</v>
      </c>
      <c r="E816" s="28">
        <v>6.3456279875592294</v>
      </c>
      <c r="F816" s="9"/>
      <c r="G816" s="14" t="str">
        <f t="shared" si="35"/>
        <v>O</v>
      </c>
      <c r="H816" s="15">
        <f t="shared" si="29"/>
        <v>3.1728139937796147</v>
      </c>
      <c r="L816" s="35"/>
    </row>
    <row r="817" spans="1:12" x14ac:dyDescent="0.3">
      <c r="A817" s="31">
        <f>COUNTIFS($B$2:B817,B817)</f>
        <v>7</v>
      </c>
      <c r="B817" s="26" t="s">
        <v>204</v>
      </c>
      <c r="C817" s="27">
        <v>200603680764861</v>
      </c>
      <c r="D817" s="26" t="s">
        <v>218</v>
      </c>
      <c r="E817" s="28">
        <v>5.3303275095497531</v>
      </c>
      <c r="F817" s="9"/>
      <c r="G817" s="14" t="str">
        <f t="shared" si="35"/>
        <v>O</v>
      </c>
      <c r="H817" s="15">
        <f t="shared" si="29"/>
        <v>2.6651637547748765</v>
      </c>
      <c r="L817" s="35"/>
    </row>
    <row r="818" spans="1:12" x14ac:dyDescent="0.3">
      <c r="A818" s="31">
        <f>COUNTIFS($B$2:B818,B818)</f>
        <v>8</v>
      </c>
      <c r="B818" s="26" t="s">
        <v>204</v>
      </c>
      <c r="C818" s="27">
        <v>200603680764861</v>
      </c>
      <c r="D818" s="26" t="s">
        <v>118</v>
      </c>
      <c r="E818" s="28">
        <v>16.752457887156368</v>
      </c>
      <c r="F818" s="9"/>
      <c r="G818" s="14" t="str">
        <f t="shared" si="35"/>
        <v>O</v>
      </c>
      <c r="H818" s="15">
        <f t="shared" si="29"/>
        <v>8.3762289435781838</v>
      </c>
      <c r="L818" s="35"/>
    </row>
    <row r="819" spans="1:12" x14ac:dyDescent="0.3">
      <c r="A819" s="19">
        <f>COUNTIFS($B$2:B819,B819)</f>
        <v>1</v>
      </c>
      <c r="B819" s="26" t="s">
        <v>207</v>
      </c>
      <c r="C819" s="27">
        <v>20060368076487</v>
      </c>
      <c r="D819" s="26" t="s">
        <v>284</v>
      </c>
      <c r="E819" s="28">
        <v>73.414754885757148</v>
      </c>
      <c r="F819" s="9"/>
      <c r="G819" s="14" t="str">
        <f t="shared" si="35"/>
        <v>O</v>
      </c>
      <c r="H819" s="15">
        <f t="shared" si="29"/>
        <v>36.707377442878574</v>
      </c>
      <c r="L819" s="35"/>
    </row>
    <row r="820" spans="1:12" x14ac:dyDescent="0.3">
      <c r="A820" s="19">
        <f>COUNTIFS($B$2:B820,B820)</f>
        <v>2</v>
      </c>
      <c r="B820" s="26" t="s">
        <v>207</v>
      </c>
      <c r="C820" s="27">
        <v>20060368076487</v>
      </c>
      <c r="D820" s="26" t="s">
        <v>206</v>
      </c>
      <c r="E820" s="28">
        <v>11.591803403014284</v>
      </c>
      <c r="F820" s="9"/>
      <c r="G820" s="14" t="str">
        <f t="shared" si="35"/>
        <v>O</v>
      </c>
      <c r="H820" s="15">
        <f t="shared" si="29"/>
        <v>5.7959017015071419</v>
      </c>
      <c r="L820" s="35"/>
    </row>
    <row r="821" spans="1:12" x14ac:dyDescent="0.3">
      <c r="A821" s="19">
        <f>COUNTIFS($B$2:B821,B821)</f>
        <v>3</v>
      </c>
      <c r="B821" s="26" t="s">
        <v>207</v>
      </c>
      <c r="C821" s="27">
        <v>20060368076487</v>
      </c>
      <c r="D821" s="26" t="s">
        <v>418</v>
      </c>
      <c r="E821" s="28">
        <v>1.6344442798250127</v>
      </c>
      <c r="F821" s="9"/>
      <c r="G821" s="14" t="str">
        <f t="shared" si="35"/>
        <v>O</v>
      </c>
      <c r="H821" s="15">
        <f t="shared" ref="H821:H884" si="36">E821/2</f>
        <v>0.81722213991250636</v>
      </c>
      <c r="L821" s="35"/>
    </row>
    <row r="822" spans="1:12" x14ac:dyDescent="0.3">
      <c r="A822" s="19">
        <f>COUNTIFS($B$2:B822,B822)</f>
        <v>4</v>
      </c>
      <c r="B822" s="26" t="s">
        <v>207</v>
      </c>
      <c r="C822" s="27">
        <v>20060368076487</v>
      </c>
      <c r="D822" s="26" t="s">
        <v>157</v>
      </c>
      <c r="E822" s="28">
        <v>22.191274835978781</v>
      </c>
      <c r="F822" s="9"/>
      <c r="G822" s="14" t="str">
        <f t="shared" si="35"/>
        <v>O</v>
      </c>
      <c r="H822" s="15">
        <f t="shared" si="36"/>
        <v>11.095637417989391</v>
      </c>
      <c r="L822" s="35"/>
    </row>
    <row r="823" spans="1:12" x14ac:dyDescent="0.3">
      <c r="A823" s="19">
        <f>COUNTIFS($B$2:B823,B823)</f>
        <v>5</v>
      </c>
      <c r="B823" s="26" t="s">
        <v>207</v>
      </c>
      <c r="C823" s="27">
        <v>20060368076487</v>
      </c>
      <c r="D823" s="26" t="s">
        <v>164</v>
      </c>
      <c r="E823" s="28">
        <v>3.4</v>
      </c>
      <c r="F823" s="9"/>
      <c r="G823" s="14" t="str">
        <f t="shared" si="35"/>
        <v>O</v>
      </c>
      <c r="H823" s="15">
        <f t="shared" si="36"/>
        <v>1.7</v>
      </c>
      <c r="L823" s="35"/>
    </row>
    <row r="824" spans="1:12" x14ac:dyDescent="0.3">
      <c r="A824" s="19">
        <f>COUNTIFS($B$2:B824,B824)</f>
        <v>6</v>
      </c>
      <c r="B824" s="26" t="s">
        <v>207</v>
      </c>
      <c r="C824" s="27">
        <v>20060368076487</v>
      </c>
      <c r="D824" s="26" t="s">
        <v>41</v>
      </c>
      <c r="E824" s="28">
        <v>15.492022055305943</v>
      </c>
      <c r="F824" s="9"/>
      <c r="G824" s="14" t="str">
        <f t="shared" si="35"/>
        <v>O</v>
      </c>
      <c r="H824" s="15">
        <f t="shared" si="36"/>
        <v>7.7460110276529717</v>
      </c>
      <c r="L824" s="35"/>
    </row>
    <row r="825" spans="1:12" x14ac:dyDescent="0.3">
      <c r="A825" s="19">
        <f>COUNTIFS($B$2:B825,B825)</f>
        <v>7</v>
      </c>
      <c r="B825" s="26" t="s">
        <v>207</v>
      </c>
      <c r="C825" s="27">
        <v>20060368076487</v>
      </c>
      <c r="D825" s="26" t="s">
        <v>504</v>
      </c>
      <c r="E825" s="28">
        <v>7.7460110276529717</v>
      </c>
      <c r="F825" s="9"/>
      <c r="G825" s="14" t="str">
        <f t="shared" si="35"/>
        <v>O</v>
      </c>
      <c r="H825" s="15">
        <f t="shared" si="36"/>
        <v>3.8730055138264858</v>
      </c>
      <c r="L825" s="35"/>
    </row>
    <row r="826" spans="1:12" x14ac:dyDescent="0.3">
      <c r="A826" s="19">
        <f>COUNTIFS($B$2:B826,B826)</f>
        <v>8</v>
      </c>
      <c r="B826" s="26" t="s">
        <v>207</v>
      </c>
      <c r="C826" s="27">
        <v>20060368076487</v>
      </c>
      <c r="D826" s="26" t="s">
        <v>114</v>
      </c>
      <c r="E826" s="28">
        <v>26.797011122691355</v>
      </c>
      <c r="F826" s="9"/>
      <c r="G826" s="14" t="str">
        <f t="shared" si="35"/>
        <v>O</v>
      </c>
      <c r="H826" s="15">
        <f t="shared" si="36"/>
        <v>13.398505561345678</v>
      </c>
      <c r="L826" s="35"/>
    </row>
    <row r="827" spans="1:12" x14ac:dyDescent="0.3">
      <c r="A827" s="19">
        <f>COUNTIFS($B$2:B827,B827)</f>
        <v>9</v>
      </c>
      <c r="B827" s="26" t="s">
        <v>207</v>
      </c>
      <c r="C827" s="27">
        <v>20060368076487</v>
      </c>
      <c r="D827" s="26" t="s">
        <v>490</v>
      </c>
      <c r="E827" s="28">
        <v>19.31967233835714</v>
      </c>
      <c r="F827" s="9"/>
      <c r="G827" s="14" t="str">
        <f t="shared" si="35"/>
        <v>O</v>
      </c>
      <c r="H827" s="15">
        <f t="shared" si="36"/>
        <v>9.6598361691785701</v>
      </c>
      <c r="L827" s="35"/>
    </row>
    <row r="828" spans="1:12" x14ac:dyDescent="0.3">
      <c r="A828" s="19">
        <f>COUNTIFS($B$2:B828,B828)</f>
        <v>10</v>
      </c>
      <c r="B828" s="26" t="s">
        <v>207</v>
      </c>
      <c r="C828" s="27">
        <v>20060368076487</v>
      </c>
      <c r="D828" s="26" t="s">
        <v>172</v>
      </c>
      <c r="E828" s="28">
        <v>10.6</v>
      </c>
      <c r="F828" s="9"/>
      <c r="G828" s="14" t="str">
        <f t="shared" si="35"/>
        <v>O</v>
      </c>
      <c r="H828" s="15">
        <f t="shared" si="36"/>
        <v>5.3</v>
      </c>
      <c r="L828" s="35"/>
    </row>
    <row r="829" spans="1:12" x14ac:dyDescent="0.3">
      <c r="A829" s="19">
        <f>COUNTIFS($B$2:B829,B829)</f>
        <v>11</v>
      </c>
      <c r="B829" s="26" t="s">
        <v>207</v>
      </c>
      <c r="C829" s="27">
        <v>20060368076487</v>
      </c>
      <c r="D829" s="26" t="s">
        <v>554</v>
      </c>
      <c r="E829" s="28">
        <v>5.2337912349006563</v>
      </c>
      <c r="F829" s="9"/>
      <c r="G829" s="14" t="str">
        <f t="shared" si="35"/>
        <v>O</v>
      </c>
      <c r="H829" s="15">
        <f t="shared" si="36"/>
        <v>2.6168956174503282</v>
      </c>
      <c r="L829" s="35"/>
    </row>
    <row r="830" spans="1:12" x14ac:dyDescent="0.3">
      <c r="A830" s="19">
        <f>COUNTIFS($B$2:B830,B830)</f>
        <v>12</v>
      </c>
      <c r="B830" s="26" t="s">
        <v>207</v>
      </c>
      <c r="C830" s="27">
        <v>20060368076487</v>
      </c>
      <c r="D830" s="26" t="s">
        <v>488</v>
      </c>
      <c r="E830" s="28">
        <v>27.047541273699995</v>
      </c>
      <c r="F830" s="9"/>
      <c r="G830" s="14" t="str">
        <f t="shared" si="35"/>
        <v>O</v>
      </c>
      <c r="H830" s="15">
        <f t="shared" si="36"/>
        <v>13.523770636849997</v>
      </c>
      <c r="L830" s="35"/>
    </row>
    <row r="831" spans="1:12" x14ac:dyDescent="0.3">
      <c r="A831" s="19">
        <f>COUNTIFS($B$2:B831,B831)</f>
        <v>13</v>
      </c>
      <c r="B831" s="26" t="s">
        <v>207</v>
      </c>
      <c r="C831" s="27">
        <v>20060368076487</v>
      </c>
      <c r="D831" s="26" t="s">
        <v>111</v>
      </c>
      <c r="E831" s="28">
        <v>7.7278689353428573</v>
      </c>
      <c r="F831" s="9"/>
      <c r="G831" s="14" t="str">
        <f t="shared" si="35"/>
        <v>O</v>
      </c>
      <c r="H831" s="15">
        <f t="shared" si="36"/>
        <v>3.8639344676714287</v>
      </c>
      <c r="L831" s="35"/>
    </row>
    <row r="832" spans="1:12" x14ac:dyDescent="0.3">
      <c r="A832" s="19">
        <f>COUNTIFS($B$2:B832,B832)</f>
        <v>14</v>
      </c>
      <c r="B832" s="26" t="s">
        <v>207</v>
      </c>
      <c r="C832" s="27">
        <v>20060368076487</v>
      </c>
      <c r="D832" s="26" t="s">
        <v>12</v>
      </c>
      <c r="E832" s="28">
        <v>10</v>
      </c>
      <c r="F832" s="9"/>
      <c r="G832" s="14" t="str">
        <f t="shared" si="35"/>
        <v>O</v>
      </c>
      <c r="H832" s="15">
        <f t="shared" si="36"/>
        <v>5</v>
      </c>
      <c r="L832" s="35"/>
    </row>
    <row r="833" spans="1:12" x14ac:dyDescent="0.3">
      <c r="A833" s="19">
        <f>COUNTIFS($B$2:B833,B833)</f>
        <v>15</v>
      </c>
      <c r="B833" s="26" t="s">
        <v>207</v>
      </c>
      <c r="C833" s="27">
        <v>20060368076487</v>
      </c>
      <c r="D833" s="26" t="s">
        <v>188</v>
      </c>
      <c r="E833" s="28">
        <v>10</v>
      </c>
      <c r="F833" s="9"/>
      <c r="G833" s="14"/>
      <c r="H833" s="15">
        <f t="shared" si="36"/>
        <v>5</v>
      </c>
      <c r="L833" s="35"/>
    </row>
    <row r="834" spans="1:12" x14ac:dyDescent="0.3">
      <c r="A834" s="19">
        <f>COUNTIFS($B$2:B834,B834)</f>
        <v>16</v>
      </c>
      <c r="B834" s="26" t="s">
        <v>207</v>
      </c>
      <c r="C834" s="27">
        <v>20060368076487</v>
      </c>
      <c r="D834" s="26" t="s">
        <v>141</v>
      </c>
      <c r="E834" s="28">
        <v>6.6</v>
      </c>
      <c r="F834" s="9"/>
      <c r="G834" s="14"/>
      <c r="H834" s="15">
        <f t="shared" si="36"/>
        <v>3.3</v>
      </c>
      <c r="L834" s="35"/>
    </row>
    <row r="835" spans="1:12" x14ac:dyDescent="0.3">
      <c r="A835" s="19">
        <f>COUNTIFS($B$2:B835,B835)</f>
        <v>17</v>
      </c>
      <c r="B835" s="26" t="s">
        <v>207</v>
      </c>
      <c r="C835" s="27">
        <v>20060368076487</v>
      </c>
      <c r="D835" s="26" t="s">
        <v>33</v>
      </c>
      <c r="E835" s="28">
        <v>12</v>
      </c>
      <c r="F835" s="9"/>
      <c r="G835" s="14"/>
      <c r="H835" s="15">
        <f t="shared" si="36"/>
        <v>6</v>
      </c>
      <c r="L835" s="35"/>
    </row>
    <row r="836" spans="1:12" x14ac:dyDescent="0.3">
      <c r="A836" s="31">
        <f>COUNTIFS($B$2:B836,B836)</f>
        <v>1</v>
      </c>
      <c r="B836" s="26" t="s">
        <v>209</v>
      </c>
      <c r="C836" s="27">
        <v>20060368076488</v>
      </c>
      <c r="D836" s="26" t="s">
        <v>284</v>
      </c>
      <c r="E836" s="28">
        <v>163.6</v>
      </c>
      <c r="F836" s="9"/>
      <c r="G836" s="14" t="str">
        <f t="shared" ref="G836:G899" si="37">IF(D836="","",IF(COUNTIF(I:I,D836)&gt;0,"O","X"))</f>
        <v>O</v>
      </c>
      <c r="H836" s="15">
        <f t="shared" si="36"/>
        <v>81.8</v>
      </c>
      <c r="L836" s="35"/>
    </row>
    <row r="837" spans="1:12" x14ac:dyDescent="0.3">
      <c r="A837" s="31">
        <f>COUNTIFS($B$2:B837,B837)</f>
        <v>2</v>
      </c>
      <c r="B837" s="26" t="s">
        <v>209</v>
      </c>
      <c r="C837" s="27">
        <v>20060368076488</v>
      </c>
      <c r="D837" s="26" t="s">
        <v>206</v>
      </c>
      <c r="E837" s="28">
        <v>37.4</v>
      </c>
      <c r="F837" s="9"/>
      <c r="G837" s="14" t="str">
        <f t="shared" si="37"/>
        <v>O</v>
      </c>
      <c r="H837" s="15">
        <f t="shared" si="36"/>
        <v>18.7</v>
      </c>
      <c r="L837" s="35"/>
    </row>
    <row r="838" spans="1:12" x14ac:dyDescent="0.3">
      <c r="A838" s="31">
        <f>COUNTIFS($B$2:B838,B838)</f>
        <v>3</v>
      </c>
      <c r="B838" s="26" t="s">
        <v>209</v>
      </c>
      <c r="C838" s="27">
        <v>20060368076488</v>
      </c>
      <c r="D838" s="26" t="s">
        <v>157</v>
      </c>
      <c r="E838" s="28">
        <v>23.4</v>
      </c>
      <c r="F838" s="9"/>
      <c r="G838" s="14" t="str">
        <f t="shared" si="37"/>
        <v>O</v>
      </c>
      <c r="H838" s="15">
        <f t="shared" si="36"/>
        <v>11.7</v>
      </c>
      <c r="L838" s="35"/>
    </row>
    <row r="839" spans="1:12" x14ac:dyDescent="0.3">
      <c r="A839" s="31">
        <f>COUNTIFS($B$2:B839,B839)</f>
        <v>4</v>
      </c>
      <c r="B839" s="26" t="s">
        <v>209</v>
      </c>
      <c r="C839" s="27">
        <v>20060368076488</v>
      </c>
      <c r="D839" s="26" t="s">
        <v>418</v>
      </c>
      <c r="E839" s="28">
        <v>3.8</v>
      </c>
      <c r="F839" s="9"/>
      <c r="G839" s="14" t="str">
        <f t="shared" si="37"/>
        <v>O</v>
      </c>
      <c r="H839" s="15">
        <f t="shared" si="36"/>
        <v>1.9</v>
      </c>
      <c r="L839" s="35"/>
    </row>
    <row r="840" spans="1:12" x14ac:dyDescent="0.3">
      <c r="A840" s="31">
        <f>COUNTIFS($B$2:B840,B840)</f>
        <v>5</v>
      </c>
      <c r="B840" s="26" t="s">
        <v>209</v>
      </c>
      <c r="C840" s="27">
        <v>20060368076488</v>
      </c>
      <c r="D840" s="26" t="s">
        <v>511</v>
      </c>
      <c r="E840" s="28">
        <v>98.6</v>
      </c>
      <c r="F840" s="9"/>
      <c r="G840" s="14" t="str">
        <f t="shared" si="37"/>
        <v>O</v>
      </c>
      <c r="H840" s="15">
        <f t="shared" si="36"/>
        <v>49.3</v>
      </c>
      <c r="L840" s="35"/>
    </row>
    <row r="841" spans="1:12" x14ac:dyDescent="0.3">
      <c r="A841" s="31">
        <f>COUNTIFS($B$2:B841,B841)</f>
        <v>6</v>
      </c>
      <c r="B841" s="26" t="s">
        <v>209</v>
      </c>
      <c r="C841" s="27">
        <v>20060368076488</v>
      </c>
      <c r="D841" s="26" t="s">
        <v>512</v>
      </c>
      <c r="E841" s="28">
        <v>23.4</v>
      </c>
      <c r="F841" s="9"/>
      <c r="G841" s="14" t="str">
        <f t="shared" si="37"/>
        <v>O</v>
      </c>
      <c r="H841" s="15">
        <f t="shared" si="36"/>
        <v>11.7</v>
      </c>
      <c r="L841" s="35"/>
    </row>
    <row r="842" spans="1:12" x14ac:dyDescent="0.3">
      <c r="A842" s="31">
        <f>COUNTIFS($B$2:B842,B842)</f>
        <v>7</v>
      </c>
      <c r="B842" s="26" t="s">
        <v>209</v>
      </c>
      <c r="C842" s="27">
        <v>20060368076488</v>
      </c>
      <c r="D842" s="26" t="s">
        <v>164</v>
      </c>
      <c r="E842" s="28">
        <v>7</v>
      </c>
      <c r="F842" s="9"/>
      <c r="G842" s="14" t="str">
        <f t="shared" si="37"/>
        <v>O</v>
      </c>
      <c r="H842" s="15">
        <f t="shared" si="36"/>
        <v>3.5</v>
      </c>
      <c r="L842" s="35"/>
    </row>
    <row r="843" spans="1:12" x14ac:dyDescent="0.3">
      <c r="A843" s="31">
        <f>COUNTIFS($B$2:B843,B843)</f>
        <v>8</v>
      </c>
      <c r="B843" s="26" t="s">
        <v>209</v>
      </c>
      <c r="C843" s="27">
        <v>20060368076488</v>
      </c>
      <c r="D843" s="26" t="s">
        <v>111</v>
      </c>
      <c r="E843" s="28">
        <v>49.1</v>
      </c>
      <c r="F843" s="9"/>
      <c r="G843" s="14" t="str">
        <f t="shared" si="37"/>
        <v>O</v>
      </c>
      <c r="H843" s="15">
        <f t="shared" si="36"/>
        <v>24.55</v>
      </c>
      <c r="L843" s="35"/>
    </row>
    <row r="844" spans="1:12" x14ac:dyDescent="0.3">
      <c r="A844" s="31">
        <f>COUNTIFS($B$2:B844,B844)</f>
        <v>9</v>
      </c>
      <c r="B844" s="26" t="s">
        <v>209</v>
      </c>
      <c r="C844" s="27">
        <v>20060368076488</v>
      </c>
      <c r="D844" s="26" t="s">
        <v>114</v>
      </c>
      <c r="E844" s="28">
        <v>67.8</v>
      </c>
      <c r="F844" s="9"/>
      <c r="G844" s="14" t="str">
        <f t="shared" si="37"/>
        <v>O</v>
      </c>
      <c r="H844" s="15">
        <f t="shared" si="36"/>
        <v>33.9</v>
      </c>
      <c r="L844" s="35"/>
    </row>
    <row r="845" spans="1:12" x14ac:dyDescent="0.3">
      <c r="A845" s="31">
        <f>COUNTIFS($B$2:B845,B845)</f>
        <v>10</v>
      </c>
      <c r="B845" s="26" t="s">
        <v>209</v>
      </c>
      <c r="C845" s="27">
        <v>20060368076488</v>
      </c>
      <c r="D845" s="26" t="s">
        <v>218</v>
      </c>
      <c r="E845" s="28">
        <v>1.2</v>
      </c>
      <c r="F845" s="9"/>
      <c r="G845" s="14" t="str">
        <f t="shared" si="37"/>
        <v>O</v>
      </c>
      <c r="H845" s="15">
        <f t="shared" si="36"/>
        <v>0.6</v>
      </c>
      <c r="L845" s="35"/>
    </row>
    <row r="846" spans="1:12" x14ac:dyDescent="0.3">
      <c r="A846" s="31">
        <f>COUNTIFS($B$2:B846,B846)</f>
        <v>11</v>
      </c>
      <c r="B846" s="26" t="s">
        <v>209</v>
      </c>
      <c r="C846" s="27">
        <v>20060368076488</v>
      </c>
      <c r="D846" s="26" t="s">
        <v>421</v>
      </c>
      <c r="E846" s="28">
        <v>46.7</v>
      </c>
      <c r="F846" s="9"/>
      <c r="G846" s="14" t="str">
        <f t="shared" si="37"/>
        <v>O</v>
      </c>
      <c r="H846" s="15">
        <f t="shared" si="36"/>
        <v>23.35</v>
      </c>
      <c r="L846" s="35"/>
    </row>
    <row r="847" spans="1:12" x14ac:dyDescent="0.3">
      <c r="A847" s="31">
        <f>COUNTIFS($B$2:B847,B847)</f>
        <v>12</v>
      </c>
      <c r="B847" s="26" t="s">
        <v>209</v>
      </c>
      <c r="C847" s="27">
        <v>20060368076488</v>
      </c>
      <c r="D847" s="26" t="s">
        <v>488</v>
      </c>
      <c r="E847" s="28">
        <v>28</v>
      </c>
      <c r="F847" s="9"/>
      <c r="G847" s="14" t="str">
        <f t="shared" si="37"/>
        <v>O</v>
      </c>
      <c r="H847" s="15">
        <f t="shared" si="36"/>
        <v>14</v>
      </c>
      <c r="L847" s="35"/>
    </row>
    <row r="848" spans="1:12" x14ac:dyDescent="0.3">
      <c r="A848" s="31">
        <f>COUNTIFS($B$2:B848,B848)</f>
        <v>1</v>
      </c>
      <c r="B848" s="26" t="s">
        <v>212</v>
      </c>
      <c r="C848" s="27">
        <v>20060368076489</v>
      </c>
      <c r="D848" s="26" t="s">
        <v>284</v>
      </c>
      <c r="E848" s="28">
        <v>153.4</v>
      </c>
      <c r="F848" s="9"/>
      <c r="G848" s="14" t="str">
        <f t="shared" si="37"/>
        <v>O</v>
      </c>
      <c r="H848" s="15">
        <f t="shared" si="36"/>
        <v>76.7</v>
      </c>
      <c r="L848" s="35"/>
    </row>
    <row r="849" spans="1:12" x14ac:dyDescent="0.3">
      <c r="A849" s="31">
        <f>COUNTIFS($B$2:B849,B849)</f>
        <v>2</v>
      </c>
      <c r="B849" s="26" t="s">
        <v>212</v>
      </c>
      <c r="C849" s="27">
        <v>20060368076489</v>
      </c>
      <c r="D849" s="26" t="s">
        <v>206</v>
      </c>
      <c r="E849" s="28">
        <v>21</v>
      </c>
      <c r="F849" s="9"/>
      <c r="G849" s="14" t="str">
        <f t="shared" si="37"/>
        <v>O</v>
      </c>
      <c r="H849" s="15">
        <f t="shared" si="36"/>
        <v>10.5</v>
      </c>
      <c r="L849" s="35"/>
    </row>
    <row r="850" spans="1:12" x14ac:dyDescent="0.3">
      <c r="A850" s="31">
        <f>COUNTIFS($B$2:B850,B850)</f>
        <v>3</v>
      </c>
      <c r="B850" s="26" t="s">
        <v>212</v>
      </c>
      <c r="C850" s="27">
        <v>20060368076489</v>
      </c>
      <c r="D850" s="26" t="s">
        <v>418</v>
      </c>
      <c r="E850" s="28">
        <v>3.8</v>
      </c>
      <c r="F850" s="9"/>
      <c r="G850" s="14" t="str">
        <f t="shared" si="37"/>
        <v>O</v>
      </c>
      <c r="H850" s="15">
        <f t="shared" si="36"/>
        <v>1.9</v>
      </c>
      <c r="L850" s="35"/>
    </row>
    <row r="851" spans="1:12" x14ac:dyDescent="0.3">
      <c r="A851" s="31">
        <f>COUNTIFS($B$2:B851,B851)</f>
        <v>4</v>
      </c>
      <c r="B851" s="26" t="s">
        <v>212</v>
      </c>
      <c r="C851" s="27">
        <v>20060368076489</v>
      </c>
      <c r="D851" s="26" t="s">
        <v>512</v>
      </c>
      <c r="E851" s="28">
        <v>21.7</v>
      </c>
      <c r="F851" s="9"/>
      <c r="G851" s="14" t="str">
        <f t="shared" si="37"/>
        <v>O</v>
      </c>
      <c r="H851" s="15">
        <f t="shared" si="36"/>
        <v>10.85</v>
      </c>
      <c r="L851" s="35"/>
    </row>
    <row r="852" spans="1:12" x14ac:dyDescent="0.3">
      <c r="A852" s="31">
        <f>COUNTIFS($B$2:B852,B852)</f>
        <v>5</v>
      </c>
      <c r="B852" s="26" t="s">
        <v>212</v>
      </c>
      <c r="C852" s="27">
        <v>20060368076489</v>
      </c>
      <c r="D852" s="26" t="s">
        <v>511</v>
      </c>
      <c r="E852" s="28">
        <v>28</v>
      </c>
      <c r="F852" s="9"/>
      <c r="G852" s="14" t="str">
        <f t="shared" si="37"/>
        <v>O</v>
      </c>
      <c r="H852" s="15">
        <f t="shared" si="36"/>
        <v>14</v>
      </c>
      <c r="L852" s="35"/>
    </row>
    <row r="853" spans="1:12" x14ac:dyDescent="0.3">
      <c r="A853" s="31">
        <f>COUNTIFS($B$2:B853,B853)</f>
        <v>6</v>
      </c>
      <c r="B853" s="26" t="s">
        <v>212</v>
      </c>
      <c r="C853" s="27">
        <v>20060368076489</v>
      </c>
      <c r="D853" s="26" t="s">
        <v>489</v>
      </c>
      <c r="E853" s="28">
        <v>8.4</v>
      </c>
      <c r="F853" s="9"/>
      <c r="G853" s="14" t="str">
        <f t="shared" si="37"/>
        <v>O</v>
      </c>
      <c r="H853" s="15">
        <f t="shared" si="36"/>
        <v>4.2</v>
      </c>
      <c r="L853" s="35"/>
    </row>
    <row r="854" spans="1:12" x14ac:dyDescent="0.3">
      <c r="A854" s="31">
        <f>COUNTIFS($B$2:B854,B854)</f>
        <v>7</v>
      </c>
      <c r="B854" s="26" t="s">
        <v>212</v>
      </c>
      <c r="C854" s="27">
        <v>20060368076489</v>
      </c>
      <c r="D854" s="26" t="s">
        <v>559</v>
      </c>
      <c r="E854" s="28">
        <v>77.099999999999994</v>
      </c>
      <c r="F854" s="9"/>
      <c r="G854" s="14" t="str">
        <f t="shared" si="37"/>
        <v>O</v>
      </c>
      <c r="H854" s="15">
        <f t="shared" si="36"/>
        <v>38.549999999999997</v>
      </c>
      <c r="L854" s="35"/>
    </row>
    <row r="855" spans="1:12" x14ac:dyDescent="0.3">
      <c r="A855" s="31">
        <f>COUNTIFS($B$2:B855,B855)</f>
        <v>8</v>
      </c>
      <c r="B855" s="26" t="s">
        <v>212</v>
      </c>
      <c r="C855" s="27">
        <v>20060368076489</v>
      </c>
      <c r="D855" s="26" t="s">
        <v>560</v>
      </c>
      <c r="E855" s="28">
        <v>42</v>
      </c>
      <c r="F855" s="9"/>
      <c r="G855" s="14" t="str">
        <f t="shared" si="37"/>
        <v>O</v>
      </c>
      <c r="H855" s="15">
        <f t="shared" si="36"/>
        <v>21</v>
      </c>
      <c r="L855" s="35"/>
    </row>
    <row r="856" spans="1:12" x14ac:dyDescent="0.3">
      <c r="A856" s="31">
        <f>COUNTIFS($B$2:B856,B856)</f>
        <v>9</v>
      </c>
      <c r="B856" s="26" t="s">
        <v>212</v>
      </c>
      <c r="C856" s="27">
        <v>20060368076489</v>
      </c>
      <c r="D856" s="26" t="s">
        <v>421</v>
      </c>
      <c r="E856" s="28">
        <v>21</v>
      </c>
      <c r="F856" s="9"/>
      <c r="G856" s="14" t="str">
        <f t="shared" si="37"/>
        <v>O</v>
      </c>
      <c r="H856" s="15">
        <f t="shared" si="36"/>
        <v>10.5</v>
      </c>
      <c r="L856" s="35"/>
    </row>
    <row r="857" spans="1:12" x14ac:dyDescent="0.3">
      <c r="A857" s="31">
        <f>COUNTIFS($B$2:B857,B857)</f>
        <v>10</v>
      </c>
      <c r="B857" s="26" t="s">
        <v>212</v>
      </c>
      <c r="C857" s="27">
        <v>20060368076489</v>
      </c>
      <c r="D857" s="26" t="s">
        <v>488</v>
      </c>
      <c r="E857" s="28">
        <v>21</v>
      </c>
      <c r="F857" s="9"/>
      <c r="G857" s="14" t="str">
        <f t="shared" si="37"/>
        <v>O</v>
      </c>
      <c r="H857" s="15">
        <f t="shared" si="36"/>
        <v>10.5</v>
      </c>
      <c r="L857" s="35"/>
    </row>
    <row r="858" spans="1:12" x14ac:dyDescent="0.3">
      <c r="A858" s="31">
        <f>COUNTIFS($B$2:B858,B858)</f>
        <v>11</v>
      </c>
      <c r="B858" s="26" t="s">
        <v>212</v>
      </c>
      <c r="C858" s="27">
        <v>20060368076489</v>
      </c>
      <c r="D858" s="26" t="s">
        <v>490</v>
      </c>
      <c r="E858" s="28">
        <v>21</v>
      </c>
      <c r="F858" s="9"/>
      <c r="G858" s="14" t="str">
        <f t="shared" si="37"/>
        <v>O</v>
      </c>
      <c r="H858" s="15">
        <f t="shared" si="36"/>
        <v>10.5</v>
      </c>
      <c r="L858" s="35"/>
    </row>
    <row r="859" spans="1:12" x14ac:dyDescent="0.3">
      <c r="A859" s="31">
        <f>COUNTIFS($B$2:B859,B859)</f>
        <v>12</v>
      </c>
      <c r="B859" s="26" t="s">
        <v>212</v>
      </c>
      <c r="C859" s="27">
        <v>20060368076489</v>
      </c>
      <c r="D859" s="26" t="s">
        <v>518</v>
      </c>
      <c r="E859" s="28">
        <v>31.5</v>
      </c>
      <c r="F859" s="9"/>
      <c r="G859" s="14" t="str">
        <f t="shared" si="37"/>
        <v>O</v>
      </c>
      <c r="H859" s="15">
        <f t="shared" si="36"/>
        <v>15.75</v>
      </c>
      <c r="L859" s="35"/>
    </row>
    <row r="860" spans="1:12" x14ac:dyDescent="0.3">
      <c r="A860" s="31">
        <f>COUNTIFS($B$2:B860,B860)</f>
        <v>1</v>
      </c>
      <c r="B860" s="26" t="s">
        <v>217</v>
      </c>
      <c r="C860" s="27">
        <v>20060368076490</v>
      </c>
      <c r="D860" s="26" t="s">
        <v>463</v>
      </c>
      <c r="E860" s="28">
        <v>218.2</v>
      </c>
      <c r="F860" s="9"/>
      <c r="G860" s="14" t="str">
        <f t="shared" si="37"/>
        <v>O</v>
      </c>
      <c r="H860" s="15">
        <f t="shared" si="36"/>
        <v>109.1</v>
      </c>
      <c r="L860" s="35"/>
    </row>
    <row r="861" spans="1:12" x14ac:dyDescent="0.3">
      <c r="A861" s="31">
        <f>COUNTIFS($B$2:B861,B861)</f>
        <v>2</v>
      </c>
      <c r="B861" s="26" t="s">
        <v>217</v>
      </c>
      <c r="C861" s="27">
        <v>20060368076490</v>
      </c>
      <c r="D861" s="26" t="s">
        <v>418</v>
      </c>
      <c r="E861" s="28">
        <v>3.5118468396200142</v>
      </c>
      <c r="F861" s="9"/>
      <c r="G861" s="14" t="str">
        <f t="shared" si="37"/>
        <v>O</v>
      </c>
      <c r="H861" s="15">
        <f t="shared" si="36"/>
        <v>1.7559234198100071</v>
      </c>
      <c r="L861" s="35"/>
    </row>
    <row r="862" spans="1:12" x14ac:dyDescent="0.3">
      <c r="A862" s="31">
        <f>COUNTIFS($B$2:B862,B862)</f>
        <v>3</v>
      </c>
      <c r="B862" s="26" t="s">
        <v>217</v>
      </c>
      <c r="C862" s="27">
        <v>20060368076490</v>
      </c>
      <c r="D862" s="26" t="s">
        <v>489</v>
      </c>
      <c r="E862" s="28">
        <v>5.4</v>
      </c>
      <c r="F862" s="9"/>
      <c r="G862" s="14" t="str">
        <f t="shared" si="37"/>
        <v>O</v>
      </c>
      <c r="H862" s="15">
        <f t="shared" si="36"/>
        <v>2.7</v>
      </c>
      <c r="L862" s="35"/>
    </row>
    <row r="863" spans="1:12" x14ac:dyDescent="0.3">
      <c r="A863" s="31">
        <f>COUNTIFS($B$2:B863,B863)</f>
        <v>4</v>
      </c>
      <c r="B863" s="26" t="s">
        <v>217</v>
      </c>
      <c r="C863" s="27">
        <v>20060368076490</v>
      </c>
      <c r="D863" s="26" t="s">
        <v>114</v>
      </c>
      <c r="E863" s="28">
        <v>144.5</v>
      </c>
      <c r="F863" s="9"/>
      <c r="G863" s="14" t="str">
        <f t="shared" si="37"/>
        <v>O</v>
      </c>
      <c r="H863" s="15">
        <f t="shared" si="36"/>
        <v>72.25</v>
      </c>
      <c r="L863" s="35"/>
    </row>
    <row r="864" spans="1:12" x14ac:dyDescent="0.3">
      <c r="A864" s="31">
        <f>COUNTIFS($B$2:B864,B864)</f>
        <v>5</v>
      </c>
      <c r="B864" s="26" t="s">
        <v>217</v>
      </c>
      <c r="C864" s="27">
        <v>20060368076490</v>
      </c>
      <c r="D864" s="26" t="s">
        <v>518</v>
      </c>
      <c r="E864" s="28">
        <v>19.600000000000001</v>
      </c>
      <c r="F864" s="9"/>
      <c r="G864" s="14" t="str">
        <f t="shared" si="37"/>
        <v>O</v>
      </c>
      <c r="H864" s="15">
        <f t="shared" si="36"/>
        <v>9.8000000000000007</v>
      </c>
      <c r="L864" s="35"/>
    </row>
    <row r="865" spans="1:12" x14ac:dyDescent="0.3">
      <c r="A865" s="31">
        <f>COUNTIFS($B$2:B865,B865)</f>
        <v>6</v>
      </c>
      <c r="B865" s="26" t="s">
        <v>217</v>
      </c>
      <c r="C865" s="27">
        <v>20060368076490</v>
      </c>
      <c r="D865" s="26" t="s">
        <v>488</v>
      </c>
      <c r="E865" s="28">
        <v>15.7</v>
      </c>
      <c r="F865" s="9"/>
      <c r="G865" s="14" t="str">
        <f t="shared" si="37"/>
        <v>O</v>
      </c>
      <c r="H865" s="15">
        <f t="shared" si="36"/>
        <v>7.85</v>
      </c>
      <c r="L865" s="35"/>
    </row>
    <row r="866" spans="1:12" x14ac:dyDescent="0.3">
      <c r="A866" s="31">
        <f>COUNTIFS($B$2:B866,B866)</f>
        <v>7</v>
      </c>
      <c r="B866" s="26" t="s">
        <v>217</v>
      </c>
      <c r="C866" s="27">
        <v>20060368076490</v>
      </c>
      <c r="D866" s="26" t="s">
        <v>32</v>
      </c>
      <c r="E866" s="28">
        <v>3.6</v>
      </c>
      <c r="F866" s="9"/>
      <c r="G866" s="14" t="str">
        <f t="shared" si="37"/>
        <v>O</v>
      </c>
      <c r="H866" s="15">
        <f t="shared" si="36"/>
        <v>1.8</v>
      </c>
      <c r="L866" s="35"/>
    </row>
    <row r="867" spans="1:12" x14ac:dyDescent="0.3">
      <c r="A867" s="31">
        <f>COUNTIFS($B$2:B867,B867)</f>
        <v>8</v>
      </c>
      <c r="B867" s="26" t="s">
        <v>217</v>
      </c>
      <c r="C867" s="27">
        <v>20060368076490</v>
      </c>
      <c r="D867" s="26" t="s">
        <v>295</v>
      </c>
      <c r="E867" s="28">
        <v>0</v>
      </c>
      <c r="F867" s="9"/>
      <c r="G867" s="14" t="str">
        <f t="shared" si="37"/>
        <v>O</v>
      </c>
      <c r="H867" s="15">
        <f t="shared" si="36"/>
        <v>0</v>
      </c>
      <c r="L867" s="35"/>
    </row>
    <row r="868" spans="1:12" x14ac:dyDescent="0.3">
      <c r="A868" s="31">
        <f>COUNTIFS($B$2:B868,B868)</f>
        <v>9</v>
      </c>
      <c r="B868" s="26" t="s">
        <v>217</v>
      </c>
      <c r="C868" s="27">
        <v>20060368076490</v>
      </c>
      <c r="D868" s="26" t="s">
        <v>535</v>
      </c>
      <c r="E868" s="28">
        <v>29.4</v>
      </c>
      <c r="F868" s="9"/>
      <c r="G868" s="14" t="str">
        <f t="shared" si="37"/>
        <v>O</v>
      </c>
      <c r="H868" s="15">
        <f t="shared" si="36"/>
        <v>14.7</v>
      </c>
      <c r="L868" s="35"/>
    </row>
    <row r="869" spans="1:12" x14ac:dyDescent="0.3">
      <c r="A869" s="31">
        <f>COUNTIFS($B$2:B869,B869)</f>
        <v>1</v>
      </c>
      <c r="B869" s="26" t="s">
        <v>219</v>
      </c>
      <c r="C869" s="27">
        <v>20060368076491</v>
      </c>
      <c r="D869" s="26" t="s">
        <v>284</v>
      </c>
      <c r="E869" s="28">
        <v>62.003487696182916</v>
      </c>
      <c r="F869" s="9"/>
      <c r="G869" s="14" t="str">
        <f t="shared" si="37"/>
        <v>O</v>
      </c>
      <c r="H869" s="15">
        <f t="shared" si="36"/>
        <v>31.001743848091458</v>
      </c>
      <c r="L869" s="35"/>
    </row>
    <row r="870" spans="1:12" x14ac:dyDescent="0.3">
      <c r="A870" s="31">
        <f>COUNTIFS($B$2:B870,B870)</f>
        <v>2</v>
      </c>
      <c r="B870" s="26" t="s">
        <v>219</v>
      </c>
      <c r="C870" s="27">
        <v>20060368076491</v>
      </c>
      <c r="D870" s="26" t="s">
        <v>418</v>
      </c>
      <c r="E870" s="28">
        <v>1.1160627785312927</v>
      </c>
      <c r="F870" s="9"/>
      <c r="G870" s="14" t="str">
        <f t="shared" si="37"/>
        <v>O</v>
      </c>
      <c r="H870" s="15">
        <f t="shared" si="36"/>
        <v>0.55803138926564633</v>
      </c>
      <c r="L870" s="35"/>
    </row>
    <row r="871" spans="1:12" x14ac:dyDescent="0.3">
      <c r="A871" s="31">
        <f>COUNTIFS($B$2:B871,B871)</f>
        <v>3</v>
      </c>
      <c r="B871" s="26" t="s">
        <v>219</v>
      </c>
      <c r="C871" s="27">
        <v>20060368076491</v>
      </c>
      <c r="D871" s="26" t="s">
        <v>487</v>
      </c>
      <c r="E871" s="28">
        <v>7.7504359620228644</v>
      </c>
      <c r="F871" s="9"/>
      <c r="G871" s="14" t="str">
        <f t="shared" si="37"/>
        <v>O</v>
      </c>
      <c r="H871" s="15">
        <f t="shared" si="36"/>
        <v>3.8752179810114322</v>
      </c>
      <c r="L871" s="35"/>
    </row>
    <row r="872" spans="1:12" x14ac:dyDescent="0.3">
      <c r="A872" s="31">
        <f>COUNTIFS($B$2:B872,B872)</f>
        <v>4</v>
      </c>
      <c r="B872" s="26" t="s">
        <v>219</v>
      </c>
      <c r="C872" s="27">
        <v>20060368076491</v>
      </c>
      <c r="D872" s="26" t="s">
        <v>164</v>
      </c>
      <c r="E872" s="28">
        <v>1.2917393270038107</v>
      </c>
      <c r="F872" s="9"/>
      <c r="G872" s="14" t="str">
        <f t="shared" si="37"/>
        <v>O</v>
      </c>
      <c r="H872" s="15">
        <f t="shared" si="36"/>
        <v>0.64586966350190533</v>
      </c>
      <c r="L872" s="35"/>
    </row>
    <row r="873" spans="1:12" x14ac:dyDescent="0.3">
      <c r="A873" s="31">
        <f>COUNTIFS($B$2:B873,B873)</f>
        <v>5</v>
      </c>
      <c r="B873" s="26" t="s">
        <v>219</v>
      </c>
      <c r="C873" s="27">
        <v>20060368076491</v>
      </c>
      <c r="D873" s="26" t="s">
        <v>561</v>
      </c>
      <c r="E873" s="28">
        <v>51.669573080152432</v>
      </c>
      <c r="F873" s="9"/>
      <c r="G873" s="14" t="str">
        <f t="shared" si="37"/>
        <v>O</v>
      </c>
      <c r="H873" s="15">
        <f t="shared" si="36"/>
        <v>25.834786540076216</v>
      </c>
      <c r="L873" s="35"/>
    </row>
    <row r="874" spans="1:12" x14ac:dyDescent="0.3">
      <c r="A874" s="31">
        <f>COUNTIFS($B$2:B874,B874)</f>
        <v>6</v>
      </c>
      <c r="B874" s="26" t="s">
        <v>219</v>
      </c>
      <c r="C874" s="27">
        <v>20060368076491</v>
      </c>
      <c r="D874" s="26" t="s">
        <v>495</v>
      </c>
      <c r="E874" s="28">
        <v>31.001743848091458</v>
      </c>
      <c r="F874" s="9"/>
      <c r="G874" s="14" t="str">
        <f t="shared" si="37"/>
        <v>O</v>
      </c>
      <c r="H874" s="15">
        <f t="shared" si="36"/>
        <v>15.500871924045729</v>
      </c>
      <c r="L874" s="35"/>
    </row>
    <row r="875" spans="1:12" x14ac:dyDescent="0.3">
      <c r="A875" s="31">
        <f>COUNTIFS($B$2:B875,B875)</f>
        <v>7</v>
      </c>
      <c r="B875" s="26" t="s">
        <v>219</v>
      </c>
      <c r="C875" s="27">
        <v>20060368076491</v>
      </c>
      <c r="D875" s="26" t="s">
        <v>488</v>
      </c>
      <c r="E875" s="28">
        <v>29</v>
      </c>
      <c r="F875" s="9"/>
      <c r="G875" s="14" t="str">
        <f t="shared" si="37"/>
        <v>O</v>
      </c>
      <c r="H875" s="15">
        <f t="shared" si="36"/>
        <v>14.5</v>
      </c>
      <c r="L875" s="35"/>
    </row>
    <row r="876" spans="1:12" x14ac:dyDescent="0.3">
      <c r="A876" s="31">
        <f>COUNTIFS($B$2:B876,B876)</f>
        <v>1</v>
      </c>
      <c r="B876" s="26" t="s">
        <v>562</v>
      </c>
      <c r="C876" s="27">
        <v>20060368076493</v>
      </c>
      <c r="D876" s="26" t="s">
        <v>284</v>
      </c>
      <c r="E876" s="28">
        <v>138.9</v>
      </c>
      <c r="F876" s="9"/>
      <c r="G876" s="14" t="str">
        <f t="shared" si="37"/>
        <v>O</v>
      </c>
      <c r="H876" s="15">
        <f t="shared" si="36"/>
        <v>69.45</v>
      </c>
      <c r="L876" s="35"/>
    </row>
    <row r="877" spans="1:12" x14ac:dyDescent="0.3">
      <c r="A877" s="31">
        <f>COUNTIFS($B$2:B877,B877)</f>
        <v>2</v>
      </c>
      <c r="B877" s="26" t="s">
        <v>562</v>
      </c>
      <c r="C877" s="27">
        <v>20060368076493</v>
      </c>
      <c r="D877" s="26" t="s">
        <v>206</v>
      </c>
      <c r="E877" s="28">
        <v>15.4</v>
      </c>
      <c r="F877" s="9"/>
      <c r="G877" s="14" t="str">
        <f t="shared" si="37"/>
        <v>O</v>
      </c>
      <c r="H877" s="15">
        <f t="shared" si="36"/>
        <v>7.7</v>
      </c>
      <c r="L877" s="35"/>
    </row>
    <row r="878" spans="1:12" x14ac:dyDescent="0.3">
      <c r="A878" s="31">
        <f>COUNTIFS($B$2:B878,B878)</f>
        <v>3</v>
      </c>
      <c r="B878" s="26" t="s">
        <v>562</v>
      </c>
      <c r="C878" s="27">
        <v>20060368076493</v>
      </c>
      <c r="D878" s="26" t="s">
        <v>157</v>
      </c>
      <c r="E878" s="28">
        <v>24.7</v>
      </c>
      <c r="F878" s="9"/>
      <c r="G878" s="14" t="str">
        <f t="shared" si="37"/>
        <v>O</v>
      </c>
      <c r="H878" s="15">
        <f t="shared" si="36"/>
        <v>12.35</v>
      </c>
      <c r="L878" s="35"/>
    </row>
    <row r="879" spans="1:12" x14ac:dyDescent="0.3">
      <c r="A879" s="31">
        <f>COUNTIFS($B$2:B879,B879)</f>
        <v>4</v>
      </c>
      <c r="B879" s="26" t="s">
        <v>562</v>
      </c>
      <c r="C879" s="27">
        <v>20060368076493</v>
      </c>
      <c r="D879" s="26" t="s">
        <v>418</v>
      </c>
      <c r="E879" s="28">
        <v>2.5</v>
      </c>
      <c r="F879" s="9"/>
      <c r="G879" s="14" t="str">
        <f t="shared" si="37"/>
        <v>O</v>
      </c>
      <c r="H879" s="15">
        <f t="shared" si="36"/>
        <v>1.25</v>
      </c>
      <c r="L879" s="35"/>
    </row>
    <row r="880" spans="1:12" x14ac:dyDescent="0.3">
      <c r="A880" s="31">
        <f>COUNTIFS($B$2:B880,B880)</f>
        <v>5</v>
      </c>
      <c r="B880" s="26" t="s">
        <v>562</v>
      </c>
      <c r="C880" s="27">
        <v>20060368076493</v>
      </c>
      <c r="D880" s="26" t="s">
        <v>488</v>
      </c>
      <c r="E880" s="28">
        <v>24.7</v>
      </c>
      <c r="F880" s="9"/>
      <c r="G880" s="14" t="str">
        <f t="shared" si="37"/>
        <v>O</v>
      </c>
      <c r="H880" s="15">
        <f t="shared" si="36"/>
        <v>12.35</v>
      </c>
      <c r="L880" s="35"/>
    </row>
    <row r="881" spans="1:12" x14ac:dyDescent="0.3">
      <c r="A881" s="31">
        <f>COUNTIFS($B$2:B881,B881)</f>
        <v>6</v>
      </c>
      <c r="B881" s="26" t="s">
        <v>562</v>
      </c>
      <c r="C881" s="27">
        <v>20060368076493</v>
      </c>
      <c r="D881" s="26" t="s">
        <v>48</v>
      </c>
      <c r="E881" s="28">
        <v>9.3000000000000007</v>
      </c>
      <c r="F881" s="9"/>
      <c r="G881" s="14" t="str">
        <f t="shared" si="37"/>
        <v>O</v>
      </c>
      <c r="H881" s="15">
        <f t="shared" si="36"/>
        <v>4.6500000000000004</v>
      </c>
      <c r="L881" s="35"/>
    </row>
    <row r="882" spans="1:12" x14ac:dyDescent="0.3">
      <c r="A882" s="31">
        <f>COUNTIFS($B$2:B882,B882)</f>
        <v>7</v>
      </c>
      <c r="B882" s="26" t="s">
        <v>562</v>
      </c>
      <c r="C882" s="27">
        <v>20060368076493</v>
      </c>
      <c r="D882" s="26" t="s">
        <v>536</v>
      </c>
      <c r="E882" s="28">
        <v>3.1</v>
      </c>
      <c r="F882" s="9"/>
      <c r="G882" s="14" t="str">
        <f t="shared" si="37"/>
        <v>O</v>
      </c>
      <c r="H882" s="15">
        <f t="shared" si="36"/>
        <v>1.55</v>
      </c>
      <c r="L882" s="35"/>
    </row>
    <row r="883" spans="1:12" x14ac:dyDescent="0.3">
      <c r="A883" s="31">
        <f>COUNTIFS($B$2:B883,B883)</f>
        <v>8</v>
      </c>
      <c r="B883" s="26" t="s">
        <v>562</v>
      </c>
      <c r="C883" s="27">
        <v>20060368076493</v>
      </c>
      <c r="D883" s="26" t="s">
        <v>495</v>
      </c>
      <c r="E883" s="28">
        <v>30.9</v>
      </c>
      <c r="F883" s="9"/>
      <c r="G883" s="14" t="str">
        <f t="shared" si="37"/>
        <v>O</v>
      </c>
      <c r="H883" s="15">
        <f t="shared" si="36"/>
        <v>15.45</v>
      </c>
      <c r="L883" s="35"/>
    </row>
    <row r="884" spans="1:12" x14ac:dyDescent="0.3">
      <c r="A884" s="31">
        <f>COUNTIFS($B$2:B884,B884)</f>
        <v>9</v>
      </c>
      <c r="B884" s="26" t="s">
        <v>562</v>
      </c>
      <c r="C884" s="27">
        <v>20060368076493</v>
      </c>
      <c r="D884" s="26" t="s">
        <v>489</v>
      </c>
      <c r="E884" s="28">
        <v>5.4</v>
      </c>
      <c r="F884" s="9"/>
      <c r="G884" s="14" t="str">
        <f t="shared" si="37"/>
        <v>O</v>
      </c>
      <c r="H884" s="15">
        <f t="shared" si="36"/>
        <v>2.7</v>
      </c>
      <c r="L884" s="35"/>
    </row>
    <row r="885" spans="1:12" x14ac:dyDescent="0.3">
      <c r="A885" s="31">
        <f>COUNTIFS($B$2:B885,B885)</f>
        <v>10</v>
      </c>
      <c r="B885" s="26" t="s">
        <v>562</v>
      </c>
      <c r="C885" s="27">
        <v>20060368076493</v>
      </c>
      <c r="D885" s="26" t="s">
        <v>218</v>
      </c>
      <c r="E885" s="28">
        <v>0.6</v>
      </c>
      <c r="F885" s="9"/>
      <c r="G885" s="14" t="str">
        <f t="shared" si="37"/>
        <v>O</v>
      </c>
      <c r="H885" s="15">
        <f t="shared" ref="H885:H948" si="38">E885/2</f>
        <v>0.3</v>
      </c>
      <c r="L885" s="35"/>
    </row>
    <row r="886" spans="1:12" ht="15" customHeight="1" x14ac:dyDescent="0.3">
      <c r="A886" s="31">
        <f>COUNTIFS($B$2:B886,B886)</f>
        <v>11</v>
      </c>
      <c r="B886" s="26" t="s">
        <v>562</v>
      </c>
      <c r="C886" s="27">
        <v>20060368076493</v>
      </c>
      <c r="D886" s="26" t="s">
        <v>490</v>
      </c>
      <c r="E886" s="28">
        <v>24.7</v>
      </c>
      <c r="F886" s="9"/>
      <c r="G886" s="14" t="str">
        <f t="shared" si="37"/>
        <v>O</v>
      </c>
      <c r="H886" s="15">
        <f t="shared" si="38"/>
        <v>12.35</v>
      </c>
      <c r="L886" s="35"/>
    </row>
    <row r="887" spans="1:12" ht="15" customHeight="1" x14ac:dyDescent="0.3">
      <c r="A887" s="31">
        <f>COUNTIFS($B$2:B887,B887)</f>
        <v>12</v>
      </c>
      <c r="B887" s="26" t="s">
        <v>562</v>
      </c>
      <c r="C887" s="27">
        <v>20060368076493</v>
      </c>
      <c r="D887" s="26" t="s">
        <v>114</v>
      </c>
      <c r="E887" s="28">
        <v>30.9</v>
      </c>
      <c r="F887" s="9"/>
      <c r="G887" s="14" t="str">
        <f t="shared" si="37"/>
        <v>O</v>
      </c>
      <c r="H887" s="15">
        <f t="shared" si="38"/>
        <v>15.45</v>
      </c>
      <c r="L887" s="35"/>
    </row>
    <row r="888" spans="1:12" ht="15" customHeight="1" x14ac:dyDescent="0.3">
      <c r="A888" s="31">
        <f>COUNTIFS($B$2:B888,B888)</f>
        <v>13</v>
      </c>
      <c r="B888" s="26" t="s">
        <v>562</v>
      </c>
      <c r="C888" s="27">
        <v>20060368076493</v>
      </c>
      <c r="D888" s="26" t="s">
        <v>554</v>
      </c>
      <c r="E888" s="28">
        <v>30.9</v>
      </c>
      <c r="F888" s="9"/>
      <c r="G888" s="14" t="str">
        <f t="shared" si="37"/>
        <v>O</v>
      </c>
      <c r="H888" s="15">
        <f t="shared" si="38"/>
        <v>15.45</v>
      </c>
      <c r="L888" s="35"/>
    </row>
    <row r="889" spans="1:12" ht="15" customHeight="1" x14ac:dyDescent="0.3">
      <c r="A889" s="31">
        <f>COUNTIFS($B$2:B889,B889)</f>
        <v>1</v>
      </c>
      <c r="B889" s="26" t="s">
        <v>227</v>
      </c>
      <c r="C889" s="27">
        <v>20060368076495</v>
      </c>
      <c r="D889" s="26" t="s">
        <v>284</v>
      </c>
      <c r="E889" s="28">
        <v>172.97297297297297</v>
      </c>
      <c r="F889" s="9"/>
      <c r="G889" s="14" t="str">
        <f t="shared" si="37"/>
        <v>O</v>
      </c>
      <c r="H889" s="15">
        <f t="shared" si="38"/>
        <v>86.486486486486484</v>
      </c>
      <c r="L889" s="35"/>
    </row>
    <row r="890" spans="1:12" ht="15" customHeight="1" x14ac:dyDescent="0.3">
      <c r="A890" s="31">
        <f>COUNTIFS($B$2:B890,B890)</f>
        <v>2</v>
      </c>
      <c r="B890" s="26" t="s">
        <v>227</v>
      </c>
      <c r="C890" s="27">
        <v>20060368076495</v>
      </c>
      <c r="D890" s="26" t="s">
        <v>118</v>
      </c>
      <c r="E890" s="28">
        <v>43.243243243243242</v>
      </c>
      <c r="F890" s="9"/>
      <c r="G890" s="14" t="str">
        <f t="shared" si="37"/>
        <v>O</v>
      </c>
      <c r="H890" s="15">
        <f t="shared" si="38"/>
        <v>21.621621621621621</v>
      </c>
      <c r="L890" s="35"/>
    </row>
    <row r="891" spans="1:12" ht="15" customHeight="1" x14ac:dyDescent="0.3">
      <c r="A891" s="31">
        <f>COUNTIFS($B$2:B891,B891)</f>
        <v>3</v>
      </c>
      <c r="B891" s="26" t="s">
        <v>227</v>
      </c>
      <c r="C891" s="27">
        <v>20060368076495</v>
      </c>
      <c r="D891" s="26" t="s">
        <v>487</v>
      </c>
      <c r="E891" s="28">
        <v>19.219219219219219</v>
      </c>
      <c r="F891" s="9"/>
      <c r="G891" s="14" t="str">
        <f t="shared" si="37"/>
        <v>O</v>
      </c>
      <c r="H891" s="15">
        <f t="shared" si="38"/>
        <v>9.6096096096096097</v>
      </c>
      <c r="L891" s="35"/>
    </row>
    <row r="892" spans="1:12" ht="15" customHeight="1" x14ac:dyDescent="0.3">
      <c r="A892" s="31">
        <f>COUNTIFS($B$2:B892,B892)</f>
        <v>4</v>
      </c>
      <c r="B892" s="26" t="s">
        <v>227</v>
      </c>
      <c r="C892" s="27">
        <v>20060368076495</v>
      </c>
      <c r="D892" s="26" t="s">
        <v>418</v>
      </c>
      <c r="E892" s="28">
        <v>2.1621621621621623</v>
      </c>
      <c r="F892" s="9"/>
      <c r="G892" s="14" t="str">
        <f t="shared" si="37"/>
        <v>O</v>
      </c>
      <c r="H892" s="15">
        <f t="shared" si="38"/>
        <v>1.0810810810810811</v>
      </c>
      <c r="L892" s="35"/>
    </row>
    <row r="893" spans="1:12" ht="15" customHeight="1" x14ac:dyDescent="0.3">
      <c r="A893" s="31">
        <f>COUNTIFS($B$2:B893,B893)</f>
        <v>5</v>
      </c>
      <c r="B893" s="26" t="s">
        <v>227</v>
      </c>
      <c r="C893" s="27">
        <v>20060368076495</v>
      </c>
      <c r="D893" s="26" t="s">
        <v>488</v>
      </c>
      <c r="E893" s="28">
        <v>18.018018018018019</v>
      </c>
      <c r="F893" s="9"/>
      <c r="G893" s="14" t="str">
        <f t="shared" si="37"/>
        <v>O</v>
      </c>
      <c r="H893" s="15">
        <f t="shared" si="38"/>
        <v>9.0090090090090094</v>
      </c>
      <c r="L893" s="35"/>
    </row>
    <row r="894" spans="1:12" ht="15" customHeight="1" x14ac:dyDescent="0.3">
      <c r="A894" s="31">
        <f>COUNTIFS($B$2:B894,B894)</f>
        <v>6</v>
      </c>
      <c r="B894" s="26" t="s">
        <v>227</v>
      </c>
      <c r="C894" s="27">
        <v>20060368076495</v>
      </c>
      <c r="D894" s="26" t="s">
        <v>489</v>
      </c>
      <c r="E894" s="28">
        <v>4.2042042042042045</v>
      </c>
      <c r="F894" s="9"/>
      <c r="G894" s="14" t="str">
        <f t="shared" si="37"/>
        <v>O</v>
      </c>
      <c r="H894" s="15">
        <f t="shared" si="38"/>
        <v>2.1021021021021022</v>
      </c>
      <c r="L894" s="35"/>
    </row>
    <row r="895" spans="1:12" ht="15" customHeight="1" x14ac:dyDescent="0.3">
      <c r="A895" s="31">
        <f>COUNTIFS($B$2:B895,B895)</f>
        <v>7</v>
      </c>
      <c r="B895" s="26" t="s">
        <v>227</v>
      </c>
      <c r="C895" s="27">
        <v>20060368076495</v>
      </c>
      <c r="D895" s="26" t="s">
        <v>554</v>
      </c>
      <c r="E895" s="28">
        <v>48.048048048048052</v>
      </c>
      <c r="F895" s="9"/>
      <c r="G895" s="14" t="str">
        <f t="shared" si="37"/>
        <v>O</v>
      </c>
      <c r="H895" s="15">
        <f t="shared" si="38"/>
        <v>24.024024024024026</v>
      </c>
      <c r="L895" s="35"/>
    </row>
    <row r="896" spans="1:12" ht="15" customHeight="1" x14ac:dyDescent="0.3">
      <c r="A896" s="31">
        <f>COUNTIFS($B$2:B896,B896)</f>
        <v>8</v>
      </c>
      <c r="B896" s="26" t="s">
        <v>227</v>
      </c>
      <c r="C896" s="27">
        <v>20060368076495</v>
      </c>
      <c r="D896" s="26" t="s">
        <v>490</v>
      </c>
      <c r="E896" s="28">
        <v>26.426426426426428</v>
      </c>
      <c r="F896" s="9"/>
      <c r="G896" s="14" t="str">
        <f t="shared" si="37"/>
        <v>O</v>
      </c>
      <c r="H896" s="15">
        <f t="shared" si="38"/>
        <v>13.213213213213214</v>
      </c>
      <c r="L896" s="35"/>
    </row>
    <row r="897" spans="1:12" ht="15" customHeight="1" x14ac:dyDescent="0.3">
      <c r="A897" s="31">
        <f>COUNTIFS($B$2:B897,B897)</f>
        <v>9</v>
      </c>
      <c r="B897" s="26" t="s">
        <v>227</v>
      </c>
      <c r="C897" s="27">
        <v>20060368076495</v>
      </c>
      <c r="D897" s="26" t="s">
        <v>114</v>
      </c>
      <c r="E897" s="28">
        <v>81.681681681681681</v>
      </c>
      <c r="F897" s="9"/>
      <c r="G897" s="14" t="str">
        <f t="shared" si="37"/>
        <v>O</v>
      </c>
      <c r="H897" s="15">
        <f t="shared" si="38"/>
        <v>40.840840840840841</v>
      </c>
      <c r="L897" s="35"/>
    </row>
    <row r="898" spans="1:12" ht="15" customHeight="1" x14ac:dyDescent="0.3">
      <c r="A898" s="31">
        <f>COUNTIFS($B$2:B898,B898)</f>
        <v>10</v>
      </c>
      <c r="B898" s="26" t="s">
        <v>227</v>
      </c>
      <c r="C898" s="27">
        <v>20060368076495</v>
      </c>
      <c r="D898" s="26" t="s">
        <v>54</v>
      </c>
      <c r="E898" s="28">
        <v>24.024024024024026</v>
      </c>
      <c r="F898" s="9"/>
      <c r="G898" s="14" t="str">
        <f t="shared" si="37"/>
        <v>O</v>
      </c>
      <c r="H898" s="15">
        <f t="shared" si="38"/>
        <v>12.012012012012013</v>
      </c>
      <c r="L898" s="35"/>
    </row>
    <row r="899" spans="1:12" ht="15" customHeight="1" x14ac:dyDescent="0.3">
      <c r="A899" s="31">
        <f>COUNTIFS($B$2:B899,B899)</f>
        <v>1</v>
      </c>
      <c r="B899" s="26" t="s">
        <v>229</v>
      </c>
      <c r="C899" s="27">
        <v>20060368076496</v>
      </c>
      <c r="D899" s="26" t="s">
        <v>284</v>
      </c>
      <c r="E899" s="28">
        <v>184.73612718217035</v>
      </c>
      <c r="F899" s="9"/>
      <c r="G899" s="14" t="str">
        <f t="shared" si="37"/>
        <v>O</v>
      </c>
      <c r="H899" s="15">
        <f t="shared" si="38"/>
        <v>92.368063591085175</v>
      </c>
      <c r="L899" s="35"/>
    </row>
    <row r="900" spans="1:12" ht="15" customHeight="1" x14ac:dyDescent="0.3">
      <c r="A900" s="31">
        <f>COUNTIFS($B$2:B900,B900)</f>
        <v>2</v>
      </c>
      <c r="B900" s="26" t="s">
        <v>229</v>
      </c>
      <c r="C900" s="27">
        <v>20060368076496</v>
      </c>
      <c r="D900" s="26" t="s">
        <v>563</v>
      </c>
      <c r="E900" s="28">
        <v>46.184031795542587</v>
      </c>
      <c r="F900" s="9"/>
      <c r="G900" s="14" t="str">
        <f t="shared" ref="G900:G963" si="39">IF(D900="","",IF(COUNTIF(I:I,D900)&gt;0,"O","X"))</f>
        <v>O</v>
      </c>
      <c r="H900" s="15">
        <f t="shared" si="38"/>
        <v>23.092015897771294</v>
      </c>
      <c r="L900" s="35"/>
    </row>
    <row r="901" spans="1:12" ht="15" customHeight="1" x14ac:dyDescent="0.3">
      <c r="A901" s="31">
        <f>COUNTIFS($B$2:B901,B901)</f>
        <v>3</v>
      </c>
      <c r="B901" s="26" t="s">
        <v>229</v>
      </c>
      <c r="C901" s="27">
        <v>20060368076496</v>
      </c>
      <c r="D901" s="26" t="s">
        <v>157</v>
      </c>
      <c r="E901" s="28">
        <v>20.526236353574483</v>
      </c>
      <c r="F901" s="9"/>
      <c r="G901" s="14" t="str">
        <f t="shared" si="39"/>
        <v>O</v>
      </c>
      <c r="H901" s="15">
        <f t="shared" si="38"/>
        <v>10.263118176787241</v>
      </c>
      <c r="L901" s="35"/>
    </row>
    <row r="902" spans="1:12" ht="15" customHeight="1" x14ac:dyDescent="0.3">
      <c r="A902" s="31">
        <f>COUNTIFS($B$2:B902,B902)</f>
        <v>4</v>
      </c>
      <c r="B902" s="26" t="s">
        <v>229</v>
      </c>
      <c r="C902" s="27">
        <v>20060368076496</v>
      </c>
      <c r="D902" s="26" t="s">
        <v>418</v>
      </c>
      <c r="E902" s="28">
        <v>4.1565628615988333</v>
      </c>
      <c r="F902" s="9"/>
      <c r="G902" s="14" t="str">
        <f t="shared" si="39"/>
        <v>O</v>
      </c>
      <c r="H902" s="15">
        <f t="shared" si="38"/>
        <v>2.0782814307994166</v>
      </c>
      <c r="L902" s="35"/>
    </row>
    <row r="903" spans="1:12" ht="15" customHeight="1" x14ac:dyDescent="0.3">
      <c r="A903" s="31">
        <f>COUNTIFS($B$2:B903,B903)</f>
        <v>5</v>
      </c>
      <c r="B903" s="26" t="s">
        <v>229</v>
      </c>
      <c r="C903" s="27">
        <v>20060368076496</v>
      </c>
      <c r="D903" s="26" t="s">
        <v>488</v>
      </c>
      <c r="E903" s="28">
        <v>19.243346581476079</v>
      </c>
      <c r="F903" s="9"/>
      <c r="G903" s="14" t="str">
        <f t="shared" si="39"/>
        <v>O</v>
      </c>
      <c r="H903" s="15">
        <f t="shared" si="38"/>
        <v>9.6216732907380393</v>
      </c>
      <c r="L903" s="35"/>
    </row>
    <row r="904" spans="1:12" ht="15" customHeight="1" x14ac:dyDescent="0.3">
      <c r="A904" s="31">
        <f>COUNTIFS($B$2:B904,B904)</f>
        <v>6</v>
      </c>
      <c r="B904" s="26" t="s">
        <v>229</v>
      </c>
      <c r="C904" s="27">
        <v>20060368076496</v>
      </c>
      <c r="D904" s="26" t="s">
        <v>505</v>
      </c>
      <c r="E904" s="28">
        <v>12.828897720984051</v>
      </c>
      <c r="F904" s="9"/>
      <c r="G904" s="14" t="str">
        <f t="shared" si="39"/>
        <v>O</v>
      </c>
      <c r="H904" s="15">
        <f t="shared" si="38"/>
        <v>6.4144488604920253</v>
      </c>
      <c r="L904" s="35"/>
    </row>
    <row r="905" spans="1:12" ht="15" customHeight="1" x14ac:dyDescent="0.3">
      <c r="A905" s="31">
        <f>COUNTIFS($B$2:B905,B905)</f>
        <v>7</v>
      </c>
      <c r="B905" s="26" t="s">
        <v>229</v>
      </c>
      <c r="C905" s="27">
        <v>20060368076496</v>
      </c>
      <c r="D905" s="26" t="s">
        <v>564</v>
      </c>
      <c r="E905" s="28">
        <v>12.828897720984051</v>
      </c>
      <c r="F905" s="9"/>
      <c r="G905" s="14" t="str">
        <f t="shared" si="39"/>
        <v>O</v>
      </c>
      <c r="H905" s="15">
        <f t="shared" si="38"/>
        <v>6.4144488604920253</v>
      </c>
      <c r="L905" s="35"/>
    </row>
    <row r="906" spans="1:12" ht="15" customHeight="1" x14ac:dyDescent="0.3">
      <c r="A906" s="31">
        <f>COUNTIFS($B$2:B906,B906)</f>
        <v>8</v>
      </c>
      <c r="B906" s="26" t="s">
        <v>229</v>
      </c>
      <c r="C906" s="27">
        <v>20060368076496</v>
      </c>
      <c r="D906" s="26" t="s">
        <v>565</v>
      </c>
      <c r="E906" s="28">
        <v>12.828897720984051</v>
      </c>
      <c r="F906" s="9"/>
      <c r="G906" s="14" t="str">
        <f t="shared" si="39"/>
        <v>O</v>
      </c>
      <c r="H906" s="15">
        <f t="shared" si="38"/>
        <v>6.4144488604920253</v>
      </c>
      <c r="L906" s="35"/>
    </row>
    <row r="907" spans="1:12" ht="15" customHeight="1" x14ac:dyDescent="0.3">
      <c r="A907" s="31">
        <f>COUNTIFS($B$2:B907,B907)</f>
        <v>9</v>
      </c>
      <c r="B907" s="26" t="s">
        <v>229</v>
      </c>
      <c r="C907" s="27">
        <v>20060368076496</v>
      </c>
      <c r="D907" s="26" t="s">
        <v>489</v>
      </c>
      <c r="E907" s="28">
        <v>6.1578709060723451</v>
      </c>
      <c r="F907" s="9"/>
      <c r="G907" s="14" t="str">
        <f t="shared" si="39"/>
        <v>O</v>
      </c>
      <c r="H907" s="15">
        <f t="shared" si="38"/>
        <v>3.0789354530361726</v>
      </c>
      <c r="L907" s="35"/>
    </row>
    <row r="908" spans="1:12" ht="15" customHeight="1" x14ac:dyDescent="0.3">
      <c r="A908" s="31">
        <f>COUNTIFS($B$2:B908,B908)</f>
        <v>10</v>
      </c>
      <c r="B908" s="26" t="s">
        <v>229</v>
      </c>
      <c r="C908" s="27">
        <v>20060368076496</v>
      </c>
      <c r="D908" s="26" t="s">
        <v>421</v>
      </c>
      <c r="E908" s="28">
        <v>51.315590883936203</v>
      </c>
      <c r="F908" s="9"/>
      <c r="G908" s="14" t="str">
        <f t="shared" si="39"/>
        <v>O</v>
      </c>
      <c r="H908" s="15">
        <f t="shared" si="38"/>
        <v>25.657795441968101</v>
      </c>
      <c r="L908" s="35"/>
    </row>
    <row r="909" spans="1:12" ht="15" customHeight="1" x14ac:dyDescent="0.3">
      <c r="A909" s="31">
        <f>COUNTIFS($B$2:B909,B909)</f>
        <v>11</v>
      </c>
      <c r="B909" s="26" t="s">
        <v>229</v>
      </c>
      <c r="C909" s="27">
        <v>20060368076496</v>
      </c>
      <c r="D909" s="26" t="s">
        <v>490</v>
      </c>
      <c r="E909" s="28">
        <v>28.223574986164913</v>
      </c>
      <c r="F909" s="9"/>
      <c r="G909" s="14" t="str">
        <f t="shared" si="39"/>
        <v>O</v>
      </c>
      <c r="H909" s="15">
        <f t="shared" si="38"/>
        <v>14.111787493082456</v>
      </c>
      <c r="L909" s="35"/>
    </row>
    <row r="910" spans="1:12" ht="15" customHeight="1" x14ac:dyDescent="0.3">
      <c r="A910" s="31">
        <f>COUNTIFS($B$2:B910,B910)</f>
        <v>12</v>
      </c>
      <c r="B910" s="26" t="s">
        <v>229</v>
      </c>
      <c r="C910" s="27">
        <v>20060368076496</v>
      </c>
      <c r="D910" s="26" t="s">
        <v>114</v>
      </c>
      <c r="E910" s="28">
        <v>85.312169844543945</v>
      </c>
      <c r="F910" s="9"/>
      <c r="G910" s="14" t="str">
        <f t="shared" si="39"/>
        <v>O</v>
      </c>
      <c r="H910" s="15">
        <f t="shared" si="38"/>
        <v>42.656084922271972</v>
      </c>
      <c r="L910" s="35"/>
    </row>
    <row r="911" spans="1:12" ht="15" customHeight="1" x14ac:dyDescent="0.3">
      <c r="A911" s="31">
        <f>COUNTIFS($B$2:B911,B911)</f>
        <v>13</v>
      </c>
      <c r="B911" s="26" t="s">
        <v>229</v>
      </c>
      <c r="C911" s="27">
        <v>20060368076496</v>
      </c>
      <c r="D911" s="26" t="s">
        <v>54</v>
      </c>
      <c r="E911" s="28">
        <v>25.657795441968101</v>
      </c>
      <c r="F911" s="9"/>
      <c r="G911" s="14" t="str">
        <f t="shared" si="39"/>
        <v>O</v>
      </c>
      <c r="H911" s="15">
        <f t="shared" si="38"/>
        <v>12.828897720984051</v>
      </c>
      <c r="L911" s="35"/>
    </row>
    <row r="912" spans="1:12" ht="15" customHeight="1" x14ac:dyDescent="0.3">
      <c r="A912" s="31">
        <f>COUNTIFS($B$2:B912,B912)</f>
        <v>1</v>
      </c>
      <c r="B912" s="26" t="s">
        <v>231</v>
      </c>
      <c r="C912" s="27">
        <v>20060368076497</v>
      </c>
      <c r="D912" s="26" t="s">
        <v>284</v>
      </c>
      <c r="E912" s="28">
        <v>81.5</v>
      </c>
      <c r="F912" s="9"/>
      <c r="G912" s="14" t="str">
        <f t="shared" si="39"/>
        <v>O</v>
      </c>
      <c r="H912" s="15">
        <f t="shared" si="38"/>
        <v>40.75</v>
      </c>
      <c r="L912" s="35"/>
    </row>
    <row r="913" spans="1:12" ht="15" customHeight="1" x14ac:dyDescent="0.3">
      <c r="A913" s="31">
        <f>COUNTIFS($B$2:B913,B913)</f>
        <v>2</v>
      </c>
      <c r="B913" s="26" t="s">
        <v>231</v>
      </c>
      <c r="C913" s="27">
        <v>20060368076497</v>
      </c>
      <c r="D913" s="26" t="s">
        <v>206</v>
      </c>
      <c r="E913" s="28">
        <v>9.1</v>
      </c>
      <c r="F913" s="9"/>
      <c r="G913" s="14" t="str">
        <f t="shared" si="39"/>
        <v>O</v>
      </c>
      <c r="H913" s="15">
        <f t="shared" si="38"/>
        <v>4.55</v>
      </c>
      <c r="L913" s="35"/>
    </row>
    <row r="914" spans="1:12" ht="15" customHeight="1" x14ac:dyDescent="0.3">
      <c r="A914" s="31">
        <f>COUNTIFS($B$2:B914,B914)</f>
        <v>3</v>
      </c>
      <c r="B914" s="26" t="s">
        <v>231</v>
      </c>
      <c r="C914" s="27">
        <v>20060368076497</v>
      </c>
      <c r="D914" s="26" t="s">
        <v>157</v>
      </c>
      <c r="E914" s="28">
        <v>14.5</v>
      </c>
      <c r="F914" s="9"/>
      <c r="G914" s="14" t="str">
        <f t="shared" si="39"/>
        <v>O</v>
      </c>
      <c r="H914" s="15">
        <f t="shared" si="38"/>
        <v>7.25</v>
      </c>
      <c r="L914" s="35"/>
    </row>
    <row r="915" spans="1:12" ht="15" customHeight="1" x14ac:dyDescent="0.3">
      <c r="A915" s="31">
        <f>COUNTIFS($B$2:B915,B915)</f>
        <v>4</v>
      </c>
      <c r="B915" s="26" t="s">
        <v>231</v>
      </c>
      <c r="C915" s="27">
        <v>20060368076497</v>
      </c>
      <c r="D915" s="26" t="s">
        <v>418</v>
      </c>
      <c r="E915" s="28">
        <v>17</v>
      </c>
      <c r="F915" s="9"/>
      <c r="G915" s="14" t="str">
        <f t="shared" si="39"/>
        <v>O</v>
      </c>
      <c r="H915" s="15">
        <f t="shared" si="38"/>
        <v>8.5</v>
      </c>
      <c r="L915" s="35"/>
    </row>
    <row r="916" spans="1:12" ht="15" customHeight="1" x14ac:dyDescent="0.3">
      <c r="A916" s="31">
        <f>COUNTIFS($B$2:B916,B916)</f>
        <v>5</v>
      </c>
      <c r="B916" s="26" t="s">
        <v>231</v>
      </c>
      <c r="C916" s="27">
        <v>20060368076497</v>
      </c>
      <c r="D916" s="26" t="s">
        <v>488</v>
      </c>
      <c r="E916" s="28">
        <v>14.5</v>
      </c>
      <c r="F916" s="9"/>
      <c r="G916" s="14" t="str">
        <f t="shared" si="39"/>
        <v>O</v>
      </c>
      <c r="H916" s="15">
        <f t="shared" si="38"/>
        <v>7.25</v>
      </c>
      <c r="L916" s="35"/>
    </row>
    <row r="917" spans="1:12" x14ac:dyDescent="0.3">
      <c r="A917" s="31">
        <f>COUNTIFS($B$2:B917,B917)</f>
        <v>6</v>
      </c>
      <c r="B917" s="26" t="s">
        <v>231</v>
      </c>
      <c r="C917" s="27">
        <v>20060368076497</v>
      </c>
      <c r="D917" s="26" t="s">
        <v>60</v>
      </c>
      <c r="E917" s="28">
        <v>5.4</v>
      </c>
      <c r="F917" s="9"/>
      <c r="G917" s="14" t="str">
        <f t="shared" si="39"/>
        <v>O</v>
      </c>
      <c r="H917" s="15">
        <f t="shared" si="38"/>
        <v>2.7</v>
      </c>
      <c r="L917" s="35"/>
    </row>
    <row r="918" spans="1:12" x14ac:dyDescent="0.3">
      <c r="A918" s="31">
        <f>COUNTIFS($B$2:B918,B918)</f>
        <v>7</v>
      </c>
      <c r="B918" s="26" t="s">
        <v>231</v>
      </c>
      <c r="C918" s="27">
        <v>20060368076497</v>
      </c>
      <c r="D918" s="26" t="s">
        <v>536</v>
      </c>
      <c r="E918" s="28">
        <v>18</v>
      </c>
      <c r="F918" s="9"/>
      <c r="G918" s="14" t="str">
        <f t="shared" si="39"/>
        <v>O</v>
      </c>
      <c r="H918" s="15">
        <f t="shared" si="38"/>
        <v>9</v>
      </c>
      <c r="L918" s="35"/>
    </row>
    <row r="919" spans="1:12" x14ac:dyDescent="0.3">
      <c r="A919" s="31">
        <f>COUNTIFS($B$2:B919,B919)</f>
        <v>8</v>
      </c>
      <c r="B919" s="26" t="s">
        <v>231</v>
      </c>
      <c r="C919" s="27">
        <v>20060368076497</v>
      </c>
      <c r="D919" s="26" t="s">
        <v>223</v>
      </c>
      <c r="E919" s="28">
        <v>19</v>
      </c>
      <c r="F919" s="9"/>
      <c r="G919" s="14" t="str">
        <f t="shared" si="39"/>
        <v>O</v>
      </c>
      <c r="H919" s="15">
        <f t="shared" si="38"/>
        <v>9.5</v>
      </c>
      <c r="L919" s="35"/>
    </row>
    <row r="920" spans="1:12" x14ac:dyDescent="0.3">
      <c r="A920" s="31">
        <f>COUNTIFS($B$2:B920,B920)</f>
        <v>9</v>
      </c>
      <c r="B920" s="26" t="s">
        <v>231</v>
      </c>
      <c r="C920" s="27">
        <v>20060368076497</v>
      </c>
      <c r="D920" s="26" t="s">
        <v>230</v>
      </c>
      <c r="E920" s="28">
        <v>19.100000000000001</v>
      </c>
      <c r="F920" s="9"/>
      <c r="G920" s="14" t="str">
        <f t="shared" si="39"/>
        <v>O</v>
      </c>
      <c r="H920" s="15">
        <f t="shared" si="38"/>
        <v>9.5500000000000007</v>
      </c>
      <c r="L920" s="35"/>
    </row>
    <row r="921" spans="1:12" x14ac:dyDescent="0.3">
      <c r="A921" s="31">
        <f>COUNTIFS($B$2:B921,B921)</f>
        <v>10</v>
      </c>
      <c r="B921" s="26" t="s">
        <v>231</v>
      </c>
      <c r="C921" s="27">
        <v>20060368076497</v>
      </c>
      <c r="D921" s="26" t="s">
        <v>495</v>
      </c>
      <c r="E921" s="28">
        <v>18.100000000000001</v>
      </c>
      <c r="F921" s="9"/>
      <c r="G921" s="14" t="str">
        <f t="shared" si="39"/>
        <v>O</v>
      </c>
      <c r="H921" s="15">
        <f t="shared" si="38"/>
        <v>9.0500000000000007</v>
      </c>
      <c r="L921" s="35"/>
    </row>
    <row r="922" spans="1:12" x14ac:dyDescent="0.3">
      <c r="A922" s="31">
        <f>COUNTIFS($B$2:B922,B922)</f>
        <v>11</v>
      </c>
      <c r="B922" s="26" t="s">
        <v>231</v>
      </c>
      <c r="C922" s="27">
        <v>20060368076497</v>
      </c>
      <c r="D922" s="26" t="s">
        <v>489</v>
      </c>
      <c r="E922" s="28">
        <v>3.2</v>
      </c>
      <c r="F922" s="9"/>
      <c r="G922" s="14" t="str">
        <f t="shared" si="39"/>
        <v>O</v>
      </c>
      <c r="H922" s="15">
        <f t="shared" si="38"/>
        <v>1.6</v>
      </c>
      <c r="L922" s="35"/>
    </row>
    <row r="923" spans="1:12" x14ac:dyDescent="0.3">
      <c r="A923" s="31">
        <f>COUNTIFS($B$2:B923,B923)</f>
        <v>12</v>
      </c>
      <c r="B923" s="26" t="s">
        <v>231</v>
      </c>
      <c r="C923" s="27">
        <v>20060368076497</v>
      </c>
      <c r="D923" s="26" t="s">
        <v>218</v>
      </c>
      <c r="E923" s="28">
        <v>0.4</v>
      </c>
      <c r="F923" s="9"/>
      <c r="G923" s="14" t="str">
        <f t="shared" si="39"/>
        <v>O</v>
      </c>
      <c r="H923" s="15">
        <f t="shared" si="38"/>
        <v>0.2</v>
      </c>
      <c r="L923" s="35"/>
    </row>
    <row r="924" spans="1:12" x14ac:dyDescent="0.3">
      <c r="A924" s="31">
        <f>COUNTIFS($B$2:B924,B924)</f>
        <v>13</v>
      </c>
      <c r="B924" s="26" t="s">
        <v>231</v>
      </c>
      <c r="C924" s="27">
        <v>20060368076497</v>
      </c>
      <c r="D924" s="26" t="s">
        <v>490</v>
      </c>
      <c r="E924" s="28">
        <v>14.5</v>
      </c>
      <c r="F924" s="9"/>
      <c r="G924" s="14" t="str">
        <f t="shared" si="39"/>
        <v>O</v>
      </c>
      <c r="H924" s="15">
        <f t="shared" si="38"/>
        <v>7.25</v>
      </c>
      <c r="L924" s="35"/>
    </row>
    <row r="925" spans="1:12" x14ac:dyDescent="0.3">
      <c r="A925" s="31">
        <f>COUNTIFS($B$2:B925,B925)</f>
        <v>14</v>
      </c>
      <c r="B925" s="26" t="s">
        <v>231</v>
      </c>
      <c r="C925" s="27">
        <v>20060368076497</v>
      </c>
      <c r="D925" s="26" t="s">
        <v>114</v>
      </c>
      <c r="E925" s="28">
        <v>18.100000000000001</v>
      </c>
      <c r="F925" s="9"/>
      <c r="G925" s="14" t="str">
        <f t="shared" si="39"/>
        <v>O</v>
      </c>
      <c r="H925" s="15">
        <f t="shared" si="38"/>
        <v>9.0500000000000007</v>
      </c>
      <c r="L925" s="35"/>
    </row>
    <row r="926" spans="1:12" x14ac:dyDescent="0.3">
      <c r="A926" s="31">
        <f>COUNTIFS($B$2:B926,B926)</f>
        <v>15</v>
      </c>
      <c r="B926" s="26" t="s">
        <v>231</v>
      </c>
      <c r="C926" s="27">
        <v>20060368076497</v>
      </c>
      <c r="D926" s="26" t="s">
        <v>421</v>
      </c>
      <c r="E926" s="28">
        <v>18.100000000000001</v>
      </c>
      <c r="F926" s="9"/>
      <c r="G926" s="14" t="str">
        <f t="shared" si="39"/>
        <v>O</v>
      </c>
      <c r="H926" s="15">
        <f t="shared" si="38"/>
        <v>9.0500000000000007</v>
      </c>
      <c r="L926" s="35"/>
    </row>
    <row r="927" spans="1:12" x14ac:dyDescent="0.3">
      <c r="A927" s="31">
        <f>COUNTIFS($B$2:B927,B927)</f>
        <v>1</v>
      </c>
      <c r="B927" s="26" t="s">
        <v>233</v>
      </c>
      <c r="C927" s="27">
        <v>20060368076498</v>
      </c>
      <c r="D927" s="26" t="s">
        <v>463</v>
      </c>
      <c r="E927" s="28">
        <v>148.5</v>
      </c>
      <c r="F927" s="9"/>
      <c r="G927" s="14" t="str">
        <f t="shared" si="39"/>
        <v>O</v>
      </c>
      <c r="H927" s="15">
        <f t="shared" si="38"/>
        <v>74.25</v>
      </c>
      <c r="L927" s="35"/>
    </row>
    <row r="928" spans="1:12" x14ac:dyDescent="0.3">
      <c r="A928" s="31">
        <f>COUNTIFS($B$2:B928,B928)</f>
        <v>2</v>
      </c>
      <c r="B928" s="26" t="s">
        <v>233</v>
      </c>
      <c r="C928" s="27">
        <v>20060368076498</v>
      </c>
      <c r="D928" s="26" t="s">
        <v>164</v>
      </c>
      <c r="E928" s="28">
        <v>3</v>
      </c>
      <c r="F928" s="9"/>
      <c r="G928" s="14" t="str">
        <f t="shared" si="39"/>
        <v>O</v>
      </c>
      <c r="H928" s="15">
        <f t="shared" si="38"/>
        <v>1.5</v>
      </c>
      <c r="L928" s="35"/>
    </row>
    <row r="929" spans="1:12" x14ac:dyDescent="0.3">
      <c r="A929" s="31">
        <f>COUNTIFS($B$2:B929,B929)</f>
        <v>3</v>
      </c>
      <c r="B929" s="26" t="s">
        <v>233</v>
      </c>
      <c r="C929" s="27">
        <v>20060368076498</v>
      </c>
      <c r="D929" s="26" t="s">
        <v>418</v>
      </c>
      <c r="E929" s="28">
        <v>3</v>
      </c>
      <c r="F929" s="9"/>
      <c r="G929" s="14" t="str">
        <f t="shared" si="39"/>
        <v>O</v>
      </c>
      <c r="H929" s="15">
        <f t="shared" si="38"/>
        <v>1.5</v>
      </c>
      <c r="L929" s="35"/>
    </row>
    <row r="930" spans="1:12" x14ac:dyDescent="0.3">
      <c r="A930" s="31">
        <f>COUNTIFS($B$2:B930,B930)</f>
        <v>4</v>
      </c>
      <c r="B930" s="26" t="s">
        <v>233</v>
      </c>
      <c r="C930" s="27">
        <v>20060368076498</v>
      </c>
      <c r="D930" s="26" t="s">
        <v>518</v>
      </c>
      <c r="E930" s="28">
        <v>3.3961031892892128</v>
      </c>
      <c r="F930" s="9"/>
      <c r="G930" s="14" t="str">
        <f t="shared" si="39"/>
        <v>O</v>
      </c>
      <c r="H930" s="15">
        <f t="shared" si="38"/>
        <v>1.6980515946446064</v>
      </c>
      <c r="L930" s="35"/>
    </row>
    <row r="931" spans="1:12" x14ac:dyDescent="0.3">
      <c r="A931" s="31">
        <f>COUNTIFS($B$2:B931,B931)</f>
        <v>5</v>
      </c>
      <c r="B931" s="26" t="s">
        <v>233</v>
      </c>
      <c r="C931" s="27">
        <v>20060368076498</v>
      </c>
      <c r="D931" s="26" t="s">
        <v>114</v>
      </c>
      <c r="E931" s="28">
        <v>133.80000000000001</v>
      </c>
      <c r="F931" s="9"/>
      <c r="G931" s="14" t="str">
        <f t="shared" si="39"/>
        <v>O</v>
      </c>
      <c r="H931" s="15">
        <f t="shared" si="38"/>
        <v>66.900000000000006</v>
      </c>
      <c r="L931" s="35"/>
    </row>
    <row r="932" spans="1:12" x14ac:dyDescent="0.3">
      <c r="A932" s="31">
        <f>COUNTIFS($B$2:B932,B932)</f>
        <v>6</v>
      </c>
      <c r="B932" s="26" t="s">
        <v>233</v>
      </c>
      <c r="C932" s="27">
        <v>20060368076498</v>
      </c>
      <c r="D932" s="26" t="s">
        <v>492</v>
      </c>
      <c r="E932" s="28">
        <v>7.8000000000000007</v>
      </c>
      <c r="F932" s="9"/>
      <c r="G932" s="14" t="str">
        <f t="shared" si="39"/>
        <v>O</v>
      </c>
      <c r="H932" s="15">
        <f t="shared" si="38"/>
        <v>3.9000000000000004</v>
      </c>
      <c r="L932" s="35"/>
    </row>
    <row r="933" spans="1:12" x14ac:dyDescent="0.3">
      <c r="A933" s="31">
        <f>COUNTIFS($B$2:B933,B933)</f>
        <v>7</v>
      </c>
      <c r="B933" s="26" t="s">
        <v>233</v>
      </c>
      <c r="C933" s="27">
        <v>20060368076498</v>
      </c>
      <c r="D933" s="26" t="s">
        <v>166</v>
      </c>
      <c r="E933" s="28">
        <v>41.7</v>
      </c>
      <c r="F933" s="9"/>
      <c r="G933" s="14" t="str">
        <f t="shared" si="39"/>
        <v>O</v>
      </c>
      <c r="H933" s="15">
        <f t="shared" si="38"/>
        <v>20.85</v>
      </c>
      <c r="L933" s="35"/>
    </row>
    <row r="934" spans="1:12" x14ac:dyDescent="0.3">
      <c r="A934" s="31">
        <f>COUNTIFS($B$2:B934,B934)</f>
        <v>8</v>
      </c>
      <c r="B934" s="26" t="s">
        <v>233</v>
      </c>
      <c r="C934" s="27">
        <v>20060368076498</v>
      </c>
      <c r="D934" s="26" t="s">
        <v>512</v>
      </c>
      <c r="E934" s="28">
        <v>21.9</v>
      </c>
      <c r="F934" s="9"/>
      <c r="G934" s="14" t="str">
        <f t="shared" si="39"/>
        <v>O</v>
      </c>
      <c r="H934" s="15">
        <f t="shared" si="38"/>
        <v>10.95</v>
      </c>
      <c r="L934" s="35"/>
    </row>
    <row r="935" spans="1:12" x14ac:dyDescent="0.3">
      <c r="A935" s="31">
        <f>COUNTIFS($B$2:B935,B935)</f>
        <v>9</v>
      </c>
      <c r="B935" s="26" t="s">
        <v>233</v>
      </c>
      <c r="C935" s="27">
        <v>20060368076498</v>
      </c>
      <c r="D935" s="26" t="s">
        <v>535</v>
      </c>
      <c r="E935" s="28">
        <v>27</v>
      </c>
      <c r="F935" s="9"/>
      <c r="G935" s="14" t="str">
        <f t="shared" si="39"/>
        <v>O</v>
      </c>
      <c r="H935" s="15">
        <f t="shared" si="38"/>
        <v>13.5</v>
      </c>
      <c r="L935" s="35"/>
    </row>
    <row r="936" spans="1:12" x14ac:dyDescent="0.3">
      <c r="A936" s="31">
        <f>COUNTIFS($B$2:B936,B936)</f>
        <v>1</v>
      </c>
      <c r="B936" s="26" t="s">
        <v>566</v>
      </c>
      <c r="C936" s="27">
        <v>20060368076828</v>
      </c>
      <c r="D936" s="26" t="s">
        <v>463</v>
      </c>
      <c r="E936" s="28">
        <v>49.5</v>
      </c>
      <c r="F936" s="9"/>
      <c r="G936" s="14" t="str">
        <f t="shared" si="39"/>
        <v>O</v>
      </c>
      <c r="H936" s="15">
        <f t="shared" si="38"/>
        <v>24.75</v>
      </c>
      <c r="L936" s="35"/>
    </row>
    <row r="937" spans="1:12" x14ac:dyDescent="0.3">
      <c r="A937" s="31">
        <f>COUNTIFS($B$2:B937,B937)</f>
        <v>2</v>
      </c>
      <c r="B937" s="26" t="s">
        <v>566</v>
      </c>
      <c r="C937" s="27">
        <v>20060368076828</v>
      </c>
      <c r="D937" s="26" t="s">
        <v>164</v>
      </c>
      <c r="E937" s="28">
        <v>1</v>
      </c>
      <c r="F937" s="9"/>
      <c r="G937" s="14" t="str">
        <f t="shared" si="39"/>
        <v>O</v>
      </c>
      <c r="H937" s="15">
        <f t="shared" si="38"/>
        <v>0.5</v>
      </c>
      <c r="L937" s="35"/>
    </row>
    <row r="938" spans="1:12" x14ac:dyDescent="0.3">
      <c r="A938" s="31">
        <f>COUNTIFS($B$2:B938,B938)</f>
        <v>3</v>
      </c>
      <c r="B938" s="26" t="s">
        <v>566</v>
      </c>
      <c r="C938" s="27">
        <v>20060368076828</v>
      </c>
      <c r="D938" s="26" t="s">
        <v>418</v>
      </c>
      <c r="E938" s="28">
        <v>1</v>
      </c>
      <c r="F938" s="9"/>
      <c r="G938" s="14" t="str">
        <f t="shared" si="39"/>
        <v>O</v>
      </c>
      <c r="H938" s="15">
        <f t="shared" si="38"/>
        <v>0.5</v>
      </c>
      <c r="L938" s="35"/>
    </row>
    <row r="939" spans="1:12" x14ac:dyDescent="0.3">
      <c r="A939" s="31">
        <f>COUNTIFS($B$2:B939,B939)</f>
        <v>4</v>
      </c>
      <c r="B939" s="26" t="s">
        <v>566</v>
      </c>
      <c r="C939" s="27">
        <v>20060368076828</v>
      </c>
      <c r="D939" s="26" t="s">
        <v>518</v>
      </c>
      <c r="E939" s="28">
        <v>1.1320343964297377</v>
      </c>
      <c r="F939" s="9"/>
      <c r="G939" s="14" t="str">
        <f t="shared" si="39"/>
        <v>O</v>
      </c>
      <c r="H939" s="15">
        <f t="shared" si="38"/>
        <v>0.56601719821486884</v>
      </c>
      <c r="L939" s="35"/>
    </row>
    <row r="940" spans="1:12" x14ac:dyDescent="0.3">
      <c r="A940" s="31">
        <f>COUNTIFS($B$2:B940,B940)</f>
        <v>5</v>
      </c>
      <c r="B940" s="26" t="s">
        <v>566</v>
      </c>
      <c r="C940" s="27">
        <v>20060368076828</v>
      </c>
      <c r="D940" s="26" t="s">
        <v>114</v>
      </c>
      <c r="E940" s="28">
        <v>44.6</v>
      </c>
      <c r="F940" s="9"/>
      <c r="G940" s="14" t="str">
        <f t="shared" si="39"/>
        <v>O</v>
      </c>
      <c r="H940" s="15">
        <f t="shared" si="38"/>
        <v>22.3</v>
      </c>
      <c r="L940" s="35"/>
    </row>
    <row r="941" spans="1:12" x14ac:dyDescent="0.3">
      <c r="A941" s="31">
        <f>COUNTIFS($B$2:B941,B941)</f>
        <v>6</v>
      </c>
      <c r="B941" s="26" t="s">
        <v>566</v>
      </c>
      <c r="C941" s="27">
        <v>20060368076828</v>
      </c>
      <c r="D941" s="26" t="s">
        <v>492</v>
      </c>
      <c r="E941" s="28">
        <v>2.6</v>
      </c>
      <c r="F941" s="9"/>
      <c r="G941" s="14" t="str">
        <f t="shared" si="39"/>
        <v>O</v>
      </c>
      <c r="H941" s="15">
        <f t="shared" si="38"/>
        <v>1.3</v>
      </c>
      <c r="L941" s="35"/>
    </row>
    <row r="942" spans="1:12" x14ac:dyDescent="0.3">
      <c r="A942" s="31">
        <f>COUNTIFS($B$2:B942,B942)</f>
        <v>7</v>
      </c>
      <c r="B942" s="26" t="s">
        <v>566</v>
      </c>
      <c r="C942" s="27">
        <v>20060368076828</v>
      </c>
      <c r="D942" s="26" t="s">
        <v>166</v>
      </c>
      <c r="E942" s="28">
        <v>13.9</v>
      </c>
      <c r="F942" s="9"/>
      <c r="G942" s="14" t="str">
        <f t="shared" si="39"/>
        <v>O</v>
      </c>
      <c r="H942" s="15">
        <f t="shared" si="38"/>
        <v>6.95</v>
      </c>
      <c r="L942" s="35"/>
    </row>
    <row r="943" spans="1:12" x14ac:dyDescent="0.3">
      <c r="A943" s="31">
        <f>COUNTIFS($B$2:B943,B943)</f>
        <v>8</v>
      </c>
      <c r="B943" s="26" t="s">
        <v>566</v>
      </c>
      <c r="C943" s="27">
        <v>20060368076828</v>
      </c>
      <c r="D943" s="26" t="s">
        <v>512</v>
      </c>
      <c r="E943" s="28">
        <v>7.3</v>
      </c>
      <c r="F943" s="9"/>
      <c r="G943" s="14" t="str">
        <f t="shared" si="39"/>
        <v>O</v>
      </c>
      <c r="H943" s="15">
        <f t="shared" si="38"/>
        <v>3.65</v>
      </c>
      <c r="L943" s="35"/>
    </row>
    <row r="944" spans="1:12" x14ac:dyDescent="0.3">
      <c r="A944" s="31">
        <f>COUNTIFS($B$2:B944,B944)</f>
        <v>9</v>
      </c>
      <c r="B944" s="26" t="s">
        <v>566</v>
      </c>
      <c r="C944" s="27">
        <v>20060368076828</v>
      </c>
      <c r="D944" s="26" t="s">
        <v>535</v>
      </c>
      <c r="E944" s="28">
        <v>9</v>
      </c>
      <c r="F944" s="9"/>
      <c r="G944" s="14" t="str">
        <f t="shared" si="39"/>
        <v>O</v>
      </c>
      <c r="H944" s="15">
        <f t="shared" si="38"/>
        <v>4.5</v>
      </c>
      <c r="L944" s="35"/>
    </row>
    <row r="945" spans="1:12" x14ac:dyDescent="0.3">
      <c r="A945" s="31">
        <f>COUNTIFS($B$2:B945,B945)</f>
        <v>1</v>
      </c>
      <c r="B945" s="26" t="s">
        <v>237</v>
      </c>
      <c r="C945" s="27">
        <v>20060368076499</v>
      </c>
      <c r="D945" s="26" t="s">
        <v>284</v>
      </c>
      <c r="E945" s="28">
        <v>235.3848059796</v>
      </c>
      <c r="F945" s="9"/>
      <c r="G945" s="14" t="str">
        <f t="shared" si="39"/>
        <v>O</v>
      </c>
      <c r="H945" s="15">
        <f t="shared" si="38"/>
        <v>117.6924029898</v>
      </c>
      <c r="L945" s="35"/>
    </row>
    <row r="946" spans="1:12" x14ac:dyDescent="0.3">
      <c r="A946" s="31">
        <f>COUNTIFS($B$2:B946,B946)</f>
        <v>2</v>
      </c>
      <c r="B946" s="26" t="s">
        <v>237</v>
      </c>
      <c r="C946" s="27">
        <v>20060368076499</v>
      </c>
      <c r="D946" s="26" t="s">
        <v>157</v>
      </c>
      <c r="E946" s="28">
        <v>4.7076961195919997</v>
      </c>
      <c r="F946" s="9"/>
      <c r="G946" s="14" t="str">
        <f t="shared" si="39"/>
        <v>O</v>
      </c>
      <c r="H946" s="15">
        <f t="shared" si="38"/>
        <v>2.3538480597959999</v>
      </c>
      <c r="L946" s="35"/>
    </row>
    <row r="947" spans="1:12" x14ac:dyDescent="0.3">
      <c r="A947" s="31">
        <f>COUNTIFS($B$2:B947,B947)</f>
        <v>3</v>
      </c>
      <c r="B947" s="26" t="s">
        <v>237</v>
      </c>
      <c r="C947" s="27">
        <v>20060368076499</v>
      </c>
      <c r="D947" s="26" t="s">
        <v>421</v>
      </c>
      <c r="E947" s="28">
        <v>47.076961195919999</v>
      </c>
      <c r="F947" s="9"/>
      <c r="G947" s="14" t="str">
        <f t="shared" si="39"/>
        <v>O</v>
      </c>
      <c r="H947" s="15">
        <f t="shared" si="38"/>
        <v>23.53848059796</v>
      </c>
      <c r="L947" s="35"/>
    </row>
    <row r="948" spans="1:12" x14ac:dyDescent="0.3">
      <c r="A948" s="31">
        <f>COUNTIFS($B$2:B948,B948)</f>
        <v>4</v>
      </c>
      <c r="B948" s="26" t="s">
        <v>237</v>
      </c>
      <c r="C948" s="27">
        <v>20060368076499</v>
      </c>
      <c r="D948" s="26" t="s">
        <v>295</v>
      </c>
      <c r="E948" s="28">
        <v>0.6276928159456</v>
      </c>
      <c r="F948" s="9"/>
      <c r="G948" s="14" t="str">
        <f t="shared" si="39"/>
        <v>O</v>
      </c>
      <c r="H948" s="15">
        <f t="shared" si="38"/>
        <v>0.3138464079728</v>
      </c>
      <c r="L948" s="35"/>
    </row>
    <row r="949" spans="1:12" x14ac:dyDescent="0.3">
      <c r="A949" s="31">
        <f>COUNTIFS($B$2:B949,B949)</f>
        <v>5</v>
      </c>
      <c r="B949" s="26" t="s">
        <v>237</v>
      </c>
      <c r="C949" s="27">
        <v>20060368076499</v>
      </c>
      <c r="D949" s="26" t="s">
        <v>489</v>
      </c>
      <c r="E949" s="28">
        <v>7.0615441793879992</v>
      </c>
      <c r="F949" s="9"/>
      <c r="G949" s="14" t="str">
        <f t="shared" si="39"/>
        <v>O</v>
      </c>
      <c r="H949" s="15">
        <f t="shared" ref="H949:H1012" si="40">E949/2</f>
        <v>3.5307720896939996</v>
      </c>
      <c r="L949" s="35"/>
    </row>
    <row r="950" spans="1:12" x14ac:dyDescent="0.3">
      <c r="A950" s="31">
        <f>COUNTIFS($B$2:B950,B950)</f>
        <v>6</v>
      </c>
      <c r="B950" s="26" t="s">
        <v>237</v>
      </c>
      <c r="C950" s="27">
        <v>20060368076499</v>
      </c>
      <c r="D950" s="26" t="s">
        <v>114</v>
      </c>
      <c r="E950" s="28">
        <v>196.15400498299999</v>
      </c>
      <c r="F950" s="9"/>
      <c r="G950" s="14" t="str">
        <f t="shared" si="39"/>
        <v>O</v>
      </c>
      <c r="H950" s="15">
        <f t="shared" si="40"/>
        <v>98.077002491499996</v>
      </c>
      <c r="L950" s="35"/>
    </row>
    <row r="951" spans="1:12" x14ac:dyDescent="0.3">
      <c r="A951" s="31">
        <f>COUNTIFS($B$2:B951,B951)</f>
        <v>7</v>
      </c>
      <c r="B951" s="26" t="s">
        <v>237</v>
      </c>
      <c r="C951" s="27">
        <v>20060368076499</v>
      </c>
      <c r="D951" s="26" t="s">
        <v>492</v>
      </c>
      <c r="E951" s="28">
        <v>11.76924029898</v>
      </c>
      <c r="F951" s="9"/>
      <c r="G951" s="14" t="str">
        <f t="shared" si="39"/>
        <v>O</v>
      </c>
      <c r="H951" s="15">
        <f t="shared" si="40"/>
        <v>5.8846201494899999</v>
      </c>
      <c r="L951" s="35"/>
    </row>
    <row r="952" spans="1:12" x14ac:dyDescent="0.3">
      <c r="A952" s="31">
        <f>COUNTIFS($B$2:B952,B952)</f>
        <v>8</v>
      </c>
      <c r="B952" s="26" t="s">
        <v>237</v>
      </c>
      <c r="C952" s="27">
        <v>20060368076499</v>
      </c>
      <c r="D952" s="26" t="s">
        <v>418</v>
      </c>
      <c r="E952" s="28">
        <v>4.4487728330144396</v>
      </c>
      <c r="F952" s="9"/>
      <c r="G952" s="14" t="str">
        <f t="shared" si="39"/>
        <v>O</v>
      </c>
      <c r="H952" s="15">
        <f t="shared" si="40"/>
        <v>2.2243864165072198</v>
      </c>
      <c r="L952" s="35"/>
    </row>
    <row r="953" spans="1:12" x14ac:dyDescent="0.3">
      <c r="A953" s="31">
        <f>COUNTIFS($B$2:B953,B953)</f>
        <v>9</v>
      </c>
      <c r="B953" s="26" t="s">
        <v>237</v>
      </c>
      <c r="C953" s="27">
        <v>20060368076499</v>
      </c>
      <c r="D953" s="26" t="s">
        <v>166</v>
      </c>
      <c r="E953" s="28">
        <v>62.769281594559992</v>
      </c>
      <c r="F953" s="9"/>
      <c r="G953" s="14" t="str">
        <f t="shared" si="39"/>
        <v>O</v>
      </c>
      <c r="H953" s="15">
        <f t="shared" si="40"/>
        <v>31.384640797279996</v>
      </c>
      <c r="L953" s="35"/>
    </row>
    <row r="954" spans="1:12" x14ac:dyDescent="0.3">
      <c r="A954" s="31">
        <f>COUNTIFS($B$2:B954,B954)</f>
        <v>1</v>
      </c>
      <c r="B954" s="26" t="s">
        <v>567</v>
      </c>
      <c r="C954" s="27">
        <v>200603680764991</v>
      </c>
      <c r="D954" s="26" t="s">
        <v>284</v>
      </c>
      <c r="E954" s="28">
        <v>78.461601993199992</v>
      </c>
      <c r="F954" s="9"/>
      <c r="G954" s="14" t="str">
        <f t="shared" si="39"/>
        <v>O</v>
      </c>
      <c r="H954" s="15">
        <f t="shared" si="40"/>
        <v>39.230800996599996</v>
      </c>
      <c r="L954" s="35"/>
    </row>
    <row r="955" spans="1:12" x14ac:dyDescent="0.3">
      <c r="A955" s="31">
        <f>COUNTIFS($B$2:B955,B955)</f>
        <v>2</v>
      </c>
      <c r="B955" s="26" t="s">
        <v>567</v>
      </c>
      <c r="C955" s="27">
        <v>200603680764991</v>
      </c>
      <c r="D955" s="26" t="s">
        <v>157</v>
      </c>
      <c r="E955" s="28">
        <v>1.5692320398639998</v>
      </c>
      <c r="F955" s="9"/>
      <c r="G955" s="14" t="str">
        <f t="shared" si="39"/>
        <v>O</v>
      </c>
      <c r="H955" s="15">
        <f t="shared" si="40"/>
        <v>0.78461601993199992</v>
      </c>
      <c r="L955" s="35"/>
    </row>
    <row r="956" spans="1:12" x14ac:dyDescent="0.3">
      <c r="A956" s="31">
        <f>COUNTIFS($B$2:B956,B956)</f>
        <v>3</v>
      </c>
      <c r="B956" s="26" t="s">
        <v>567</v>
      </c>
      <c r="C956" s="27">
        <v>200603680764991</v>
      </c>
      <c r="D956" s="26" t="s">
        <v>421</v>
      </c>
      <c r="E956" s="28">
        <v>15.692320398639998</v>
      </c>
      <c r="F956" s="9"/>
      <c r="G956" s="14" t="str">
        <f t="shared" si="39"/>
        <v>O</v>
      </c>
      <c r="H956" s="15">
        <f t="shared" si="40"/>
        <v>7.846160199319999</v>
      </c>
      <c r="L956" s="35"/>
    </row>
    <row r="957" spans="1:12" x14ac:dyDescent="0.3">
      <c r="A957" s="31">
        <f>COUNTIFS($B$2:B957,B957)</f>
        <v>4</v>
      </c>
      <c r="B957" s="26" t="s">
        <v>567</v>
      </c>
      <c r="C957" s="27">
        <v>200603680764991</v>
      </c>
      <c r="D957" s="26" t="s">
        <v>295</v>
      </c>
      <c r="E957" s="28">
        <v>0.20923093864853334</v>
      </c>
      <c r="F957" s="9"/>
      <c r="G957" s="14" t="str">
        <f t="shared" si="39"/>
        <v>O</v>
      </c>
      <c r="H957" s="15">
        <f t="shared" si="40"/>
        <v>0.10461546932426667</v>
      </c>
      <c r="L957" s="35"/>
    </row>
    <row r="958" spans="1:12" x14ac:dyDescent="0.3">
      <c r="A958" s="31">
        <f>COUNTIFS($B$2:B958,B958)</f>
        <v>5</v>
      </c>
      <c r="B958" s="26" t="s">
        <v>567</v>
      </c>
      <c r="C958" s="27">
        <v>200603680764991</v>
      </c>
      <c r="D958" s="26" t="s">
        <v>489</v>
      </c>
      <c r="E958" s="28">
        <v>2.3538480597959999</v>
      </c>
      <c r="F958" s="9"/>
      <c r="G958" s="14" t="str">
        <f t="shared" si="39"/>
        <v>O</v>
      </c>
      <c r="H958" s="15">
        <f t="shared" si="40"/>
        <v>1.1769240298979999</v>
      </c>
      <c r="L958" s="35"/>
    </row>
    <row r="959" spans="1:12" x14ac:dyDescent="0.3">
      <c r="A959" s="31">
        <f>COUNTIFS($B$2:B959,B959)</f>
        <v>6</v>
      </c>
      <c r="B959" s="26" t="s">
        <v>567</v>
      </c>
      <c r="C959" s="27">
        <v>200603680764991</v>
      </c>
      <c r="D959" s="26" t="s">
        <v>114</v>
      </c>
      <c r="E959" s="28">
        <v>65.38466832766666</v>
      </c>
      <c r="F959" s="9"/>
      <c r="G959" s="14" t="str">
        <f t="shared" si="39"/>
        <v>O</v>
      </c>
      <c r="H959" s="15">
        <f t="shared" si="40"/>
        <v>32.69233416383333</v>
      </c>
      <c r="L959" s="35"/>
    </row>
    <row r="960" spans="1:12" x14ac:dyDescent="0.3">
      <c r="A960" s="31">
        <f>COUNTIFS($B$2:B960,B960)</f>
        <v>7</v>
      </c>
      <c r="B960" s="26" t="s">
        <v>567</v>
      </c>
      <c r="C960" s="27">
        <v>200603680764991</v>
      </c>
      <c r="D960" s="26" t="s">
        <v>492</v>
      </c>
      <c r="E960" s="28">
        <v>3.9230800996599995</v>
      </c>
      <c r="F960" s="9"/>
      <c r="G960" s="14" t="str">
        <f t="shared" si="39"/>
        <v>O</v>
      </c>
      <c r="H960" s="15">
        <f t="shared" si="40"/>
        <v>1.9615400498299997</v>
      </c>
      <c r="L960" s="35"/>
    </row>
    <row r="961" spans="1:12" x14ac:dyDescent="0.3">
      <c r="A961" s="31">
        <f>COUNTIFS($B$2:B961,B961)</f>
        <v>8</v>
      </c>
      <c r="B961" s="26" t="s">
        <v>567</v>
      </c>
      <c r="C961" s="27">
        <v>200603680764991</v>
      </c>
      <c r="D961" s="26" t="s">
        <v>418</v>
      </c>
      <c r="E961" s="28">
        <v>1.4829242776714799</v>
      </c>
      <c r="F961" s="9"/>
      <c r="G961" s="14" t="str">
        <f t="shared" si="39"/>
        <v>O</v>
      </c>
      <c r="H961" s="15">
        <f t="shared" si="40"/>
        <v>0.74146213883573997</v>
      </c>
      <c r="L961" s="35"/>
    </row>
    <row r="962" spans="1:12" x14ac:dyDescent="0.3">
      <c r="A962" s="31">
        <f>COUNTIFS($B$2:B962,B962)</f>
        <v>9</v>
      </c>
      <c r="B962" s="26" t="s">
        <v>567</v>
      </c>
      <c r="C962" s="27">
        <v>200603680764991</v>
      </c>
      <c r="D962" s="26" t="s">
        <v>166</v>
      </c>
      <c r="E962" s="28">
        <v>20.923093864853332</v>
      </c>
      <c r="F962" s="9"/>
      <c r="G962" s="14" t="str">
        <f t="shared" si="39"/>
        <v>O</v>
      </c>
      <c r="H962" s="15">
        <f t="shared" si="40"/>
        <v>10.461546932426666</v>
      </c>
      <c r="L962" s="35"/>
    </row>
    <row r="963" spans="1:12" x14ac:dyDescent="0.3">
      <c r="A963" s="31">
        <f>COUNTIFS($B$2:B963,B963)</f>
        <v>1</v>
      </c>
      <c r="B963" s="26" t="s">
        <v>241</v>
      </c>
      <c r="C963" s="27">
        <v>20060368076500</v>
      </c>
      <c r="D963" s="26" t="s">
        <v>284</v>
      </c>
      <c r="E963" s="28">
        <v>83.5</v>
      </c>
      <c r="F963" s="9"/>
      <c r="G963" s="14" t="str">
        <f t="shared" si="39"/>
        <v>O</v>
      </c>
      <c r="H963" s="15">
        <f t="shared" si="40"/>
        <v>41.75</v>
      </c>
      <c r="L963" s="35"/>
    </row>
    <row r="964" spans="1:12" x14ac:dyDescent="0.3">
      <c r="A964" s="31">
        <f>COUNTIFS($B$2:B964,B964)</f>
        <v>2</v>
      </c>
      <c r="B964" s="26" t="s">
        <v>241</v>
      </c>
      <c r="C964" s="27">
        <v>20060368076500</v>
      </c>
      <c r="D964" s="26" t="s">
        <v>82</v>
      </c>
      <c r="E964" s="28">
        <v>12.2</v>
      </c>
      <c r="F964" s="9"/>
      <c r="G964" s="14" t="str">
        <f t="shared" ref="G964:G978" si="41">IF(D964="","",IF(COUNTIF(I:I,D964)&gt;0,"O","X"))</f>
        <v>O</v>
      </c>
      <c r="H964" s="15">
        <f t="shared" si="40"/>
        <v>6.1</v>
      </c>
      <c r="L964" s="35"/>
    </row>
    <row r="965" spans="1:12" x14ac:dyDescent="0.3">
      <c r="A965" s="31">
        <f>COUNTIFS($B$2:B965,B965)</f>
        <v>3</v>
      </c>
      <c r="B965" s="26" t="s">
        <v>241</v>
      </c>
      <c r="C965" s="27">
        <v>20060368076500</v>
      </c>
      <c r="D965" s="26" t="s">
        <v>157</v>
      </c>
      <c r="E965" s="28">
        <v>34.47</v>
      </c>
      <c r="F965" s="9"/>
      <c r="G965" s="14" t="str">
        <f t="shared" si="41"/>
        <v>O</v>
      </c>
      <c r="H965" s="15">
        <f t="shared" si="40"/>
        <v>17.234999999999999</v>
      </c>
      <c r="L965" s="35"/>
    </row>
    <row r="966" spans="1:12" x14ac:dyDescent="0.3">
      <c r="A966" s="31">
        <f>COUNTIFS($B$2:B966,B966)</f>
        <v>4</v>
      </c>
      <c r="B966" s="26" t="s">
        <v>241</v>
      </c>
      <c r="C966" s="27">
        <v>20060368076500</v>
      </c>
      <c r="D966" s="26" t="s">
        <v>155</v>
      </c>
      <c r="E966" s="28">
        <v>1.7</v>
      </c>
      <c r="F966" s="9"/>
      <c r="G966" s="14" t="str">
        <f t="shared" si="41"/>
        <v>O</v>
      </c>
      <c r="H966" s="15">
        <f t="shared" si="40"/>
        <v>0.85</v>
      </c>
      <c r="L966" s="35"/>
    </row>
    <row r="967" spans="1:12" x14ac:dyDescent="0.3">
      <c r="A967" s="31">
        <f>COUNTIFS($B$2:B967,B967)</f>
        <v>5</v>
      </c>
      <c r="B967" s="26" t="s">
        <v>241</v>
      </c>
      <c r="C967" s="27">
        <v>20060368076500</v>
      </c>
      <c r="D967" s="26" t="s">
        <v>196</v>
      </c>
      <c r="E967" s="28">
        <v>28.5</v>
      </c>
      <c r="F967" s="9"/>
      <c r="G967" s="14" t="str">
        <f t="shared" si="41"/>
        <v>O</v>
      </c>
      <c r="H967" s="15">
        <f t="shared" si="40"/>
        <v>14.25</v>
      </c>
      <c r="L967" s="35"/>
    </row>
    <row r="968" spans="1:12" x14ac:dyDescent="0.3">
      <c r="A968" s="31">
        <f>COUNTIFS($B$2:B968,B968)</f>
        <v>6</v>
      </c>
      <c r="B968" s="26" t="s">
        <v>241</v>
      </c>
      <c r="C968" s="27">
        <v>20060368076500</v>
      </c>
      <c r="D968" s="26" t="s">
        <v>33</v>
      </c>
      <c r="E968" s="28">
        <v>18.5</v>
      </c>
      <c r="F968" s="9"/>
      <c r="G968" s="14" t="str">
        <f t="shared" si="41"/>
        <v>O</v>
      </c>
      <c r="H968" s="15">
        <f t="shared" si="40"/>
        <v>9.25</v>
      </c>
      <c r="L968" s="35"/>
    </row>
    <row r="969" spans="1:12" x14ac:dyDescent="0.3">
      <c r="A969" s="31">
        <f>COUNTIFS($B$2:B969,B969)</f>
        <v>7</v>
      </c>
      <c r="B969" s="26" t="s">
        <v>241</v>
      </c>
      <c r="C969" s="27">
        <v>20060368076500</v>
      </c>
      <c r="D969" s="26" t="s">
        <v>568</v>
      </c>
      <c r="E969" s="28">
        <v>4</v>
      </c>
      <c r="F969" s="9"/>
      <c r="G969" s="14" t="str">
        <f t="shared" si="41"/>
        <v>O</v>
      </c>
      <c r="H969" s="15">
        <f t="shared" si="40"/>
        <v>2</v>
      </c>
      <c r="L969" s="35"/>
    </row>
    <row r="970" spans="1:12" x14ac:dyDescent="0.3">
      <c r="A970" s="31">
        <f>COUNTIFS($B$2:B970,B970)</f>
        <v>8</v>
      </c>
      <c r="B970" s="26" t="s">
        <v>241</v>
      </c>
      <c r="C970" s="27">
        <v>20060368076500</v>
      </c>
      <c r="D970" s="26" t="s">
        <v>205</v>
      </c>
      <c r="E970" s="28">
        <v>4</v>
      </c>
      <c r="F970" s="9"/>
      <c r="G970" s="14" t="str">
        <f t="shared" si="41"/>
        <v>O</v>
      </c>
      <c r="H970" s="15">
        <f t="shared" si="40"/>
        <v>2</v>
      </c>
      <c r="L970" s="35"/>
    </row>
    <row r="971" spans="1:12" x14ac:dyDescent="0.3">
      <c r="A971" s="31">
        <f>COUNTIFS($B$2:B971,B971)</f>
        <v>9</v>
      </c>
      <c r="B971" s="26" t="s">
        <v>241</v>
      </c>
      <c r="C971" s="27">
        <v>20060368076500</v>
      </c>
      <c r="D971" s="26" t="s">
        <v>276</v>
      </c>
      <c r="E971" s="28">
        <v>4</v>
      </c>
      <c r="F971" s="9"/>
      <c r="G971" s="14" t="str">
        <f t="shared" si="41"/>
        <v>O</v>
      </c>
      <c r="H971" s="15">
        <f t="shared" si="40"/>
        <v>2</v>
      </c>
      <c r="L971" s="35"/>
    </row>
    <row r="972" spans="1:12" x14ac:dyDescent="0.3">
      <c r="A972" s="31">
        <f>COUNTIFS($B$2:B972,B972)</f>
        <v>10</v>
      </c>
      <c r="B972" s="26" t="s">
        <v>241</v>
      </c>
      <c r="C972" s="27">
        <v>20060368076500</v>
      </c>
      <c r="D972" s="26" t="s">
        <v>223</v>
      </c>
      <c r="E972" s="28">
        <v>1.7</v>
      </c>
      <c r="F972" s="9"/>
      <c r="G972" s="14" t="str">
        <f t="shared" si="41"/>
        <v>O</v>
      </c>
      <c r="H972" s="15">
        <f t="shared" si="40"/>
        <v>0.85</v>
      </c>
      <c r="L972" s="35"/>
    </row>
    <row r="973" spans="1:12" x14ac:dyDescent="0.3">
      <c r="A973" s="31">
        <f>COUNTIFS($B$2:B973,B973)</f>
        <v>11</v>
      </c>
      <c r="B973" s="26" t="s">
        <v>241</v>
      </c>
      <c r="C973" s="27">
        <v>20060368076500</v>
      </c>
      <c r="D973" s="26" t="s">
        <v>164</v>
      </c>
      <c r="E973" s="28">
        <v>3.2</v>
      </c>
      <c r="F973" s="9"/>
      <c r="G973" s="14" t="str">
        <f t="shared" si="41"/>
        <v>O</v>
      </c>
      <c r="H973" s="15">
        <f t="shared" si="40"/>
        <v>1.6</v>
      </c>
      <c r="L973" s="35"/>
    </row>
    <row r="974" spans="1:12" x14ac:dyDescent="0.3">
      <c r="A974" s="31">
        <f>COUNTIFS($B$2:B974,B974)</f>
        <v>12</v>
      </c>
      <c r="B974" s="26" t="s">
        <v>241</v>
      </c>
      <c r="C974" s="27">
        <v>20060368076500</v>
      </c>
      <c r="D974" s="26" t="s">
        <v>228</v>
      </c>
      <c r="E974" s="28">
        <v>4.0999999999999996</v>
      </c>
      <c r="F974" s="9"/>
      <c r="G974" s="14" t="str">
        <f t="shared" si="41"/>
        <v>O</v>
      </c>
      <c r="H974" s="15">
        <f t="shared" si="40"/>
        <v>2.0499999999999998</v>
      </c>
      <c r="L974" s="35"/>
    </row>
    <row r="975" spans="1:12" x14ac:dyDescent="0.3">
      <c r="A975" s="31">
        <f>COUNTIFS($B$2:B975,B975)</f>
        <v>13</v>
      </c>
      <c r="B975" s="26" t="s">
        <v>241</v>
      </c>
      <c r="C975" s="27">
        <v>20060368076500</v>
      </c>
      <c r="D975" s="26" t="s">
        <v>111</v>
      </c>
      <c r="E975" s="28">
        <v>8.1</v>
      </c>
      <c r="F975" s="9"/>
      <c r="G975" s="14" t="str">
        <f t="shared" si="41"/>
        <v>O</v>
      </c>
      <c r="H975" s="15">
        <f t="shared" si="40"/>
        <v>4.05</v>
      </c>
      <c r="L975" s="35"/>
    </row>
    <row r="976" spans="1:12" x14ac:dyDescent="0.3">
      <c r="A976" s="31">
        <f>COUNTIFS($B$2:B976,B976)</f>
        <v>14</v>
      </c>
      <c r="B976" s="26" t="s">
        <v>241</v>
      </c>
      <c r="C976" s="27">
        <v>20060368076500</v>
      </c>
      <c r="D976" s="26" t="s">
        <v>114</v>
      </c>
      <c r="E976" s="28">
        <v>24.4</v>
      </c>
      <c r="F976" s="9"/>
      <c r="G976" s="14" t="str">
        <f t="shared" si="41"/>
        <v>O</v>
      </c>
      <c r="H976" s="15">
        <f t="shared" si="40"/>
        <v>12.2</v>
      </c>
      <c r="L976" s="35"/>
    </row>
    <row r="977" spans="1:12" x14ac:dyDescent="0.3">
      <c r="A977" s="31">
        <f>COUNTIFS($B$2:B977,B977)</f>
        <v>15</v>
      </c>
      <c r="B977" s="26" t="s">
        <v>241</v>
      </c>
      <c r="C977" s="27">
        <v>20060368076500</v>
      </c>
      <c r="D977" s="26" t="s">
        <v>116</v>
      </c>
      <c r="E977" s="28">
        <v>20.3</v>
      </c>
      <c r="F977" s="9"/>
      <c r="G977" s="14" t="str">
        <f t="shared" si="41"/>
        <v>O</v>
      </c>
      <c r="H977" s="15">
        <f t="shared" si="40"/>
        <v>10.15</v>
      </c>
      <c r="L977" s="35"/>
    </row>
    <row r="978" spans="1:12" x14ac:dyDescent="0.3">
      <c r="A978" s="31">
        <f>COUNTIFS($B$2:B978,B978)</f>
        <v>16</v>
      </c>
      <c r="B978" s="26" t="s">
        <v>241</v>
      </c>
      <c r="C978" s="27">
        <v>20060368076500</v>
      </c>
      <c r="D978" s="26" t="s">
        <v>539</v>
      </c>
      <c r="E978" s="28">
        <v>40</v>
      </c>
      <c r="F978" s="9"/>
      <c r="G978" s="14" t="str">
        <f t="shared" si="41"/>
        <v>O</v>
      </c>
      <c r="H978" s="15">
        <f t="shared" si="40"/>
        <v>20</v>
      </c>
      <c r="L978" s="35"/>
    </row>
    <row r="979" spans="1:12" x14ac:dyDescent="0.3">
      <c r="A979" s="31">
        <v>17</v>
      </c>
      <c r="B979" s="26" t="s">
        <v>241</v>
      </c>
      <c r="C979" s="27">
        <v>20060368076500</v>
      </c>
      <c r="D979" s="26" t="s">
        <v>12</v>
      </c>
      <c r="E979" s="28">
        <v>5.5</v>
      </c>
      <c r="F979" s="9"/>
      <c r="G979" s="14"/>
      <c r="H979" s="15">
        <f t="shared" si="40"/>
        <v>2.75</v>
      </c>
      <c r="L979" s="35"/>
    </row>
    <row r="980" spans="1:12" x14ac:dyDescent="0.3">
      <c r="A980" s="31">
        <f>COUNTIFS($B$2:B980,B980)</f>
        <v>1</v>
      </c>
      <c r="B980" s="26" t="s">
        <v>569</v>
      </c>
      <c r="C980" s="27">
        <v>200603680765001</v>
      </c>
      <c r="D980" s="26" t="s">
        <v>284</v>
      </c>
      <c r="E980" s="28">
        <v>72.707926937400245</v>
      </c>
      <c r="F980" s="9"/>
      <c r="G980" s="14" t="str">
        <f t="shared" ref="G980:G995" si="42">IF(D980="","",IF(COUNTIF(I:I,D980)&gt;0,"O","X"))</f>
        <v>O</v>
      </c>
      <c r="H980" s="15">
        <f t="shared" si="40"/>
        <v>36.353963468700123</v>
      </c>
      <c r="L980" s="35"/>
    </row>
    <row r="981" spans="1:12" x14ac:dyDescent="0.3">
      <c r="A981" s="31">
        <f>COUNTIFS($B$2:B981,B981)</f>
        <v>2</v>
      </c>
      <c r="B981" s="26" t="s">
        <v>569</v>
      </c>
      <c r="C981" s="27">
        <v>200603680765001</v>
      </c>
      <c r="D981" s="26" t="s">
        <v>82</v>
      </c>
      <c r="E981" s="28">
        <v>10.640184429863451</v>
      </c>
      <c r="F981" s="9"/>
      <c r="G981" s="14" t="str">
        <f t="shared" si="42"/>
        <v>O</v>
      </c>
      <c r="H981" s="15">
        <f t="shared" si="40"/>
        <v>5.3200922149317256</v>
      </c>
      <c r="L981" s="35"/>
    </row>
    <row r="982" spans="1:12" x14ac:dyDescent="0.3">
      <c r="A982" s="31">
        <f>COUNTIFS($B$2:B982,B982)</f>
        <v>3</v>
      </c>
      <c r="B982" s="26" t="s">
        <v>569</v>
      </c>
      <c r="C982" s="27">
        <v>200603680765001</v>
      </c>
      <c r="D982" s="26" t="s">
        <v>157</v>
      </c>
      <c r="E982" s="28">
        <v>32.07</v>
      </c>
      <c r="F982" s="9"/>
      <c r="G982" s="14" t="str">
        <f t="shared" si="42"/>
        <v>O</v>
      </c>
      <c r="H982" s="15">
        <f t="shared" si="40"/>
        <v>16.035</v>
      </c>
      <c r="L982" s="35"/>
    </row>
    <row r="983" spans="1:12" x14ac:dyDescent="0.3">
      <c r="A983" s="31">
        <f>COUNTIFS($B$2:B983,B983)</f>
        <v>4</v>
      </c>
      <c r="B983" s="26" t="s">
        <v>569</v>
      </c>
      <c r="C983" s="27">
        <v>200603680765001</v>
      </c>
      <c r="D983" s="26" t="s">
        <v>155</v>
      </c>
      <c r="E983" s="28">
        <v>1.6</v>
      </c>
      <c r="F983" s="9"/>
      <c r="G983" s="14" t="str">
        <f t="shared" si="42"/>
        <v>O</v>
      </c>
      <c r="H983" s="15">
        <f t="shared" si="40"/>
        <v>0.8</v>
      </c>
      <c r="L983" s="35"/>
    </row>
    <row r="984" spans="1:12" x14ac:dyDescent="0.3">
      <c r="A984" s="31">
        <f>COUNTIFS($B$2:B984,B984)</f>
        <v>5</v>
      </c>
      <c r="B984" s="26" t="s">
        <v>569</v>
      </c>
      <c r="C984" s="27">
        <v>200603680765001</v>
      </c>
      <c r="D984" s="26" t="s">
        <v>196</v>
      </c>
      <c r="E984" s="28">
        <v>24.83</v>
      </c>
      <c r="F984" s="9"/>
      <c r="G984" s="14" t="str">
        <f t="shared" si="42"/>
        <v>O</v>
      </c>
      <c r="H984" s="15">
        <f t="shared" si="40"/>
        <v>12.414999999999999</v>
      </c>
      <c r="L984" s="35"/>
    </row>
    <row r="985" spans="1:12" x14ac:dyDescent="0.3">
      <c r="A985" s="31">
        <f>COUNTIFS($B$2:B985,B985)</f>
        <v>6</v>
      </c>
      <c r="B985" s="26" t="s">
        <v>569</v>
      </c>
      <c r="C985" s="27">
        <v>200603680765001</v>
      </c>
      <c r="D985" s="26" t="s">
        <v>33</v>
      </c>
      <c r="E985" s="28">
        <v>18.53</v>
      </c>
      <c r="F985" s="9"/>
      <c r="G985" s="14" t="str">
        <f t="shared" si="42"/>
        <v>O</v>
      </c>
      <c r="H985" s="15">
        <f t="shared" si="40"/>
        <v>9.2650000000000006</v>
      </c>
      <c r="L985" s="35"/>
    </row>
    <row r="986" spans="1:12" x14ac:dyDescent="0.3">
      <c r="A986" s="31">
        <f>COUNTIFS($B$2:B986,B986)</f>
        <v>7</v>
      </c>
      <c r="B986" s="26" t="s">
        <v>569</v>
      </c>
      <c r="C986" s="27">
        <v>200603680765001</v>
      </c>
      <c r="D986" s="26" t="s">
        <v>568</v>
      </c>
      <c r="E986" s="28">
        <v>3.55</v>
      </c>
      <c r="F986" s="9"/>
      <c r="G986" s="14" t="str">
        <f t="shared" si="42"/>
        <v>O</v>
      </c>
      <c r="H986" s="15">
        <f t="shared" si="40"/>
        <v>1.7749999999999999</v>
      </c>
      <c r="L986" s="35"/>
    </row>
    <row r="987" spans="1:12" x14ac:dyDescent="0.3">
      <c r="A987" s="31">
        <f>COUNTIFS($B$2:B987,B987)</f>
        <v>8</v>
      </c>
      <c r="B987" s="26" t="s">
        <v>569</v>
      </c>
      <c r="C987" s="27">
        <v>200603680765001</v>
      </c>
      <c r="D987" s="26" t="s">
        <v>205</v>
      </c>
      <c r="E987" s="28">
        <v>3.55</v>
      </c>
      <c r="F987" s="9"/>
      <c r="G987" s="14" t="str">
        <f t="shared" si="42"/>
        <v>O</v>
      </c>
      <c r="H987" s="15">
        <f t="shared" si="40"/>
        <v>1.7749999999999999</v>
      </c>
      <c r="L987" s="35"/>
    </row>
    <row r="988" spans="1:12" x14ac:dyDescent="0.3">
      <c r="A988" s="31">
        <f>COUNTIFS($B$2:B988,B988)</f>
        <v>9</v>
      </c>
      <c r="B988" s="26" t="s">
        <v>569</v>
      </c>
      <c r="C988" s="27">
        <v>200603680765001</v>
      </c>
      <c r="D988" s="26" t="s">
        <v>276</v>
      </c>
      <c r="E988" s="28">
        <v>3.55</v>
      </c>
      <c r="F988" s="9"/>
      <c r="G988" s="14" t="str">
        <f t="shared" si="42"/>
        <v>O</v>
      </c>
      <c r="H988" s="15">
        <f t="shared" si="40"/>
        <v>1.7749999999999999</v>
      </c>
      <c r="L988" s="35"/>
    </row>
    <row r="989" spans="1:12" x14ac:dyDescent="0.3">
      <c r="A989" s="31">
        <f>COUNTIFS($B$2:B989,B989)</f>
        <v>10</v>
      </c>
      <c r="B989" s="26" t="s">
        <v>569</v>
      </c>
      <c r="C989" s="27">
        <v>200603680765001</v>
      </c>
      <c r="D989" s="26" t="s">
        <v>223</v>
      </c>
      <c r="E989" s="28">
        <v>1.51</v>
      </c>
      <c r="F989" s="9"/>
      <c r="G989" s="14" t="str">
        <f t="shared" si="42"/>
        <v>O</v>
      </c>
      <c r="H989" s="15">
        <f t="shared" si="40"/>
        <v>0.755</v>
      </c>
      <c r="L989" s="35"/>
    </row>
    <row r="990" spans="1:12" x14ac:dyDescent="0.3">
      <c r="A990" s="31">
        <f>COUNTIFS($B$2:B990,B990)</f>
        <v>11</v>
      </c>
      <c r="B990" s="26" t="s">
        <v>569</v>
      </c>
      <c r="C990" s="27">
        <v>200603680765001</v>
      </c>
      <c r="D990" s="26" t="s">
        <v>164</v>
      </c>
      <c r="E990" s="28">
        <v>3.1</v>
      </c>
      <c r="F990" s="9"/>
      <c r="G990" s="14" t="str">
        <f t="shared" si="42"/>
        <v>O</v>
      </c>
      <c r="H990" s="15">
        <f t="shared" si="40"/>
        <v>1.55</v>
      </c>
      <c r="L990" s="35"/>
    </row>
    <row r="991" spans="1:12" x14ac:dyDescent="0.3">
      <c r="A991" s="31">
        <f>COUNTIFS($B$2:B991,B991)</f>
        <v>12</v>
      </c>
      <c r="B991" s="26" t="s">
        <v>569</v>
      </c>
      <c r="C991" s="27">
        <v>200603680765001</v>
      </c>
      <c r="D991" s="26" t="s">
        <v>228</v>
      </c>
      <c r="E991" s="28">
        <v>3.55</v>
      </c>
      <c r="F991" s="9"/>
      <c r="G991" s="14" t="str">
        <f t="shared" si="42"/>
        <v>O</v>
      </c>
      <c r="H991" s="15">
        <f t="shared" si="40"/>
        <v>1.7749999999999999</v>
      </c>
      <c r="L991" s="35"/>
    </row>
    <row r="992" spans="1:12" x14ac:dyDescent="0.3">
      <c r="A992" s="31">
        <f>COUNTIFS($B$2:B992,B992)</f>
        <v>13</v>
      </c>
      <c r="B992" s="26" t="s">
        <v>569</v>
      </c>
      <c r="C992" s="27">
        <v>200603680765001</v>
      </c>
      <c r="D992" s="26" t="s">
        <v>111</v>
      </c>
      <c r="E992" s="28">
        <v>7.09</v>
      </c>
      <c r="F992" s="9"/>
      <c r="G992" s="14" t="str">
        <f t="shared" si="42"/>
        <v>O</v>
      </c>
      <c r="H992" s="15">
        <f t="shared" si="40"/>
        <v>3.5449999999999999</v>
      </c>
      <c r="L992" s="35"/>
    </row>
    <row r="993" spans="1:12" x14ac:dyDescent="0.3">
      <c r="A993" s="31">
        <f>COUNTIFS($B$2:B993,B993)</f>
        <v>14</v>
      </c>
      <c r="B993" s="26" t="s">
        <v>569</v>
      </c>
      <c r="C993" s="27">
        <v>200603680765001</v>
      </c>
      <c r="D993" s="26" t="s">
        <v>114</v>
      </c>
      <c r="E993" s="28">
        <v>21.28</v>
      </c>
      <c r="F993" s="9"/>
      <c r="G993" s="14" t="str">
        <f t="shared" si="42"/>
        <v>O</v>
      </c>
      <c r="H993" s="15">
        <f t="shared" si="40"/>
        <v>10.64</v>
      </c>
      <c r="L993" s="35"/>
    </row>
    <row r="994" spans="1:12" x14ac:dyDescent="0.3">
      <c r="A994" s="31">
        <f>COUNTIFS($B$2:B994,B994)</f>
        <v>15</v>
      </c>
      <c r="B994" s="26" t="s">
        <v>569</v>
      </c>
      <c r="C994" s="27">
        <v>200603680765001</v>
      </c>
      <c r="D994" s="26" t="s">
        <v>116</v>
      </c>
      <c r="E994" s="28">
        <v>17.73</v>
      </c>
      <c r="F994" s="9"/>
      <c r="G994" s="14" t="str">
        <f t="shared" si="42"/>
        <v>O</v>
      </c>
      <c r="H994" s="15">
        <f t="shared" si="40"/>
        <v>8.8650000000000002</v>
      </c>
      <c r="L994" s="35"/>
    </row>
    <row r="995" spans="1:12" x14ac:dyDescent="0.3">
      <c r="A995" s="31">
        <f>COUNTIFS($B$2:B995,B995)</f>
        <v>16</v>
      </c>
      <c r="B995" s="26" t="s">
        <v>569</v>
      </c>
      <c r="C995" s="27">
        <v>200603680765001</v>
      </c>
      <c r="D995" s="26" t="s">
        <v>539</v>
      </c>
      <c r="E995" s="28">
        <v>30</v>
      </c>
      <c r="F995" s="9"/>
      <c r="G995" s="14" t="str">
        <f t="shared" si="42"/>
        <v>O</v>
      </c>
      <c r="H995" s="15">
        <f t="shared" si="40"/>
        <v>15</v>
      </c>
      <c r="L995" s="35"/>
    </row>
    <row r="996" spans="1:12" x14ac:dyDescent="0.3">
      <c r="A996" s="31">
        <v>17</v>
      </c>
      <c r="B996" s="26" t="s">
        <v>569</v>
      </c>
      <c r="C996" s="27">
        <v>200603680765001</v>
      </c>
      <c r="D996" s="26" t="s">
        <v>12</v>
      </c>
      <c r="E996" s="28">
        <v>5.28</v>
      </c>
      <c r="F996" s="9"/>
      <c r="G996" s="14"/>
      <c r="H996" s="15">
        <f t="shared" si="40"/>
        <v>2.64</v>
      </c>
      <c r="L996" s="35"/>
    </row>
    <row r="997" spans="1:12" x14ac:dyDescent="0.3">
      <c r="A997" s="31">
        <f>COUNTIFS($B$2:B997,B997)</f>
        <v>1</v>
      </c>
      <c r="B997" s="26" t="s">
        <v>245</v>
      </c>
      <c r="C997" s="27">
        <v>20060368076501</v>
      </c>
      <c r="D997" s="26" t="s">
        <v>284</v>
      </c>
      <c r="E997" s="28">
        <v>124.8</v>
      </c>
      <c r="F997" s="9"/>
      <c r="G997" s="14" t="str">
        <f t="shared" ref="G997:G1037" si="43">IF(D997="","",IF(COUNTIF(I:I,D997)&gt;0,"O","X"))</f>
        <v>O</v>
      </c>
      <c r="H997" s="15">
        <f t="shared" si="40"/>
        <v>62.4</v>
      </c>
      <c r="L997" s="35"/>
    </row>
    <row r="998" spans="1:12" x14ac:dyDescent="0.3">
      <c r="A998" s="31">
        <f>COUNTIFS($B$2:B998,B998)</f>
        <v>2</v>
      </c>
      <c r="B998" s="26" t="s">
        <v>245</v>
      </c>
      <c r="C998" s="27">
        <v>20060368076501</v>
      </c>
      <c r="D998" s="26" t="s">
        <v>206</v>
      </c>
      <c r="E998" s="28">
        <v>13.9</v>
      </c>
      <c r="F998" s="9"/>
      <c r="G998" s="14" t="str">
        <f t="shared" si="43"/>
        <v>O</v>
      </c>
      <c r="H998" s="15">
        <f t="shared" si="40"/>
        <v>6.95</v>
      </c>
      <c r="L998" s="35"/>
    </row>
    <row r="999" spans="1:12" x14ac:dyDescent="0.3">
      <c r="A999" s="31">
        <f>COUNTIFS($B$2:B999,B999)</f>
        <v>3</v>
      </c>
      <c r="B999" s="26" t="s">
        <v>245</v>
      </c>
      <c r="C999" s="27">
        <v>20060368076501</v>
      </c>
      <c r="D999" s="26" t="s">
        <v>157</v>
      </c>
      <c r="E999" s="28">
        <v>22.2</v>
      </c>
      <c r="F999" s="9"/>
      <c r="G999" s="14" t="str">
        <f t="shared" si="43"/>
        <v>O</v>
      </c>
      <c r="H999" s="15">
        <f t="shared" si="40"/>
        <v>11.1</v>
      </c>
      <c r="L999" s="35"/>
    </row>
    <row r="1000" spans="1:12" x14ac:dyDescent="0.3">
      <c r="A1000" s="31">
        <f>COUNTIFS($B$2:B1000,B1000)</f>
        <v>4</v>
      </c>
      <c r="B1000" s="26" t="s">
        <v>245</v>
      </c>
      <c r="C1000" s="27">
        <v>20060368076501</v>
      </c>
      <c r="D1000" s="26" t="s">
        <v>418</v>
      </c>
      <c r="E1000" s="28">
        <v>2.8</v>
      </c>
      <c r="F1000" s="9"/>
      <c r="G1000" s="14" t="str">
        <f t="shared" si="43"/>
        <v>O</v>
      </c>
      <c r="H1000" s="15">
        <f t="shared" si="40"/>
        <v>1.4</v>
      </c>
      <c r="L1000" s="35"/>
    </row>
    <row r="1001" spans="1:12" x14ac:dyDescent="0.3">
      <c r="A1001" s="31">
        <f>COUNTIFS($B$2:B1001,B1001)</f>
        <v>5</v>
      </c>
      <c r="B1001" s="26" t="s">
        <v>245</v>
      </c>
      <c r="C1001" s="27">
        <v>20060368076501</v>
      </c>
      <c r="D1001" s="26" t="s">
        <v>488</v>
      </c>
      <c r="E1001" s="28">
        <v>22.2</v>
      </c>
      <c r="F1001" s="9"/>
      <c r="G1001" s="14" t="str">
        <f t="shared" si="43"/>
        <v>O</v>
      </c>
      <c r="H1001" s="15">
        <f t="shared" si="40"/>
        <v>11.1</v>
      </c>
      <c r="L1001" s="35"/>
    </row>
    <row r="1002" spans="1:12" x14ac:dyDescent="0.3">
      <c r="A1002" s="31">
        <f>COUNTIFS($B$2:B1002,B1002)</f>
        <v>6</v>
      </c>
      <c r="B1002" s="26" t="s">
        <v>245</v>
      </c>
      <c r="C1002" s="27">
        <v>20060368076501</v>
      </c>
      <c r="D1002" s="26" t="s">
        <v>48</v>
      </c>
      <c r="E1002" s="28">
        <v>8.3000000000000007</v>
      </c>
      <c r="F1002" s="9"/>
      <c r="G1002" s="14" t="str">
        <f t="shared" si="43"/>
        <v>O</v>
      </c>
      <c r="H1002" s="15">
        <f t="shared" si="40"/>
        <v>4.1500000000000004</v>
      </c>
      <c r="L1002" s="35"/>
    </row>
    <row r="1003" spans="1:12" x14ac:dyDescent="0.3">
      <c r="A1003" s="31">
        <f>COUNTIFS($B$2:B1003,B1003)</f>
        <v>7</v>
      </c>
      <c r="B1003" s="26" t="s">
        <v>245</v>
      </c>
      <c r="C1003" s="27">
        <v>20060368076501</v>
      </c>
      <c r="D1003" s="26" t="s">
        <v>536</v>
      </c>
      <c r="E1003" s="28">
        <v>2.8</v>
      </c>
      <c r="F1003" s="9"/>
      <c r="G1003" s="14" t="str">
        <f t="shared" si="43"/>
        <v>O</v>
      </c>
      <c r="H1003" s="15">
        <f t="shared" si="40"/>
        <v>1.4</v>
      </c>
      <c r="L1003" s="35"/>
    </row>
    <row r="1004" spans="1:12" x14ac:dyDescent="0.3">
      <c r="A1004" s="31">
        <f>COUNTIFS($B$2:B1004,B1004)</f>
        <v>8</v>
      </c>
      <c r="B1004" s="26" t="s">
        <v>245</v>
      </c>
      <c r="C1004" s="27">
        <v>20060368076501</v>
      </c>
      <c r="D1004" s="26" t="s">
        <v>537</v>
      </c>
      <c r="E1004" s="28">
        <v>4.4000000000000004</v>
      </c>
      <c r="F1004" s="9"/>
      <c r="G1004" s="14" t="str">
        <f t="shared" si="43"/>
        <v>O</v>
      </c>
      <c r="H1004" s="15">
        <f t="shared" si="40"/>
        <v>2.2000000000000002</v>
      </c>
      <c r="L1004" s="35"/>
    </row>
    <row r="1005" spans="1:12" x14ac:dyDescent="0.3">
      <c r="A1005" s="31">
        <f>COUNTIFS($B$2:B1005,B1005)</f>
        <v>9</v>
      </c>
      <c r="B1005" s="26" t="s">
        <v>245</v>
      </c>
      <c r="C1005" s="27">
        <v>20060368076501</v>
      </c>
      <c r="D1005" s="26" t="s">
        <v>538</v>
      </c>
      <c r="E1005" s="28">
        <v>2.9</v>
      </c>
      <c r="F1005" s="9"/>
      <c r="G1005" s="14" t="str">
        <f t="shared" si="43"/>
        <v>O</v>
      </c>
      <c r="H1005" s="15">
        <f t="shared" si="40"/>
        <v>1.45</v>
      </c>
      <c r="L1005" s="35"/>
    </row>
    <row r="1006" spans="1:12" x14ac:dyDescent="0.3">
      <c r="A1006" s="31">
        <f>COUNTIFS($B$2:B1006,B1006)</f>
        <v>10</v>
      </c>
      <c r="B1006" s="26" t="s">
        <v>245</v>
      </c>
      <c r="C1006" s="27">
        <v>20060368076501</v>
      </c>
      <c r="D1006" s="26" t="s">
        <v>495</v>
      </c>
      <c r="E1006" s="28">
        <v>27.7</v>
      </c>
      <c r="F1006" s="9"/>
      <c r="G1006" s="14" t="str">
        <f t="shared" si="43"/>
        <v>O</v>
      </c>
      <c r="H1006" s="15">
        <f t="shared" si="40"/>
        <v>13.85</v>
      </c>
      <c r="L1006" s="35"/>
    </row>
    <row r="1007" spans="1:12" x14ac:dyDescent="0.3">
      <c r="A1007" s="31">
        <f>COUNTIFS($B$2:B1007,B1007)</f>
        <v>11</v>
      </c>
      <c r="B1007" s="26" t="s">
        <v>245</v>
      </c>
      <c r="C1007" s="27">
        <v>20060368076501</v>
      </c>
      <c r="D1007" s="26" t="s">
        <v>489</v>
      </c>
      <c r="E1007" s="28">
        <v>4.9000000000000004</v>
      </c>
      <c r="F1007" s="9"/>
      <c r="G1007" s="14" t="str">
        <f t="shared" si="43"/>
        <v>O</v>
      </c>
      <c r="H1007" s="15">
        <f t="shared" si="40"/>
        <v>2.4500000000000002</v>
      </c>
      <c r="L1007" s="35"/>
    </row>
    <row r="1008" spans="1:12" x14ac:dyDescent="0.3">
      <c r="A1008" s="31">
        <f>COUNTIFS($B$2:B1008,B1008)</f>
        <v>12</v>
      </c>
      <c r="B1008" s="26" t="s">
        <v>245</v>
      </c>
      <c r="C1008" s="27">
        <v>20060368076501</v>
      </c>
      <c r="D1008" s="26" t="s">
        <v>218</v>
      </c>
      <c r="E1008" s="28">
        <v>0.58626318211884731</v>
      </c>
      <c r="F1008" s="9"/>
      <c r="G1008" s="14" t="str">
        <f t="shared" si="43"/>
        <v>O</v>
      </c>
      <c r="H1008" s="15">
        <f t="shared" si="40"/>
        <v>0.29313159105942366</v>
      </c>
      <c r="L1008" s="35"/>
    </row>
    <row r="1009" spans="1:12" x14ac:dyDescent="0.3">
      <c r="A1009" s="31">
        <f>COUNTIFS($B$2:B1009,B1009)</f>
        <v>13</v>
      </c>
      <c r="B1009" s="26" t="s">
        <v>245</v>
      </c>
      <c r="C1009" s="27">
        <v>20060368076501</v>
      </c>
      <c r="D1009" s="26" t="s">
        <v>490</v>
      </c>
      <c r="E1009" s="28">
        <v>22.2</v>
      </c>
      <c r="F1009" s="9"/>
      <c r="G1009" s="14" t="str">
        <f t="shared" si="43"/>
        <v>O</v>
      </c>
      <c r="H1009" s="15">
        <f t="shared" si="40"/>
        <v>11.1</v>
      </c>
      <c r="L1009" s="35"/>
    </row>
    <row r="1010" spans="1:12" x14ac:dyDescent="0.3">
      <c r="A1010" s="31">
        <f>COUNTIFS($B$2:B1010,B1010)</f>
        <v>14</v>
      </c>
      <c r="B1010" s="26" t="s">
        <v>245</v>
      </c>
      <c r="C1010" s="27">
        <v>20060368076501</v>
      </c>
      <c r="D1010" s="26" t="s">
        <v>114</v>
      </c>
      <c r="E1010" s="28">
        <v>27.7</v>
      </c>
      <c r="F1010" s="9"/>
      <c r="G1010" s="14" t="str">
        <f t="shared" si="43"/>
        <v>O</v>
      </c>
      <c r="H1010" s="15">
        <f t="shared" si="40"/>
        <v>13.85</v>
      </c>
      <c r="L1010" s="35"/>
    </row>
    <row r="1011" spans="1:12" x14ac:dyDescent="0.3">
      <c r="A1011" s="31">
        <f>COUNTIFS($B$2:B1011,B1011)</f>
        <v>15</v>
      </c>
      <c r="B1011" s="26" t="s">
        <v>245</v>
      </c>
      <c r="C1011" s="27">
        <v>20060368076501</v>
      </c>
      <c r="D1011" s="26" t="s">
        <v>421</v>
      </c>
      <c r="E1011" s="28">
        <v>27.7</v>
      </c>
      <c r="F1011" s="9"/>
      <c r="G1011" s="14" t="str">
        <f t="shared" si="43"/>
        <v>O</v>
      </c>
      <c r="H1011" s="15">
        <f t="shared" si="40"/>
        <v>13.85</v>
      </c>
      <c r="L1011" s="35"/>
    </row>
    <row r="1012" spans="1:12" x14ac:dyDescent="0.3">
      <c r="A1012" s="31">
        <f>COUNTIFS($B$2:B1012,B1012)</f>
        <v>1</v>
      </c>
      <c r="B1012" s="26" t="s">
        <v>247</v>
      </c>
      <c r="C1012" s="27">
        <v>20060368076502</v>
      </c>
      <c r="D1012" s="26" t="s">
        <v>284</v>
      </c>
      <c r="E1012" s="28">
        <v>81.465517241379331</v>
      </c>
      <c r="F1012" s="9"/>
      <c r="G1012" s="14" t="str">
        <f t="shared" si="43"/>
        <v>O</v>
      </c>
      <c r="H1012" s="15">
        <f t="shared" si="40"/>
        <v>40.732758620689665</v>
      </c>
      <c r="L1012" s="35"/>
    </row>
    <row r="1013" spans="1:12" x14ac:dyDescent="0.3">
      <c r="A1013" s="31">
        <f>COUNTIFS($B$2:B1013,B1013)</f>
        <v>2</v>
      </c>
      <c r="B1013" s="26" t="s">
        <v>247</v>
      </c>
      <c r="C1013" s="27">
        <v>20060368076502</v>
      </c>
      <c r="D1013" s="26" t="s">
        <v>206</v>
      </c>
      <c r="E1013" s="28">
        <v>9.0517241379310356</v>
      </c>
      <c r="F1013" s="9"/>
      <c r="G1013" s="14" t="str">
        <f t="shared" si="43"/>
        <v>O</v>
      </c>
      <c r="H1013" s="15">
        <f t="shared" ref="H1013:H1076" si="44">E1013/2</f>
        <v>4.5258620689655178</v>
      </c>
      <c r="L1013" s="35"/>
    </row>
    <row r="1014" spans="1:12" x14ac:dyDescent="0.3">
      <c r="A1014" s="31">
        <f>COUNTIFS($B$2:B1014,B1014)</f>
        <v>3</v>
      </c>
      <c r="B1014" s="26" t="s">
        <v>247</v>
      </c>
      <c r="C1014" s="27">
        <v>20060368076502</v>
      </c>
      <c r="D1014" s="26" t="s">
        <v>157</v>
      </c>
      <c r="E1014" s="28">
        <v>14.482758620689657</v>
      </c>
      <c r="F1014" s="9"/>
      <c r="G1014" s="14" t="str">
        <f t="shared" si="43"/>
        <v>O</v>
      </c>
      <c r="H1014" s="15">
        <f t="shared" si="44"/>
        <v>7.2413793103448283</v>
      </c>
      <c r="L1014" s="35"/>
    </row>
    <row r="1015" spans="1:12" x14ac:dyDescent="0.3">
      <c r="A1015" s="31">
        <f>COUNTIFS($B$2:B1015,B1015)</f>
        <v>4</v>
      </c>
      <c r="B1015" s="26" t="s">
        <v>247</v>
      </c>
      <c r="C1015" s="27">
        <v>20060368076502</v>
      </c>
      <c r="D1015" s="26" t="s">
        <v>418</v>
      </c>
      <c r="E1015" s="28">
        <v>1.710775862068969</v>
      </c>
      <c r="F1015" s="9"/>
      <c r="G1015" s="14" t="str">
        <f t="shared" si="43"/>
        <v>O</v>
      </c>
      <c r="H1015" s="15">
        <f t="shared" si="44"/>
        <v>0.85538793103448452</v>
      </c>
      <c r="L1015" s="35"/>
    </row>
    <row r="1016" spans="1:12" x14ac:dyDescent="0.3">
      <c r="A1016" s="31">
        <f>COUNTIFS($B$2:B1016,B1016)</f>
        <v>5</v>
      </c>
      <c r="B1016" s="26" t="s">
        <v>247</v>
      </c>
      <c r="C1016" s="27">
        <v>20060368076502</v>
      </c>
      <c r="D1016" s="26" t="s">
        <v>488</v>
      </c>
      <c r="E1016" s="28">
        <v>14.482758620689657</v>
      </c>
      <c r="F1016" s="9"/>
      <c r="G1016" s="14" t="str">
        <f t="shared" si="43"/>
        <v>O</v>
      </c>
      <c r="H1016" s="15">
        <f t="shared" si="44"/>
        <v>7.2413793103448283</v>
      </c>
      <c r="L1016" s="35"/>
    </row>
    <row r="1017" spans="1:12" x14ac:dyDescent="0.3">
      <c r="A1017" s="31">
        <f>COUNTIFS($B$2:B1017,B1017)</f>
        <v>6</v>
      </c>
      <c r="B1017" s="26" t="s">
        <v>247</v>
      </c>
      <c r="C1017" s="27">
        <v>20060368076502</v>
      </c>
      <c r="D1017" s="26" t="s">
        <v>570</v>
      </c>
      <c r="E1017" s="28">
        <v>5.4310344827586219</v>
      </c>
      <c r="F1017" s="9"/>
      <c r="G1017" s="14" t="str">
        <f t="shared" si="43"/>
        <v>O</v>
      </c>
      <c r="H1017" s="15">
        <f t="shared" si="44"/>
        <v>2.7155172413793109</v>
      </c>
      <c r="L1017" s="35"/>
    </row>
    <row r="1018" spans="1:12" x14ac:dyDescent="0.3">
      <c r="A1018" s="31">
        <f>COUNTIFS($B$2:B1018,B1018)</f>
        <v>7</v>
      </c>
      <c r="B1018" s="26" t="s">
        <v>247</v>
      </c>
      <c r="C1018" s="27">
        <v>20060368076502</v>
      </c>
      <c r="D1018" s="26" t="s">
        <v>536</v>
      </c>
      <c r="E1018" s="28">
        <v>1.8103448275862071</v>
      </c>
      <c r="F1018" s="9"/>
      <c r="G1018" s="14" t="str">
        <f t="shared" si="43"/>
        <v>O</v>
      </c>
      <c r="H1018" s="15">
        <f t="shared" si="44"/>
        <v>0.90517241379310354</v>
      </c>
      <c r="L1018" s="35"/>
    </row>
    <row r="1019" spans="1:12" x14ac:dyDescent="0.3">
      <c r="A1019" s="31">
        <f>COUNTIFS($B$2:B1019,B1019)</f>
        <v>8</v>
      </c>
      <c r="B1019" s="26" t="s">
        <v>247</v>
      </c>
      <c r="C1019" s="27">
        <v>20060368076502</v>
      </c>
      <c r="D1019" s="26" t="s">
        <v>223</v>
      </c>
      <c r="E1019" s="28">
        <v>1.9137931034482762</v>
      </c>
      <c r="F1019" s="9"/>
      <c r="G1019" s="14" t="str">
        <f t="shared" si="43"/>
        <v>O</v>
      </c>
      <c r="H1019" s="15">
        <f t="shared" si="44"/>
        <v>0.95689655172413812</v>
      </c>
      <c r="L1019" s="35"/>
    </row>
    <row r="1020" spans="1:12" x14ac:dyDescent="0.3">
      <c r="A1020" s="31">
        <f>COUNTIFS($B$2:B1020,B1020)</f>
        <v>9</v>
      </c>
      <c r="B1020" s="26" t="s">
        <v>247</v>
      </c>
      <c r="C1020" s="27">
        <v>20060368076502</v>
      </c>
      <c r="D1020" s="26" t="s">
        <v>429</v>
      </c>
      <c r="E1020" s="28">
        <v>19.137931034482762</v>
      </c>
      <c r="F1020" s="9"/>
      <c r="G1020" s="14" t="str">
        <f t="shared" si="43"/>
        <v>O</v>
      </c>
      <c r="H1020" s="15">
        <f t="shared" si="44"/>
        <v>9.5689655172413808</v>
      </c>
      <c r="L1020" s="35"/>
    </row>
    <row r="1021" spans="1:12" x14ac:dyDescent="0.3">
      <c r="A1021" s="31">
        <f>COUNTIFS($B$2:B1021,B1021)</f>
        <v>10</v>
      </c>
      <c r="B1021" s="26" t="s">
        <v>247</v>
      </c>
      <c r="C1021" s="27">
        <v>20060368076502</v>
      </c>
      <c r="D1021" s="26" t="s">
        <v>495</v>
      </c>
      <c r="E1021" s="28">
        <v>18.103448275862053</v>
      </c>
      <c r="F1021" s="9"/>
      <c r="G1021" s="14" t="str">
        <f t="shared" si="43"/>
        <v>O</v>
      </c>
      <c r="H1021" s="15">
        <f t="shared" si="44"/>
        <v>9.0517241379310267</v>
      </c>
      <c r="L1021" s="35"/>
    </row>
    <row r="1022" spans="1:12" x14ac:dyDescent="0.3">
      <c r="A1022" s="31">
        <f>COUNTIFS($B$2:B1022,B1022)</f>
        <v>11</v>
      </c>
      <c r="B1022" s="26" t="s">
        <v>247</v>
      </c>
      <c r="C1022" s="27">
        <v>20060368076502</v>
      </c>
      <c r="D1022" s="26" t="s">
        <v>489</v>
      </c>
      <c r="E1022" s="28">
        <v>3.1681034482758625</v>
      </c>
      <c r="F1022" s="9"/>
      <c r="G1022" s="14" t="str">
        <f t="shared" si="43"/>
        <v>O</v>
      </c>
      <c r="H1022" s="15">
        <f t="shared" si="44"/>
        <v>1.5840517241379313</v>
      </c>
      <c r="L1022" s="35"/>
    </row>
    <row r="1023" spans="1:12" x14ac:dyDescent="0.3">
      <c r="A1023" s="31">
        <f>COUNTIFS($B$2:B1023,B1023)</f>
        <v>12</v>
      </c>
      <c r="B1023" s="26" t="s">
        <v>247</v>
      </c>
      <c r="C1023" s="27">
        <v>20060368076502</v>
      </c>
      <c r="D1023" s="26" t="s">
        <v>218</v>
      </c>
      <c r="E1023" s="28">
        <v>0.36206896551724144</v>
      </c>
      <c r="F1023" s="9"/>
      <c r="G1023" s="14" t="str">
        <f t="shared" si="43"/>
        <v>O</v>
      </c>
      <c r="H1023" s="15">
        <f t="shared" si="44"/>
        <v>0.18103448275862072</v>
      </c>
      <c r="L1023" s="35"/>
    </row>
    <row r="1024" spans="1:12" x14ac:dyDescent="0.3">
      <c r="A1024" s="31">
        <f>COUNTIFS($B$2:B1024,B1024)</f>
        <v>13</v>
      </c>
      <c r="B1024" s="26" t="s">
        <v>247</v>
      </c>
      <c r="C1024" s="27">
        <v>20060368076502</v>
      </c>
      <c r="D1024" s="26" t="s">
        <v>490</v>
      </c>
      <c r="E1024" s="28">
        <v>14.482758620689657</v>
      </c>
      <c r="F1024" s="9"/>
      <c r="G1024" s="14" t="str">
        <f t="shared" si="43"/>
        <v>O</v>
      </c>
      <c r="H1024" s="15">
        <f t="shared" si="44"/>
        <v>7.2413793103448283</v>
      </c>
      <c r="L1024" s="35"/>
    </row>
    <row r="1025" spans="1:12" x14ac:dyDescent="0.3">
      <c r="A1025" s="31">
        <f>COUNTIFS($B$2:B1025,B1025)</f>
        <v>14</v>
      </c>
      <c r="B1025" s="26" t="s">
        <v>247</v>
      </c>
      <c r="C1025" s="27">
        <v>20060368076502</v>
      </c>
      <c r="D1025" s="26" t="s">
        <v>114</v>
      </c>
      <c r="E1025" s="28">
        <v>18.103448275862071</v>
      </c>
      <c r="F1025" s="9"/>
      <c r="G1025" s="14" t="str">
        <f t="shared" si="43"/>
        <v>O</v>
      </c>
      <c r="H1025" s="15">
        <f t="shared" si="44"/>
        <v>9.0517241379310356</v>
      </c>
      <c r="L1025" s="35"/>
    </row>
    <row r="1026" spans="1:12" x14ac:dyDescent="0.3">
      <c r="A1026" s="31">
        <f>COUNTIFS($B$2:B1026,B1026)</f>
        <v>15</v>
      </c>
      <c r="B1026" s="26" t="s">
        <v>247</v>
      </c>
      <c r="C1026" s="27">
        <v>20060368076502</v>
      </c>
      <c r="D1026" s="26" t="s">
        <v>421</v>
      </c>
      <c r="E1026" s="28">
        <v>18.103448275862071</v>
      </c>
      <c r="F1026" s="9"/>
      <c r="G1026" s="14" t="str">
        <f t="shared" si="43"/>
        <v>O</v>
      </c>
      <c r="H1026" s="15">
        <f t="shared" si="44"/>
        <v>9.0517241379310356</v>
      </c>
      <c r="L1026" s="35"/>
    </row>
    <row r="1027" spans="1:12" x14ac:dyDescent="0.3">
      <c r="A1027" s="31">
        <f>COUNTIFS($B$2:B1027,B1027)</f>
        <v>16</v>
      </c>
      <c r="B1027" s="26" t="s">
        <v>247</v>
      </c>
      <c r="C1027" s="27">
        <v>20060368076502</v>
      </c>
      <c r="D1027" s="26" t="s">
        <v>571</v>
      </c>
      <c r="E1027" s="28">
        <v>10</v>
      </c>
      <c r="F1027" s="9"/>
      <c r="G1027" s="14" t="str">
        <f t="shared" si="43"/>
        <v>O</v>
      </c>
      <c r="H1027" s="15">
        <f t="shared" si="44"/>
        <v>5</v>
      </c>
      <c r="L1027" s="35"/>
    </row>
    <row r="1028" spans="1:12" x14ac:dyDescent="0.3">
      <c r="A1028" s="31">
        <f>COUNTIFS($B$2:B1028,B1028)</f>
        <v>17</v>
      </c>
      <c r="B1028" s="26" t="s">
        <v>247</v>
      </c>
      <c r="C1028" s="27">
        <v>20060368076502</v>
      </c>
      <c r="D1028" s="26" t="s">
        <v>572</v>
      </c>
      <c r="E1028" s="28">
        <v>30</v>
      </c>
      <c r="F1028" s="9"/>
      <c r="G1028" s="14" t="str">
        <f t="shared" si="43"/>
        <v>O</v>
      </c>
      <c r="H1028" s="15">
        <f t="shared" si="44"/>
        <v>15</v>
      </c>
      <c r="L1028" s="35"/>
    </row>
    <row r="1029" spans="1:12" x14ac:dyDescent="0.3">
      <c r="A1029" s="31">
        <f>COUNTIFS($B$2:B1029,B1029)</f>
        <v>18</v>
      </c>
      <c r="B1029" s="26" t="s">
        <v>247</v>
      </c>
      <c r="C1029" s="27">
        <v>20060368076502</v>
      </c>
      <c r="D1029" s="26" t="s">
        <v>539</v>
      </c>
      <c r="E1029" s="28">
        <v>20</v>
      </c>
      <c r="F1029" s="9"/>
      <c r="G1029" s="14" t="str">
        <f t="shared" si="43"/>
        <v>O</v>
      </c>
      <c r="H1029" s="15">
        <f t="shared" si="44"/>
        <v>10</v>
      </c>
      <c r="L1029" s="35"/>
    </row>
    <row r="1030" spans="1:12" x14ac:dyDescent="0.3">
      <c r="A1030" s="31">
        <f>COUNTIFS($B$2:B1030,B1030)</f>
        <v>1</v>
      </c>
      <c r="B1030" s="26" t="s">
        <v>249</v>
      </c>
      <c r="C1030" s="27">
        <v>20060368076503</v>
      </c>
      <c r="D1030" s="26" t="s">
        <v>284</v>
      </c>
      <c r="E1030" s="28">
        <v>95.890410958904098</v>
      </c>
      <c r="F1030" s="9"/>
      <c r="G1030" s="14" t="str">
        <f t="shared" si="43"/>
        <v>O</v>
      </c>
      <c r="H1030" s="15">
        <f t="shared" si="44"/>
        <v>47.945205479452049</v>
      </c>
      <c r="L1030" s="35"/>
    </row>
    <row r="1031" spans="1:12" x14ac:dyDescent="0.3">
      <c r="A1031" s="31">
        <f>COUNTIFS($B$2:B1031,B1031)</f>
        <v>2</v>
      </c>
      <c r="B1031" s="26" t="s">
        <v>249</v>
      </c>
      <c r="C1031" s="27">
        <v>20060368076503</v>
      </c>
      <c r="D1031" s="26" t="s">
        <v>463</v>
      </c>
      <c r="E1031" s="28">
        <v>13.698630136986301</v>
      </c>
      <c r="F1031" s="9"/>
      <c r="G1031" s="14" t="str">
        <f t="shared" si="43"/>
        <v>O</v>
      </c>
      <c r="H1031" s="15">
        <f t="shared" si="44"/>
        <v>6.8493150684931505</v>
      </c>
      <c r="L1031" s="35"/>
    </row>
    <row r="1032" spans="1:12" x14ac:dyDescent="0.3">
      <c r="A1032" s="31">
        <f>COUNTIFS($B$2:B1032,B1032)</f>
        <v>3</v>
      </c>
      <c r="B1032" s="26" t="s">
        <v>249</v>
      </c>
      <c r="C1032" s="27">
        <v>20060368076503</v>
      </c>
      <c r="D1032" s="26" t="s">
        <v>553</v>
      </c>
      <c r="E1032" s="28">
        <v>27.397260273972602</v>
      </c>
      <c r="F1032" s="9"/>
      <c r="G1032" s="14" t="str">
        <f t="shared" si="43"/>
        <v>O</v>
      </c>
      <c r="H1032" s="15">
        <f t="shared" si="44"/>
        <v>13.698630136986301</v>
      </c>
      <c r="L1032" s="35"/>
    </row>
    <row r="1033" spans="1:12" x14ac:dyDescent="0.3">
      <c r="A1033" s="31">
        <f>COUNTIFS($B$2:B1033,B1033)</f>
        <v>4</v>
      </c>
      <c r="B1033" s="26" t="s">
        <v>249</v>
      </c>
      <c r="C1033" s="27">
        <v>20060368076503</v>
      </c>
      <c r="D1033" s="26" t="s">
        <v>418</v>
      </c>
      <c r="E1033" s="28">
        <v>2.7123287671232879</v>
      </c>
      <c r="F1033" s="9"/>
      <c r="G1033" s="14" t="str">
        <f t="shared" si="43"/>
        <v>O</v>
      </c>
      <c r="H1033" s="15">
        <f t="shared" si="44"/>
        <v>1.3561643835616439</v>
      </c>
      <c r="L1033" s="35"/>
    </row>
    <row r="1034" spans="1:12" x14ac:dyDescent="0.3">
      <c r="A1034" s="31">
        <f>COUNTIFS($B$2:B1034,B1034)</f>
        <v>5</v>
      </c>
      <c r="B1034" s="26" t="s">
        <v>249</v>
      </c>
      <c r="C1034" s="27">
        <v>20060368076503</v>
      </c>
      <c r="D1034" s="26" t="s">
        <v>32</v>
      </c>
      <c r="E1034" s="28">
        <v>6.3926940639269407</v>
      </c>
      <c r="F1034" s="9"/>
      <c r="G1034" s="14" t="str">
        <f t="shared" si="43"/>
        <v>O</v>
      </c>
      <c r="H1034" s="15">
        <f t="shared" si="44"/>
        <v>3.1963470319634704</v>
      </c>
      <c r="L1034" s="35"/>
    </row>
    <row r="1035" spans="1:12" x14ac:dyDescent="0.3">
      <c r="A1035" s="31">
        <f>COUNTIFS($B$2:B1035,B1035)</f>
        <v>6</v>
      </c>
      <c r="B1035" s="26" t="s">
        <v>249</v>
      </c>
      <c r="C1035" s="27">
        <v>20060368076503</v>
      </c>
      <c r="D1035" s="26" t="s">
        <v>33</v>
      </c>
      <c r="E1035" s="28">
        <v>31.05022831050228</v>
      </c>
      <c r="F1035" s="9"/>
      <c r="G1035" s="14" t="str">
        <f t="shared" si="43"/>
        <v>O</v>
      </c>
      <c r="H1035" s="15">
        <f t="shared" si="44"/>
        <v>15.52511415525114</v>
      </c>
      <c r="L1035" s="35"/>
    </row>
    <row r="1036" spans="1:12" x14ac:dyDescent="0.3">
      <c r="A1036" s="31">
        <f>COUNTIFS($B$2:B1036,B1036)</f>
        <v>7</v>
      </c>
      <c r="B1036" s="26" t="s">
        <v>249</v>
      </c>
      <c r="C1036" s="27">
        <v>20060368076503</v>
      </c>
      <c r="D1036" s="26" t="s">
        <v>272</v>
      </c>
      <c r="E1036" s="28">
        <v>52.785388127853878</v>
      </c>
      <c r="F1036" s="9"/>
      <c r="G1036" s="14" t="str">
        <f t="shared" si="43"/>
        <v>O</v>
      </c>
      <c r="H1036" s="15">
        <f t="shared" si="44"/>
        <v>26.392694063926939</v>
      </c>
      <c r="L1036" s="35"/>
    </row>
    <row r="1037" spans="1:12" x14ac:dyDescent="0.3">
      <c r="A1037" s="31">
        <f>COUNTIFS($B$2:B1037,B1037)</f>
        <v>8</v>
      </c>
      <c r="B1037" s="26" t="s">
        <v>249</v>
      </c>
      <c r="C1037" s="27">
        <v>20060368076503</v>
      </c>
      <c r="D1037" s="26" t="s">
        <v>164</v>
      </c>
      <c r="E1037" s="28">
        <v>0.68493150684931503</v>
      </c>
      <c r="F1037" s="9"/>
      <c r="G1037" s="14" t="str">
        <f t="shared" si="43"/>
        <v>O</v>
      </c>
      <c r="H1037" s="15">
        <f t="shared" si="44"/>
        <v>0.34246575342465752</v>
      </c>
      <c r="L1037" s="35"/>
    </row>
    <row r="1038" spans="1:12" x14ac:dyDescent="0.3">
      <c r="A1038" s="31">
        <f>COUNTIFS($B$2:B1038,B1038)</f>
        <v>9</v>
      </c>
      <c r="B1038" s="26" t="s">
        <v>249</v>
      </c>
      <c r="C1038" s="27">
        <v>20060368076503</v>
      </c>
      <c r="D1038" s="26" t="s">
        <v>554</v>
      </c>
      <c r="E1038" s="28">
        <v>41.095890410958901</v>
      </c>
      <c r="F1038" s="9"/>
      <c r="G1038" s="14"/>
      <c r="H1038" s="15">
        <f t="shared" si="44"/>
        <v>20.547945205479451</v>
      </c>
      <c r="L1038" s="35"/>
    </row>
    <row r="1039" spans="1:12" x14ac:dyDescent="0.3">
      <c r="A1039" s="31">
        <f>COUNTIFS($B$2:B1039,B1039)</f>
        <v>10</v>
      </c>
      <c r="B1039" s="26" t="s">
        <v>249</v>
      </c>
      <c r="C1039" s="27">
        <v>20060368076503</v>
      </c>
      <c r="D1039" s="26" t="s">
        <v>114</v>
      </c>
      <c r="E1039" s="28">
        <v>93.607305936073061</v>
      </c>
      <c r="F1039" s="9"/>
      <c r="G1039" s="14"/>
      <c r="H1039" s="15">
        <f t="shared" si="44"/>
        <v>46.803652968036531</v>
      </c>
      <c r="L1039" s="35"/>
    </row>
    <row r="1040" spans="1:12" x14ac:dyDescent="0.3">
      <c r="A1040" s="31">
        <f>COUNTIFS($B$2:B1040,B1040)</f>
        <v>11</v>
      </c>
      <c r="B1040" s="26" t="s">
        <v>249</v>
      </c>
      <c r="C1040" s="27">
        <v>20060368076503</v>
      </c>
      <c r="D1040" s="26" t="s">
        <v>218</v>
      </c>
      <c r="E1040" s="28">
        <v>0.68493150684931503</v>
      </c>
      <c r="F1040" s="9"/>
      <c r="G1040" s="14"/>
      <c r="H1040" s="15">
        <f t="shared" si="44"/>
        <v>0.34246575342465752</v>
      </c>
      <c r="L1040" s="35"/>
    </row>
    <row r="1041" spans="1:12" x14ac:dyDescent="0.3">
      <c r="A1041" s="31">
        <f>COUNTIFS($B$2:B1041,B1041)</f>
        <v>1</v>
      </c>
      <c r="B1041" s="26" t="s">
        <v>251</v>
      </c>
      <c r="C1041" s="27">
        <v>20060368076504</v>
      </c>
      <c r="D1041" s="26" t="s">
        <v>463</v>
      </c>
      <c r="E1041" s="28">
        <v>222.87632895700031</v>
      </c>
      <c r="F1041" s="9"/>
      <c r="G1041" s="14" t="str">
        <f t="shared" ref="G1041:G1090" si="45">IF(D1041="","",IF(COUNTIF(I:I,D1041)&gt;0,"O","X"))</f>
        <v>O</v>
      </c>
      <c r="H1041" s="15">
        <f t="shared" si="44"/>
        <v>111.43816447850016</v>
      </c>
      <c r="L1041" s="35"/>
    </row>
    <row r="1042" spans="1:12" x14ac:dyDescent="0.3">
      <c r="A1042" s="31">
        <f>COUNTIFS($B$2:B1042,B1042)</f>
        <v>2</v>
      </c>
      <c r="B1042" s="26" t="s">
        <v>251</v>
      </c>
      <c r="C1042" s="27">
        <v>20060368076504</v>
      </c>
      <c r="D1042" s="26" t="s">
        <v>418</v>
      </c>
      <c r="E1042" s="28">
        <v>3.617173207662792</v>
      </c>
      <c r="F1042" s="9"/>
      <c r="G1042" s="14" t="str">
        <f t="shared" si="45"/>
        <v>O</v>
      </c>
      <c r="H1042" s="15">
        <f t="shared" si="44"/>
        <v>1.808586603831396</v>
      </c>
      <c r="L1042" s="35"/>
    </row>
    <row r="1043" spans="1:12" x14ac:dyDescent="0.3">
      <c r="A1043" s="31">
        <f>COUNTIFS($B$2:B1043,B1043)</f>
        <v>3</v>
      </c>
      <c r="B1043" s="26" t="s">
        <v>251</v>
      </c>
      <c r="C1043" s="27">
        <v>20060368076504</v>
      </c>
      <c r="D1043" s="26" t="s">
        <v>528</v>
      </c>
      <c r="E1043" s="28">
        <v>137.01413665389364</v>
      </c>
      <c r="F1043" s="9"/>
      <c r="G1043" s="14" t="str">
        <f t="shared" si="45"/>
        <v>O</v>
      </c>
      <c r="H1043" s="15">
        <f t="shared" si="44"/>
        <v>68.507068326946822</v>
      </c>
      <c r="L1043" s="35"/>
    </row>
    <row r="1044" spans="1:12" x14ac:dyDescent="0.3">
      <c r="A1044" s="31">
        <f>COUNTIFS($B$2:B1044,B1044)</f>
        <v>4</v>
      </c>
      <c r="B1044" s="26" t="s">
        <v>251</v>
      </c>
      <c r="C1044" s="27">
        <v>20060368076504</v>
      </c>
      <c r="D1044" s="26" t="s">
        <v>489</v>
      </c>
      <c r="E1044" s="28">
        <v>2.1922261864622983</v>
      </c>
      <c r="F1044" s="9"/>
      <c r="G1044" s="14" t="str">
        <f t="shared" si="45"/>
        <v>O</v>
      </c>
      <c r="H1044" s="15">
        <f t="shared" si="44"/>
        <v>1.0961130932311491</v>
      </c>
      <c r="L1044" s="35"/>
    </row>
    <row r="1045" spans="1:12" x14ac:dyDescent="0.3">
      <c r="A1045" s="31">
        <f>COUNTIFS($B$2:B1045,B1045)</f>
        <v>5</v>
      </c>
      <c r="B1045" s="26" t="s">
        <v>251</v>
      </c>
      <c r="C1045" s="27">
        <v>20060368076504</v>
      </c>
      <c r="D1045" s="26" t="s">
        <v>554</v>
      </c>
      <c r="E1045" s="28">
        <v>29.229682486163973</v>
      </c>
      <c r="F1045" s="9"/>
      <c r="G1045" s="14" t="str">
        <f t="shared" si="45"/>
        <v>O</v>
      </c>
      <c r="H1045" s="15">
        <f t="shared" si="44"/>
        <v>14.614841243081987</v>
      </c>
      <c r="L1045" s="35"/>
    </row>
    <row r="1046" spans="1:12" x14ac:dyDescent="0.3">
      <c r="A1046" s="31">
        <f>COUNTIFS($B$2:B1046,B1046)</f>
        <v>6</v>
      </c>
      <c r="B1046" s="26" t="s">
        <v>251</v>
      </c>
      <c r="C1046" s="27">
        <v>20060368076504</v>
      </c>
      <c r="D1046" s="26" t="s">
        <v>424</v>
      </c>
      <c r="E1046" s="28">
        <v>15.345583305236087</v>
      </c>
      <c r="F1046" s="9"/>
      <c r="G1046" s="14" t="str">
        <f t="shared" si="45"/>
        <v>O</v>
      </c>
      <c r="H1046" s="15">
        <f t="shared" si="44"/>
        <v>7.6727916526180433</v>
      </c>
      <c r="L1046" s="35"/>
    </row>
    <row r="1047" spans="1:12" x14ac:dyDescent="0.3">
      <c r="A1047" s="31">
        <f>COUNTIFS($B$2:B1047,B1047)</f>
        <v>7</v>
      </c>
      <c r="B1047" s="26" t="s">
        <v>251</v>
      </c>
      <c r="C1047" s="27">
        <v>20060368076504</v>
      </c>
      <c r="D1047" s="26" t="s">
        <v>558</v>
      </c>
      <c r="E1047" s="28">
        <v>9.1342757769262413</v>
      </c>
      <c r="F1047" s="9"/>
      <c r="G1047" s="14" t="str">
        <f t="shared" si="45"/>
        <v>O</v>
      </c>
      <c r="H1047" s="15">
        <f t="shared" si="44"/>
        <v>4.5671378884631206</v>
      </c>
      <c r="L1047" s="35"/>
    </row>
    <row r="1048" spans="1:12" x14ac:dyDescent="0.3">
      <c r="A1048" s="31">
        <f>COUNTIFS($B$2:B1048,B1048)</f>
        <v>8</v>
      </c>
      <c r="B1048" s="26" t="s">
        <v>251</v>
      </c>
      <c r="C1048" s="27">
        <v>20060368076504</v>
      </c>
      <c r="D1048" s="26" t="s">
        <v>573</v>
      </c>
      <c r="E1048" s="28">
        <v>36.537103107704965</v>
      </c>
      <c r="F1048" s="9"/>
      <c r="G1048" s="14" t="str">
        <f t="shared" si="45"/>
        <v>O</v>
      </c>
      <c r="H1048" s="15">
        <f t="shared" si="44"/>
        <v>18.268551553852483</v>
      </c>
      <c r="L1048" s="35"/>
    </row>
    <row r="1049" spans="1:12" x14ac:dyDescent="0.3">
      <c r="A1049" s="31">
        <f>COUNTIFS($B$2:B1049,B1049)</f>
        <v>9</v>
      </c>
      <c r="B1049" s="26" t="s">
        <v>251</v>
      </c>
      <c r="C1049" s="27">
        <v>20060368076504</v>
      </c>
      <c r="D1049" s="26" t="s">
        <v>295</v>
      </c>
      <c r="E1049" s="28">
        <v>5.3490318949680073E-2</v>
      </c>
      <c r="F1049" s="9"/>
      <c r="G1049" s="14" t="str">
        <f t="shared" si="45"/>
        <v>O</v>
      </c>
      <c r="H1049" s="15">
        <f t="shared" si="44"/>
        <v>2.6745159474840036E-2</v>
      </c>
      <c r="L1049" s="35"/>
    </row>
    <row r="1050" spans="1:12" x14ac:dyDescent="0.3">
      <c r="A1050" s="31">
        <f>COUNTIFS($B$2:B1050,B1050)</f>
        <v>1</v>
      </c>
      <c r="B1050" s="26" t="s">
        <v>253</v>
      </c>
      <c r="C1050" s="27">
        <v>200603680765041</v>
      </c>
      <c r="D1050" s="26" t="s">
        <v>463</v>
      </c>
      <c r="E1050" s="28">
        <v>74.292109652333437</v>
      </c>
      <c r="F1050" s="9"/>
      <c r="G1050" s="14" t="str">
        <f t="shared" si="45"/>
        <v>O</v>
      </c>
      <c r="H1050" s="15">
        <f t="shared" si="44"/>
        <v>37.146054826166718</v>
      </c>
      <c r="L1050" s="35"/>
    </row>
    <row r="1051" spans="1:12" x14ac:dyDescent="0.3">
      <c r="A1051" s="31">
        <f>COUNTIFS($B$2:B1051,B1051)</f>
        <v>2</v>
      </c>
      <c r="B1051" s="26" t="s">
        <v>253</v>
      </c>
      <c r="C1051" s="27">
        <v>200603680765041</v>
      </c>
      <c r="D1051" s="26" t="s">
        <v>418</v>
      </c>
      <c r="E1051" s="28">
        <v>1.2057244025542639</v>
      </c>
      <c r="F1051" s="9"/>
      <c r="G1051" s="14" t="str">
        <f t="shared" si="45"/>
        <v>O</v>
      </c>
      <c r="H1051" s="15">
        <f t="shared" si="44"/>
        <v>0.60286220127713197</v>
      </c>
      <c r="L1051" s="35"/>
    </row>
    <row r="1052" spans="1:12" x14ac:dyDescent="0.3">
      <c r="A1052" s="31">
        <f>COUNTIFS($B$2:B1052,B1052)</f>
        <v>3</v>
      </c>
      <c r="B1052" s="26" t="s">
        <v>253</v>
      </c>
      <c r="C1052" s="27">
        <v>200603680765041</v>
      </c>
      <c r="D1052" s="26" t="s">
        <v>528</v>
      </c>
      <c r="E1052" s="28">
        <v>45.67137888463121</v>
      </c>
      <c r="F1052" s="9"/>
      <c r="G1052" s="14" t="str">
        <f t="shared" si="45"/>
        <v>O</v>
      </c>
      <c r="H1052" s="15">
        <f t="shared" si="44"/>
        <v>22.835689442315605</v>
      </c>
      <c r="L1052" s="35"/>
    </row>
    <row r="1053" spans="1:12" x14ac:dyDescent="0.3">
      <c r="A1053" s="31">
        <f>COUNTIFS($B$2:B1053,B1053)</f>
        <v>4</v>
      </c>
      <c r="B1053" s="26" t="s">
        <v>253</v>
      </c>
      <c r="C1053" s="27">
        <v>200603680765041</v>
      </c>
      <c r="D1053" s="26" t="s">
        <v>489</v>
      </c>
      <c r="E1053" s="28">
        <v>0.73074206215409943</v>
      </c>
      <c r="F1053" s="9"/>
      <c r="G1053" s="14" t="str">
        <f t="shared" si="45"/>
        <v>O</v>
      </c>
      <c r="H1053" s="15">
        <f t="shared" si="44"/>
        <v>0.36537103107704971</v>
      </c>
      <c r="L1053" s="35"/>
    </row>
    <row r="1054" spans="1:12" x14ac:dyDescent="0.3">
      <c r="A1054" s="31">
        <f>COUNTIFS($B$2:B1054,B1054)</f>
        <v>5</v>
      </c>
      <c r="B1054" s="26" t="s">
        <v>253</v>
      </c>
      <c r="C1054" s="27">
        <v>200603680765041</v>
      </c>
      <c r="D1054" s="26" t="s">
        <v>554</v>
      </c>
      <c r="E1054" s="28">
        <v>9.7432274953879912</v>
      </c>
      <c r="F1054" s="9"/>
      <c r="G1054" s="14" t="str">
        <f t="shared" si="45"/>
        <v>O</v>
      </c>
      <c r="H1054" s="15">
        <f t="shared" si="44"/>
        <v>4.8716137476939956</v>
      </c>
      <c r="L1054" s="35"/>
    </row>
    <row r="1055" spans="1:12" x14ac:dyDescent="0.3">
      <c r="A1055" s="31">
        <f>COUNTIFS($B$2:B1055,B1055)</f>
        <v>6</v>
      </c>
      <c r="B1055" s="26" t="s">
        <v>253</v>
      </c>
      <c r="C1055" s="27">
        <v>200603680765041</v>
      </c>
      <c r="D1055" s="26" t="s">
        <v>424</v>
      </c>
      <c r="E1055" s="28">
        <v>5.1151944350786955</v>
      </c>
      <c r="F1055" s="9"/>
      <c r="G1055" s="14" t="str">
        <f t="shared" si="45"/>
        <v>O</v>
      </c>
      <c r="H1055" s="15">
        <f t="shared" si="44"/>
        <v>2.5575972175393478</v>
      </c>
      <c r="L1055" s="35"/>
    </row>
    <row r="1056" spans="1:12" x14ac:dyDescent="0.3">
      <c r="A1056" s="31">
        <f>COUNTIFS($B$2:B1056,B1056)</f>
        <v>7</v>
      </c>
      <c r="B1056" s="26" t="s">
        <v>253</v>
      </c>
      <c r="C1056" s="27">
        <v>200603680765041</v>
      </c>
      <c r="D1056" s="26" t="s">
        <v>558</v>
      </c>
      <c r="E1056" s="28">
        <v>3.0447585923087468</v>
      </c>
      <c r="F1056" s="9"/>
      <c r="G1056" s="14" t="str">
        <f t="shared" si="45"/>
        <v>O</v>
      </c>
      <c r="H1056" s="15">
        <f t="shared" si="44"/>
        <v>1.5223792961543734</v>
      </c>
      <c r="L1056" s="35"/>
    </row>
    <row r="1057" spans="1:12" x14ac:dyDescent="0.3">
      <c r="A1057" s="31">
        <f>COUNTIFS($B$2:B1057,B1057)</f>
        <v>8</v>
      </c>
      <c r="B1057" s="26" t="s">
        <v>253</v>
      </c>
      <c r="C1057" s="27">
        <v>200603680765041</v>
      </c>
      <c r="D1057" s="26" t="s">
        <v>573</v>
      </c>
      <c r="E1057" s="28">
        <v>12.179034369234987</v>
      </c>
      <c r="F1057" s="9"/>
      <c r="G1057" s="14" t="str">
        <f t="shared" si="45"/>
        <v>O</v>
      </c>
      <c r="H1057" s="15">
        <f t="shared" si="44"/>
        <v>6.0895171846174936</v>
      </c>
      <c r="L1057" s="35"/>
    </row>
    <row r="1058" spans="1:12" x14ac:dyDescent="0.3">
      <c r="A1058" s="31">
        <f>COUNTIFS($B$2:B1058,B1058)</f>
        <v>9</v>
      </c>
      <c r="B1058" s="26" t="s">
        <v>253</v>
      </c>
      <c r="C1058" s="27">
        <v>200603680765041</v>
      </c>
      <c r="D1058" s="26" t="s">
        <v>295</v>
      </c>
      <c r="E1058" s="28">
        <v>1.7830106316560027E-2</v>
      </c>
      <c r="F1058" s="9"/>
      <c r="G1058" s="14" t="str">
        <f t="shared" si="45"/>
        <v>O</v>
      </c>
      <c r="H1058" s="15">
        <f t="shared" si="44"/>
        <v>8.9150531582800133E-3</v>
      </c>
      <c r="L1058" s="35"/>
    </row>
    <row r="1059" spans="1:12" x14ac:dyDescent="0.3">
      <c r="A1059" s="31">
        <f>COUNTIFS($B$2:B1059,B1059)</f>
        <v>1</v>
      </c>
      <c r="B1059" s="26" t="s">
        <v>256</v>
      </c>
      <c r="C1059" s="27">
        <v>20060368076532</v>
      </c>
      <c r="D1059" s="26" t="s">
        <v>463</v>
      </c>
      <c r="E1059" s="28">
        <v>91</v>
      </c>
      <c r="F1059" s="9"/>
      <c r="G1059" s="14" t="str">
        <f t="shared" si="45"/>
        <v>O</v>
      </c>
      <c r="H1059" s="15">
        <f t="shared" si="44"/>
        <v>45.5</v>
      </c>
      <c r="L1059" s="35"/>
    </row>
    <row r="1060" spans="1:12" x14ac:dyDescent="0.3">
      <c r="A1060" s="31">
        <f>COUNTIFS($B$2:B1060,B1060)</f>
        <v>2</v>
      </c>
      <c r="B1060" s="26" t="s">
        <v>256</v>
      </c>
      <c r="C1060" s="27">
        <v>20060368076532</v>
      </c>
      <c r="D1060" s="26" t="s">
        <v>418</v>
      </c>
      <c r="E1060" s="28">
        <v>1.66</v>
      </c>
      <c r="F1060" s="9"/>
      <c r="G1060" s="14" t="str">
        <f t="shared" si="45"/>
        <v>O</v>
      </c>
      <c r="H1060" s="15">
        <f t="shared" si="44"/>
        <v>0.83</v>
      </c>
      <c r="L1060" s="35"/>
    </row>
    <row r="1061" spans="1:12" x14ac:dyDescent="0.3">
      <c r="A1061" s="31">
        <f>COUNTIFS($B$2:B1061,B1061)</f>
        <v>3</v>
      </c>
      <c r="B1061" s="26" t="s">
        <v>256</v>
      </c>
      <c r="C1061" s="27">
        <v>20060368076532</v>
      </c>
      <c r="D1061" s="26" t="s">
        <v>489</v>
      </c>
      <c r="E1061" s="28">
        <v>3</v>
      </c>
      <c r="F1061" s="9"/>
      <c r="G1061" s="14" t="str">
        <f t="shared" si="45"/>
        <v>O</v>
      </c>
      <c r="H1061" s="15">
        <f t="shared" si="44"/>
        <v>1.5</v>
      </c>
      <c r="L1061" s="35"/>
    </row>
    <row r="1062" spans="1:12" x14ac:dyDescent="0.3">
      <c r="A1062" s="31">
        <f>COUNTIFS($B$2:B1062,B1062)</f>
        <v>4</v>
      </c>
      <c r="B1062" s="26" t="s">
        <v>256</v>
      </c>
      <c r="C1062" s="27">
        <v>20060368076532</v>
      </c>
      <c r="D1062" s="26" t="s">
        <v>48</v>
      </c>
      <c r="E1062" s="28">
        <v>54.4</v>
      </c>
      <c r="F1062" s="9"/>
      <c r="G1062" s="14" t="str">
        <f t="shared" si="45"/>
        <v>O</v>
      </c>
      <c r="H1062" s="15">
        <f t="shared" si="44"/>
        <v>27.2</v>
      </c>
      <c r="L1062" s="35"/>
    </row>
    <row r="1063" spans="1:12" x14ac:dyDescent="0.3">
      <c r="A1063" s="31">
        <f>COUNTIFS($B$2:B1063,B1063)</f>
        <v>5</v>
      </c>
      <c r="B1063" s="26" t="s">
        <v>256</v>
      </c>
      <c r="C1063" s="27">
        <v>20060368076532</v>
      </c>
      <c r="D1063" s="26" t="s">
        <v>495</v>
      </c>
      <c r="E1063" s="28">
        <v>18.2</v>
      </c>
      <c r="F1063" s="9"/>
      <c r="G1063" s="14" t="str">
        <f t="shared" si="45"/>
        <v>O</v>
      </c>
      <c r="H1063" s="15">
        <f t="shared" si="44"/>
        <v>9.1</v>
      </c>
      <c r="L1063" s="35"/>
    </row>
    <row r="1064" spans="1:12" x14ac:dyDescent="0.3">
      <c r="A1064" s="31">
        <f>COUNTIFS($B$2:B1064,B1064)</f>
        <v>6</v>
      </c>
      <c r="B1064" s="26" t="s">
        <v>256</v>
      </c>
      <c r="C1064" s="27">
        <v>20060368076532</v>
      </c>
      <c r="D1064" s="26" t="s">
        <v>218</v>
      </c>
      <c r="E1064" s="28">
        <v>0.3</v>
      </c>
      <c r="F1064" s="9"/>
      <c r="G1064" s="14" t="str">
        <f t="shared" si="45"/>
        <v>O</v>
      </c>
      <c r="H1064" s="15">
        <f t="shared" si="44"/>
        <v>0.15</v>
      </c>
      <c r="L1064" s="35"/>
    </row>
    <row r="1065" spans="1:12" x14ac:dyDescent="0.3">
      <c r="A1065" s="31">
        <f>COUNTIFS($B$2:B1065,B1065)</f>
        <v>7</v>
      </c>
      <c r="B1065" s="26" t="s">
        <v>256</v>
      </c>
      <c r="C1065" s="27">
        <v>20060368076532</v>
      </c>
      <c r="D1065" s="26" t="s">
        <v>490</v>
      </c>
      <c r="E1065" s="28">
        <v>14.1</v>
      </c>
      <c r="F1065" s="9"/>
      <c r="G1065" s="14" t="str">
        <f t="shared" si="45"/>
        <v>O</v>
      </c>
      <c r="H1065" s="15">
        <f t="shared" si="44"/>
        <v>7.05</v>
      </c>
      <c r="L1065" s="35"/>
    </row>
    <row r="1066" spans="1:12" x14ac:dyDescent="0.3">
      <c r="A1066" s="31">
        <f>COUNTIFS($B$2:B1066,B1066)</f>
        <v>8</v>
      </c>
      <c r="B1066" s="26" t="s">
        <v>256</v>
      </c>
      <c r="C1066" s="27">
        <v>20060368076532</v>
      </c>
      <c r="D1066" s="26" t="s">
        <v>114</v>
      </c>
      <c r="E1066" s="28">
        <v>18.100000000000001</v>
      </c>
      <c r="F1066" s="9"/>
      <c r="G1066" s="14" t="str">
        <f t="shared" si="45"/>
        <v>O</v>
      </c>
      <c r="H1066" s="15">
        <f t="shared" si="44"/>
        <v>9.0500000000000007</v>
      </c>
      <c r="L1066" s="35"/>
    </row>
    <row r="1067" spans="1:12" x14ac:dyDescent="0.3">
      <c r="A1067" s="31">
        <f>COUNTIFS($B$2:B1067,B1067)</f>
        <v>9</v>
      </c>
      <c r="B1067" s="26" t="s">
        <v>256</v>
      </c>
      <c r="C1067" s="27">
        <v>20060368076532</v>
      </c>
      <c r="D1067" s="26" t="s">
        <v>518</v>
      </c>
      <c r="E1067" s="28">
        <v>16.399999999999999</v>
      </c>
      <c r="F1067" s="9"/>
      <c r="G1067" s="14" t="str">
        <f t="shared" si="45"/>
        <v>O</v>
      </c>
      <c r="H1067" s="15">
        <f t="shared" si="44"/>
        <v>8.1999999999999993</v>
      </c>
      <c r="L1067" s="35"/>
    </row>
    <row r="1068" spans="1:12" x14ac:dyDescent="0.3">
      <c r="A1068" s="31">
        <f>COUNTIFS($B$2:B1068,B1068)</f>
        <v>10</v>
      </c>
      <c r="B1068" s="26" t="s">
        <v>256</v>
      </c>
      <c r="C1068" s="27">
        <v>20060368076532</v>
      </c>
      <c r="D1068" s="26" t="s">
        <v>488</v>
      </c>
      <c r="E1068" s="28">
        <v>14.6</v>
      </c>
      <c r="F1068" s="9"/>
      <c r="G1068" s="14" t="str">
        <f t="shared" si="45"/>
        <v>O</v>
      </c>
      <c r="H1068" s="15">
        <f t="shared" si="44"/>
        <v>7.3</v>
      </c>
      <c r="L1068" s="35"/>
    </row>
    <row r="1069" spans="1:12" x14ac:dyDescent="0.3">
      <c r="A1069" s="31">
        <f>COUNTIFS($B$2:B1069,B1069)</f>
        <v>11</v>
      </c>
      <c r="B1069" s="26" t="s">
        <v>256</v>
      </c>
      <c r="C1069" s="27">
        <v>20060368076532</v>
      </c>
      <c r="D1069" s="26" t="s">
        <v>32</v>
      </c>
      <c r="E1069" s="28">
        <v>1.1000000000000001</v>
      </c>
      <c r="F1069" s="9"/>
      <c r="G1069" s="14" t="str">
        <f t="shared" si="45"/>
        <v>O</v>
      </c>
      <c r="H1069" s="15">
        <f t="shared" si="44"/>
        <v>0.55000000000000004</v>
      </c>
      <c r="L1069" s="35"/>
    </row>
    <row r="1070" spans="1:12" x14ac:dyDescent="0.3">
      <c r="A1070" s="31">
        <f>COUNTIFS($B$2:B1070,B1070)</f>
        <v>12</v>
      </c>
      <c r="B1070" s="26" t="s">
        <v>256</v>
      </c>
      <c r="C1070" s="27">
        <v>20060368076532</v>
      </c>
      <c r="D1070" s="26" t="s">
        <v>535</v>
      </c>
      <c r="E1070" s="28">
        <v>10.9</v>
      </c>
      <c r="F1070" s="9"/>
      <c r="G1070" s="14" t="str">
        <f t="shared" si="45"/>
        <v>O</v>
      </c>
      <c r="H1070" s="15">
        <f t="shared" si="44"/>
        <v>5.45</v>
      </c>
      <c r="L1070" s="35"/>
    </row>
    <row r="1071" spans="1:12" x14ac:dyDescent="0.3">
      <c r="A1071" s="31">
        <f>COUNTIFS($B$2:B1071,B1071)</f>
        <v>13</v>
      </c>
      <c r="B1071" s="26" t="s">
        <v>256</v>
      </c>
      <c r="C1071" s="27">
        <v>20060368076532</v>
      </c>
      <c r="D1071" s="26" t="s">
        <v>64</v>
      </c>
      <c r="E1071" s="28">
        <v>144</v>
      </c>
      <c r="F1071" s="9"/>
      <c r="G1071" s="14" t="str">
        <f t="shared" si="45"/>
        <v>O</v>
      </c>
      <c r="H1071" s="15">
        <f t="shared" si="44"/>
        <v>72</v>
      </c>
      <c r="L1071" s="35"/>
    </row>
    <row r="1072" spans="1:12" x14ac:dyDescent="0.3">
      <c r="A1072" s="31">
        <f>COUNTIFS($B$2:B1072,B1072)</f>
        <v>14</v>
      </c>
      <c r="B1072" s="26" t="s">
        <v>256</v>
      </c>
      <c r="C1072" s="27">
        <v>20060368076532</v>
      </c>
      <c r="D1072" s="26" t="s">
        <v>33</v>
      </c>
      <c r="E1072" s="28">
        <v>6</v>
      </c>
      <c r="F1072" s="9"/>
      <c r="G1072" s="14" t="str">
        <f t="shared" si="45"/>
        <v>O</v>
      </c>
      <c r="H1072" s="15">
        <f t="shared" si="44"/>
        <v>3</v>
      </c>
      <c r="L1072" s="35"/>
    </row>
    <row r="1073" spans="1:12" x14ac:dyDescent="0.3">
      <c r="A1073" s="23">
        <f>COUNTIFS($B$2:B1073,B1073)</f>
        <v>1</v>
      </c>
      <c r="B1073" s="20" t="s">
        <v>258</v>
      </c>
      <c r="C1073" s="25">
        <v>20060368076537</v>
      </c>
      <c r="D1073" s="20" t="s">
        <v>210</v>
      </c>
      <c r="E1073" s="22">
        <v>67.215189873417714</v>
      </c>
      <c r="F1073" s="9"/>
      <c r="G1073" s="14" t="str">
        <f t="shared" si="45"/>
        <v>O</v>
      </c>
      <c r="H1073" s="15">
        <f t="shared" si="44"/>
        <v>33.607594936708857</v>
      </c>
      <c r="L1073" s="35"/>
    </row>
    <row r="1074" spans="1:12" x14ac:dyDescent="0.3">
      <c r="A1074" s="19">
        <f>COUNTIFS($B$2:B1074,B1074)</f>
        <v>2</v>
      </c>
      <c r="B1074" s="20" t="s">
        <v>258</v>
      </c>
      <c r="C1074" s="25">
        <v>20060368076537</v>
      </c>
      <c r="D1074" s="20" t="s">
        <v>213</v>
      </c>
      <c r="E1074" s="22">
        <v>26.886075949367083</v>
      </c>
      <c r="F1074" s="9"/>
      <c r="G1074" s="14" t="str">
        <f t="shared" si="45"/>
        <v>O</v>
      </c>
      <c r="H1074" s="15">
        <f t="shared" si="44"/>
        <v>13.443037974683541</v>
      </c>
      <c r="L1074" s="35"/>
    </row>
    <row r="1075" spans="1:12" x14ac:dyDescent="0.3">
      <c r="A1075" s="19">
        <f>COUNTIFS($B$2:B1075,B1075)</f>
        <v>3</v>
      </c>
      <c r="B1075" s="20" t="s">
        <v>258</v>
      </c>
      <c r="C1075" s="25">
        <v>20060368076537</v>
      </c>
      <c r="D1075" s="20" t="s">
        <v>404</v>
      </c>
      <c r="E1075" s="22">
        <v>10.082278481012658</v>
      </c>
      <c r="F1075" s="9"/>
      <c r="G1075" s="14" t="str">
        <f t="shared" si="45"/>
        <v>O</v>
      </c>
      <c r="H1075" s="15">
        <f t="shared" si="44"/>
        <v>5.0411392405063289</v>
      </c>
      <c r="L1075" s="35"/>
    </row>
    <row r="1076" spans="1:12" x14ac:dyDescent="0.3">
      <c r="A1076" s="19">
        <f>COUNTIFS($B$2:B1076,B1076)</f>
        <v>4</v>
      </c>
      <c r="B1076" s="20" t="s">
        <v>258</v>
      </c>
      <c r="C1076" s="25">
        <v>20060368076537</v>
      </c>
      <c r="D1076" s="20" t="s">
        <v>222</v>
      </c>
      <c r="E1076" s="22">
        <v>0.67215189873417713</v>
      </c>
      <c r="F1076" s="9"/>
      <c r="G1076" s="14" t="str">
        <f t="shared" si="45"/>
        <v>O</v>
      </c>
      <c r="H1076" s="15">
        <f t="shared" si="44"/>
        <v>0.33607594936708857</v>
      </c>
      <c r="L1076" s="35"/>
    </row>
    <row r="1077" spans="1:12" x14ac:dyDescent="0.3">
      <c r="A1077" s="19">
        <f>COUNTIFS($B$2:B1077,B1077)</f>
        <v>5</v>
      </c>
      <c r="B1077" s="20" t="s">
        <v>258</v>
      </c>
      <c r="C1077" s="25">
        <v>20060368076537</v>
      </c>
      <c r="D1077" s="20" t="s">
        <v>206</v>
      </c>
      <c r="E1077" s="22">
        <v>67.215189873417714</v>
      </c>
      <c r="F1077" s="9"/>
      <c r="G1077" s="14" t="str">
        <f t="shared" si="45"/>
        <v>O</v>
      </c>
      <c r="H1077" s="15">
        <f t="shared" ref="H1077:H1140" si="46">E1077/2</f>
        <v>33.607594936708857</v>
      </c>
      <c r="L1077" s="35"/>
    </row>
    <row r="1078" spans="1:12" x14ac:dyDescent="0.3">
      <c r="A1078" s="19">
        <f>COUNTIFS($B$2:B1078,B1078)</f>
        <v>6</v>
      </c>
      <c r="B1078" s="20" t="s">
        <v>258</v>
      </c>
      <c r="C1078" s="25">
        <v>20060368076537</v>
      </c>
      <c r="D1078" s="20" t="s">
        <v>82</v>
      </c>
      <c r="E1078" s="22">
        <v>40.329113924050631</v>
      </c>
      <c r="F1078" s="9"/>
      <c r="G1078" s="14" t="str">
        <f t="shared" si="45"/>
        <v>O</v>
      </c>
      <c r="H1078" s="15">
        <f t="shared" si="46"/>
        <v>20.164556962025316</v>
      </c>
      <c r="L1078" s="35"/>
    </row>
    <row r="1079" spans="1:12" x14ac:dyDescent="0.3">
      <c r="A1079" s="23">
        <f>COUNTIFS($B$2:B1079,B1079)</f>
        <v>1</v>
      </c>
      <c r="B1079" s="20" t="s">
        <v>574</v>
      </c>
      <c r="C1079" s="21">
        <v>200603680765371</v>
      </c>
      <c r="D1079" s="20" t="s">
        <v>210</v>
      </c>
      <c r="E1079" s="22">
        <v>37.341772151898731</v>
      </c>
      <c r="F1079" s="9"/>
      <c r="G1079" s="14" t="str">
        <f t="shared" si="45"/>
        <v>O</v>
      </c>
      <c r="H1079" s="15">
        <f t="shared" si="46"/>
        <v>18.670886075949365</v>
      </c>
      <c r="L1079" s="35"/>
    </row>
    <row r="1080" spans="1:12" x14ac:dyDescent="0.3">
      <c r="A1080" s="19">
        <f>COUNTIFS($B$2:B1080,B1080)</f>
        <v>2</v>
      </c>
      <c r="B1080" s="20" t="s">
        <v>574</v>
      </c>
      <c r="C1080" s="21">
        <v>200603680765371</v>
      </c>
      <c r="D1080" s="20" t="s">
        <v>213</v>
      </c>
      <c r="E1080" s="22">
        <v>14.936708860759492</v>
      </c>
      <c r="F1080" s="9"/>
      <c r="G1080" s="14" t="str">
        <f t="shared" si="45"/>
        <v>O</v>
      </c>
      <c r="H1080" s="15">
        <f t="shared" si="46"/>
        <v>7.4683544303797458</v>
      </c>
      <c r="L1080" s="35"/>
    </row>
    <row r="1081" spans="1:12" x14ac:dyDescent="0.3">
      <c r="A1081" s="19">
        <f>COUNTIFS($B$2:B1081,B1081)</f>
        <v>3</v>
      </c>
      <c r="B1081" s="20" t="s">
        <v>574</v>
      </c>
      <c r="C1081" s="21">
        <v>200603680765371</v>
      </c>
      <c r="D1081" s="20" t="s">
        <v>404</v>
      </c>
      <c r="E1081" s="22">
        <v>5.6012658227848089</v>
      </c>
      <c r="F1081" s="9"/>
      <c r="G1081" s="14" t="str">
        <f t="shared" si="45"/>
        <v>O</v>
      </c>
      <c r="H1081" s="15">
        <f t="shared" si="46"/>
        <v>2.8006329113924044</v>
      </c>
      <c r="L1081" s="35"/>
    </row>
    <row r="1082" spans="1:12" x14ac:dyDescent="0.3">
      <c r="A1082" s="19">
        <f>COUNTIFS($B$2:B1082,B1082)</f>
        <v>4</v>
      </c>
      <c r="B1082" s="20" t="s">
        <v>574</v>
      </c>
      <c r="C1082" s="21">
        <v>200603680765371</v>
      </c>
      <c r="D1082" s="20" t="s">
        <v>222</v>
      </c>
      <c r="E1082" s="22">
        <v>0.37341772151898728</v>
      </c>
      <c r="F1082" s="9"/>
      <c r="G1082" s="14" t="str">
        <f t="shared" si="45"/>
        <v>O</v>
      </c>
      <c r="H1082" s="15">
        <f t="shared" si="46"/>
        <v>0.18670886075949364</v>
      </c>
      <c r="L1082" s="35"/>
    </row>
    <row r="1083" spans="1:12" x14ac:dyDescent="0.3">
      <c r="A1083" s="19">
        <f>COUNTIFS($B$2:B1083,B1083)</f>
        <v>5</v>
      </c>
      <c r="B1083" s="20" t="s">
        <v>574</v>
      </c>
      <c r="C1083" s="21">
        <v>200603680765371</v>
      </c>
      <c r="D1083" s="20" t="s">
        <v>206</v>
      </c>
      <c r="E1083" s="22">
        <v>37.341772151898731</v>
      </c>
      <c r="F1083" s="9"/>
      <c r="G1083" s="14" t="str">
        <f t="shared" si="45"/>
        <v>O</v>
      </c>
      <c r="H1083" s="15">
        <f t="shared" si="46"/>
        <v>18.670886075949365</v>
      </c>
      <c r="L1083" s="35"/>
    </row>
    <row r="1084" spans="1:12" x14ac:dyDescent="0.3">
      <c r="A1084" s="19">
        <f>COUNTIFS($B$2:B1084,B1084)</f>
        <v>6</v>
      </c>
      <c r="B1084" s="20" t="s">
        <v>574</v>
      </c>
      <c r="C1084" s="21">
        <v>200603680765371</v>
      </c>
      <c r="D1084" s="20" t="s">
        <v>82</v>
      </c>
      <c r="E1084" s="22">
        <v>22.405063291139236</v>
      </c>
      <c r="F1084" s="9"/>
      <c r="G1084" s="14" t="str">
        <f t="shared" si="45"/>
        <v>O</v>
      </c>
      <c r="H1084" s="15">
        <f t="shared" si="46"/>
        <v>11.202531645569618</v>
      </c>
      <c r="L1084" s="35"/>
    </row>
    <row r="1085" spans="1:12" x14ac:dyDescent="0.3">
      <c r="A1085" s="19">
        <f>COUNTIFS($B$2:B1085,B1085)</f>
        <v>1</v>
      </c>
      <c r="B1085" s="26" t="s">
        <v>575</v>
      </c>
      <c r="C1085" s="27">
        <v>20060368076542</v>
      </c>
      <c r="D1085" s="26" t="s">
        <v>210</v>
      </c>
      <c r="E1085" s="28">
        <v>43.993831919814959</v>
      </c>
      <c r="F1085" s="9"/>
      <c r="G1085" s="14" t="str">
        <f t="shared" si="45"/>
        <v>O</v>
      </c>
      <c r="H1085" s="15">
        <f t="shared" si="46"/>
        <v>21.996915959907479</v>
      </c>
      <c r="L1085" s="35"/>
    </row>
    <row r="1086" spans="1:12" x14ac:dyDescent="0.3">
      <c r="A1086" s="19">
        <f>COUNTIFS($B$2:B1086,B1086)</f>
        <v>2</v>
      </c>
      <c r="B1086" s="26" t="s">
        <v>575</v>
      </c>
      <c r="C1086" s="27">
        <v>20060368076542</v>
      </c>
      <c r="D1086" s="26" t="s">
        <v>213</v>
      </c>
      <c r="E1086" s="28">
        <v>36.08326908249807</v>
      </c>
      <c r="F1086" s="9"/>
      <c r="G1086" s="14" t="str">
        <f t="shared" si="45"/>
        <v>O</v>
      </c>
      <c r="H1086" s="15">
        <f t="shared" si="46"/>
        <v>18.041634541249035</v>
      </c>
      <c r="L1086" s="35"/>
    </row>
    <row r="1087" spans="1:12" x14ac:dyDescent="0.3">
      <c r="A1087" s="19">
        <f>COUNTIFS($B$2:B1087,B1087)</f>
        <v>3</v>
      </c>
      <c r="B1087" s="26" t="s">
        <v>575</v>
      </c>
      <c r="C1087" s="27">
        <v>20060368076542</v>
      </c>
      <c r="D1087" s="26" t="s">
        <v>17</v>
      </c>
      <c r="E1087" s="28">
        <v>11.7964533538936</v>
      </c>
      <c r="F1087" s="9"/>
      <c r="G1087" s="14" t="str">
        <f t="shared" si="45"/>
        <v>O</v>
      </c>
      <c r="H1087" s="15">
        <f t="shared" si="46"/>
        <v>5.8982266769468001</v>
      </c>
      <c r="L1087" s="35"/>
    </row>
    <row r="1088" spans="1:12" x14ac:dyDescent="0.3">
      <c r="A1088" s="19">
        <f>COUNTIFS($B$2:B1088,B1088)</f>
        <v>4</v>
      </c>
      <c r="B1088" s="26" t="s">
        <v>575</v>
      </c>
      <c r="C1088" s="27">
        <v>20060368076542</v>
      </c>
      <c r="D1088" s="26" t="s">
        <v>206</v>
      </c>
      <c r="E1088" s="28">
        <v>62.174248265227448</v>
      </c>
      <c r="F1088" s="9"/>
      <c r="G1088" s="14" t="str">
        <f t="shared" si="45"/>
        <v>O</v>
      </c>
      <c r="H1088" s="15">
        <f t="shared" si="46"/>
        <v>31.087124132613724</v>
      </c>
      <c r="L1088" s="35"/>
    </row>
    <row r="1089" spans="1:12" x14ac:dyDescent="0.3">
      <c r="A1089" s="19">
        <f>COUNTIFS($B$2:B1089,B1089)</f>
        <v>5</v>
      </c>
      <c r="B1089" s="26" t="s">
        <v>575</v>
      </c>
      <c r="C1089" s="27">
        <v>20060368076542</v>
      </c>
      <c r="D1089" s="26" t="s">
        <v>141</v>
      </c>
      <c r="E1089" s="28">
        <v>25.95219737856592</v>
      </c>
      <c r="F1089" s="9"/>
      <c r="G1089" s="14" t="str">
        <f t="shared" si="45"/>
        <v>O</v>
      </c>
      <c r="H1089" s="15">
        <f t="shared" si="46"/>
        <v>12.97609868928296</v>
      </c>
      <c r="L1089" s="35"/>
    </row>
    <row r="1090" spans="1:12" x14ac:dyDescent="0.3">
      <c r="A1090" s="19">
        <f>COUNTIFS($B$2:B1090,B1090)</f>
        <v>6</v>
      </c>
      <c r="B1090" s="26" t="s">
        <v>575</v>
      </c>
      <c r="C1090" s="27">
        <v>20060368076542</v>
      </c>
      <c r="D1090" s="26" t="s">
        <v>222</v>
      </c>
      <c r="E1090" s="28">
        <v>0.39552814186584423</v>
      </c>
      <c r="F1090" s="9"/>
      <c r="G1090" s="14" t="str">
        <f t="shared" si="45"/>
        <v>O</v>
      </c>
      <c r="H1090" s="15">
        <f t="shared" si="46"/>
        <v>0.19776407093292211</v>
      </c>
      <c r="L1090" s="35"/>
    </row>
    <row r="1091" spans="1:12" x14ac:dyDescent="0.3">
      <c r="A1091" s="19">
        <f>COUNTIFS($B$2:B1091,B1091)</f>
        <v>7</v>
      </c>
      <c r="B1091" s="26" t="s">
        <v>575</v>
      </c>
      <c r="C1091" s="27">
        <v>20060368076542</v>
      </c>
      <c r="D1091" s="26" t="s">
        <v>576</v>
      </c>
      <c r="E1091" s="28">
        <v>20</v>
      </c>
      <c r="F1091" s="9"/>
      <c r="G1091" s="14"/>
      <c r="H1091" s="15">
        <f t="shared" si="46"/>
        <v>10</v>
      </c>
      <c r="L1091" s="35"/>
    </row>
    <row r="1092" spans="1:12" x14ac:dyDescent="0.3">
      <c r="A1092" s="19">
        <f>COUNTIFS($B$2:B1092,B1092)</f>
        <v>8</v>
      </c>
      <c r="B1092" s="26" t="s">
        <v>575</v>
      </c>
      <c r="C1092" s="27">
        <v>20060368076542</v>
      </c>
      <c r="D1092" s="26" t="s">
        <v>577</v>
      </c>
      <c r="E1092" s="28">
        <v>20</v>
      </c>
      <c r="F1092" s="9"/>
      <c r="G1092" s="14"/>
      <c r="H1092" s="15">
        <f t="shared" si="46"/>
        <v>10</v>
      </c>
      <c r="L1092" s="35"/>
    </row>
    <row r="1093" spans="1:12" x14ac:dyDescent="0.3">
      <c r="A1093" s="19">
        <f>COUNTIFS($B$2:B1093,B1093)</f>
        <v>9</v>
      </c>
      <c r="B1093" s="26" t="s">
        <v>575</v>
      </c>
      <c r="C1093" s="27">
        <v>20060368076542</v>
      </c>
      <c r="D1093" s="26" t="s">
        <v>578</v>
      </c>
      <c r="E1093" s="28">
        <v>20</v>
      </c>
      <c r="F1093" s="9"/>
      <c r="G1093" s="14"/>
      <c r="H1093" s="15">
        <f t="shared" si="46"/>
        <v>10</v>
      </c>
      <c r="L1093" s="35"/>
    </row>
    <row r="1094" spans="1:12" x14ac:dyDescent="0.3">
      <c r="A1094" s="19">
        <f>COUNTIFS($B$2:B1094,B1094)</f>
        <v>1</v>
      </c>
      <c r="B1094" s="26" t="s">
        <v>579</v>
      </c>
      <c r="C1094" s="27">
        <v>20060368076543</v>
      </c>
      <c r="D1094" s="26" t="s">
        <v>580</v>
      </c>
      <c r="E1094" s="28">
        <v>0.41538461538461535</v>
      </c>
      <c r="F1094" s="9"/>
      <c r="G1094" s="14" t="str">
        <f t="shared" ref="G1094:G1102" si="47">IF(D1094="","",IF(COUNTIF(I:I,D1094)&gt;0,"O","X"))</f>
        <v>O</v>
      </c>
      <c r="H1094" s="15">
        <f t="shared" si="46"/>
        <v>0.20769230769230768</v>
      </c>
      <c r="L1094" s="35"/>
    </row>
    <row r="1095" spans="1:12" x14ac:dyDescent="0.3">
      <c r="A1095" s="19">
        <f>COUNTIFS($B$2:B1095,B1095)</f>
        <v>2</v>
      </c>
      <c r="B1095" s="26" t="s">
        <v>579</v>
      </c>
      <c r="C1095" s="27">
        <v>20060368076543</v>
      </c>
      <c r="D1095" s="26" t="s">
        <v>157</v>
      </c>
      <c r="E1095" s="28">
        <v>39.1891372081394</v>
      </c>
      <c r="F1095" s="9"/>
      <c r="G1095" s="14" t="str">
        <f t="shared" si="47"/>
        <v>O</v>
      </c>
      <c r="H1095" s="15">
        <f t="shared" si="46"/>
        <v>19.5945686040697</v>
      </c>
      <c r="L1095" s="35"/>
    </row>
    <row r="1096" spans="1:12" x14ac:dyDescent="0.3">
      <c r="A1096" s="19">
        <f>COUNTIFS($B$2:B1096,B1096)</f>
        <v>3</v>
      </c>
      <c r="B1096" s="26" t="s">
        <v>579</v>
      </c>
      <c r="C1096" s="27">
        <v>20060368076543</v>
      </c>
      <c r="D1096" s="26" t="s">
        <v>210</v>
      </c>
      <c r="E1096" s="28">
        <v>44.451282840327728</v>
      </c>
      <c r="F1096" s="9"/>
      <c r="G1096" s="14" t="str">
        <f t="shared" si="47"/>
        <v>O</v>
      </c>
      <c r="H1096" s="15">
        <f t="shared" si="46"/>
        <v>22.225641420163864</v>
      </c>
      <c r="L1096" s="35"/>
    </row>
    <row r="1097" spans="1:12" x14ac:dyDescent="0.3">
      <c r="A1097" s="19">
        <f>COUNTIFS($B$2:B1097,B1097)</f>
        <v>4</v>
      </c>
      <c r="B1097" s="26" t="s">
        <v>579</v>
      </c>
      <c r="C1097" s="27">
        <v>20060368076543</v>
      </c>
      <c r="D1097" s="26" t="s">
        <v>17</v>
      </c>
      <c r="E1097" s="28">
        <v>11.63211139746894</v>
      </c>
      <c r="F1097" s="9"/>
      <c r="G1097" s="14" t="str">
        <f t="shared" si="47"/>
        <v>O</v>
      </c>
      <c r="H1097" s="15">
        <f t="shared" si="46"/>
        <v>5.8160556987344698</v>
      </c>
      <c r="L1097" s="35"/>
    </row>
    <row r="1098" spans="1:12" x14ac:dyDescent="0.3">
      <c r="A1098" s="19">
        <f>COUNTIFS($B$2:B1098,B1098)</f>
        <v>5</v>
      </c>
      <c r="B1098" s="26" t="s">
        <v>579</v>
      </c>
      <c r="C1098" s="27">
        <v>20060368076543</v>
      </c>
      <c r="D1098" s="26" t="s">
        <v>206</v>
      </c>
      <c r="E1098" s="28">
        <v>52.206023771973697</v>
      </c>
      <c r="F1098" s="9"/>
      <c r="G1098" s="14" t="str">
        <f t="shared" si="47"/>
        <v>O</v>
      </c>
      <c r="H1098" s="15">
        <f t="shared" si="46"/>
        <v>26.103011885986849</v>
      </c>
      <c r="L1098" s="35"/>
    </row>
    <row r="1099" spans="1:12" x14ac:dyDescent="0.3">
      <c r="A1099" s="19">
        <f>COUNTIFS($B$2:B1099,B1099)</f>
        <v>6</v>
      </c>
      <c r="B1099" s="26" t="s">
        <v>579</v>
      </c>
      <c r="C1099" s="27">
        <v>20060368076543</v>
      </c>
      <c r="D1099" s="26" t="s">
        <v>172</v>
      </c>
      <c r="E1099" s="28">
        <v>5.2621456321883295</v>
      </c>
      <c r="F1099" s="9"/>
      <c r="G1099" s="14" t="str">
        <f t="shared" si="47"/>
        <v>O</v>
      </c>
      <c r="H1099" s="15">
        <f t="shared" si="46"/>
        <v>2.6310728160941648</v>
      </c>
      <c r="L1099" s="35"/>
    </row>
    <row r="1100" spans="1:12" x14ac:dyDescent="0.3">
      <c r="A1100" s="19">
        <f>COUNTIFS($B$2:B1100,B1100)</f>
        <v>7</v>
      </c>
      <c r="B1100" s="26" t="s">
        <v>579</v>
      </c>
      <c r="C1100" s="27">
        <v>20060368076543</v>
      </c>
      <c r="D1100" s="26" t="s">
        <v>141</v>
      </c>
      <c r="E1100" s="28">
        <v>23.541177828210948</v>
      </c>
      <c r="F1100" s="9"/>
      <c r="G1100" s="14" t="str">
        <f t="shared" si="47"/>
        <v>O</v>
      </c>
      <c r="H1100" s="15">
        <f t="shared" si="46"/>
        <v>11.770588914105474</v>
      </c>
      <c r="L1100" s="35"/>
    </row>
    <row r="1101" spans="1:12" x14ac:dyDescent="0.3">
      <c r="A1101" s="19">
        <f>COUNTIFS($B$2:B1101,B1101)</f>
        <v>8</v>
      </c>
      <c r="B1101" s="26" t="s">
        <v>579</v>
      </c>
      <c r="C1101" s="27">
        <v>20060368076543</v>
      </c>
      <c r="D1101" s="26" t="s">
        <v>222</v>
      </c>
      <c r="E1101" s="28">
        <v>0.3946609224141247</v>
      </c>
      <c r="F1101" s="9"/>
      <c r="G1101" s="14" t="str">
        <f t="shared" si="47"/>
        <v>O</v>
      </c>
      <c r="H1101" s="15">
        <f t="shared" si="46"/>
        <v>0.19733046120706235</v>
      </c>
      <c r="L1101" s="35"/>
    </row>
    <row r="1102" spans="1:12" x14ac:dyDescent="0.3">
      <c r="A1102" s="19">
        <f>COUNTIFS($B$2:B1102,B1102)</f>
        <v>9</v>
      </c>
      <c r="B1102" s="26" t="s">
        <v>579</v>
      </c>
      <c r="C1102" s="27">
        <v>20060368076543</v>
      </c>
      <c r="D1102" s="26" t="s">
        <v>255</v>
      </c>
      <c r="E1102" s="28">
        <v>3.323460399276839</v>
      </c>
      <c r="F1102" s="9"/>
      <c r="G1102" s="14" t="str">
        <f t="shared" si="47"/>
        <v>O</v>
      </c>
      <c r="H1102" s="15">
        <f t="shared" si="46"/>
        <v>1.6617301996384195</v>
      </c>
      <c r="L1102" s="35"/>
    </row>
    <row r="1103" spans="1:12" x14ac:dyDescent="0.3">
      <c r="A1103" s="19">
        <f>COUNTIFS($B$2:B1103,B1103)</f>
        <v>10</v>
      </c>
      <c r="B1103" s="26" t="s">
        <v>579</v>
      </c>
      <c r="C1103" s="27">
        <v>20060368076543</v>
      </c>
      <c r="D1103" s="26" t="s">
        <v>576</v>
      </c>
      <c r="E1103" s="28">
        <v>20</v>
      </c>
      <c r="F1103" s="9"/>
      <c r="G1103" s="14"/>
      <c r="H1103" s="15">
        <f t="shared" si="46"/>
        <v>10</v>
      </c>
      <c r="L1103" s="35"/>
    </row>
    <row r="1104" spans="1:12" x14ac:dyDescent="0.3">
      <c r="A1104" s="19">
        <f>COUNTIFS($B$2:B1104,B1104)</f>
        <v>11</v>
      </c>
      <c r="B1104" s="26" t="s">
        <v>579</v>
      </c>
      <c r="C1104" s="27">
        <v>20060368076543</v>
      </c>
      <c r="D1104" s="26" t="s">
        <v>577</v>
      </c>
      <c r="E1104" s="28">
        <v>20</v>
      </c>
      <c r="F1104" s="9"/>
      <c r="G1104" s="14"/>
      <c r="H1104" s="15">
        <f t="shared" si="46"/>
        <v>10</v>
      </c>
      <c r="L1104" s="35"/>
    </row>
    <row r="1105" spans="1:12" x14ac:dyDescent="0.3">
      <c r="A1105" s="19">
        <f>COUNTIFS($B$2:B1105,B1105)</f>
        <v>12</v>
      </c>
      <c r="B1105" s="26" t="s">
        <v>579</v>
      </c>
      <c r="C1105" s="27">
        <v>20060368076543</v>
      </c>
      <c r="D1105" s="26" t="s">
        <v>578</v>
      </c>
      <c r="E1105" s="28">
        <v>20</v>
      </c>
      <c r="F1105" s="9"/>
      <c r="G1105" s="14"/>
      <c r="H1105" s="15">
        <f t="shared" si="46"/>
        <v>10</v>
      </c>
      <c r="L1105" s="35"/>
    </row>
    <row r="1106" spans="1:12" x14ac:dyDescent="0.3">
      <c r="A1106" s="31">
        <f>COUNTIFS($B$2:B1106,B1106)</f>
        <v>1</v>
      </c>
      <c r="B1106" s="42" t="s">
        <v>267</v>
      </c>
      <c r="C1106" s="32">
        <v>20060368076543</v>
      </c>
      <c r="D1106" s="26" t="s">
        <v>581</v>
      </c>
      <c r="E1106" s="28">
        <v>30.4</v>
      </c>
      <c r="F1106" s="9"/>
      <c r="G1106" s="14" t="str">
        <f t="shared" ref="G1106:G1169" si="48">IF(D1106="","",IF(COUNTIF(I:I,D1106)&gt;0,"O","X"))</f>
        <v>O</v>
      </c>
      <c r="H1106" s="15">
        <f t="shared" si="46"/>
        <v>15.2</v>
      </c>
      <c r="L1106" s="35"/>
    </row>
    <row r="1107" spans="1:12" x14ac:dyDescent="0.3">
      <c r="A1107" s="31">
        <f>COUNTIFS($B$2:B1107,B1107)</f>
        <v>2</v>
      </c>
      <c r="B1107" s="42" t="s">
        <v>267</v>
      </c>
      <c r="C1107" s="32">
        <v>20060368076543</v>
      </c>
      <c r="D1107" s="26" t="s">
        <v>155</v>
      </c>
      <c r="E1107" s="28">
        <v>0.6</v>
      </c>
      <c r="F1107" s="9"/>
      <c r="G1107" s="14" t="str">
        <f t="shared" si="48"/>
        <v>O</v>
      </c>
      <c r="H1107" s="15">
        <f t="shared" si="46"/>
        <v>0.3</v>
      </c>
      <c r="L1107" s="35"/>
    </row>
    <row r="1108" spans="1:12" x14ac:dyDescent="0.3">
      <c r="A1108" s="31">
        <f>COUNTIFS($B$2:B1108,B1108)</f>
        <v>3</v>
      </c>
      <c r="B1108" s="26" t="s">
        <v>267</v>
      </c>
      <c r="C1108" s="32">
        <v>20060368076543</v>
      </c>
      <c r="D1108" s="26" t="s">
        <v>164</v>
      </c>
      <c r="E1108" s="28">
        <v>1</v>
      </c>
      <c r="F1108" s="9"/>
      <c r="G1108" s="14" t="str">
        <f t="shared" si="48"/>
        <v>O</v>
      </c>
      <c r="H1108" s="15">
        <f t="shared" si="46"/>
        <v>0.5</v>
      </c>
      <c r="L1108" s="35"/>
    </row>
    <row r="1109" spans="1:12" x14ac:dyDescent="0.3">
      <c r="A1109" s="31">
        <f>COUNTIFS($B$2:B1109,B1109)</f>
        <v>4</v>
      </c>
      <c r="B1109" s="26" t="s">
        <v>267</v>
      </c>
      <c r="C1109" s="32">
        <v>20060368076543</v>
      </c>
      <c r="D1109" s="26" t="s">
        <v>48</v>
      </c>
      <c r="E1109" s="28">
        <v>1.8</v>
      </c>
      <c r="F1109" s="9"/>
      <c r="G1109" s="14" t="str">
        <f t="shared" si="48"/>
        <v>O</v>
      </c>
      <c r="H1109" s="15">
        <f t="shared" si="46"/>
        <v>0.9</v>
      </c>
      <c r="L1109" s="35"/>
    </row>
    <row r="1110" spans="1:12" x14ac:dyDescent="0.3">
      <c r="A1110" s="31">
        <f>COUNTIFS($B$2:B1110,B1110)</f>
        <v>5</v>
      </c>
      <c r="B1110" s="26" t="s">
        <v>267</v>
      </c>
      <c r="C1110" s="32">
        <v>20060368076543</v>
      </c>
      <c r="D1110" s="26" t="s">
        <v>111</v>
      </c>
      <c r="E1110" s="28">
        <v>6.1</v>
      </c>
      <c r="F1110" s="9"/>
      <c r="G1110" s="14" t="str">
        <f t="shared" si="48"/>
        <v>O</v>
      </c>
      <c r="H1110" s="15">
        <f t="shared" si="46"/>
        <v>3.05</v>
      </c>
      <c r="L1110" s="35"/>
    </row>
    <row r="1111" spans="1:12" x14ac:dyDescent="0.3">
      <c r="A1111" s="31">
        <f>COUNTIFS($B$2:B1111,B1111)</f>
        <v>6</v>
      </c>
      <c r="B1111" s="26" t="s">
        <v>267</v>
      </c>
      <c r="C1111" s="32">
        <v>20060368076543</v>
      </c>
      <c r="D1111" s="26" t="s">
        <v>218</v>
      </c>
      <c r="E1111" s="28">
        <v>0.1</v>
      </c>
      <c r="F1111" s="9"/>
      <c r="G1111" s="14" t="str">
        <f t="shared" si="48"/>
        <v>O</v>
      </c>
      <c r="H1111" s="15">
        <f t="shared" si="46"/>
        <v>0.05</v>
      </c>
      <c r="L1111" s="35"/>
    </row>
    <row r="1112" spans="1:12" x14ac:dyDescent="0.3">
      <c r="A1112" s="31">
        <f>COUNTIFS($B$2:B1112,B1112)</f>
        <v>7</v>
      </c>
      <c r="B1112" s="26" t="s">
        <v>267</v>
      </c>
      <c r="C1112" s="32">
        <v>20060368076543</v>
      </c>
      <c r="D1112" s="26" t="s">
        <v>116</v>
      </c>
      <c r="E1112" s="28">
        <v>4.7</v>
      </c>
      <c r="F1112" s="9"/>
      <c r="G1112" s="14" t="str">
        <f t="shared" si="48"/>
        <v>O</v>
      </c>
      <c r="H1112" s="15">
        <f t="shared" si="46"/>
        <v>2.35</v>
      </c>
      <c r="L1112" s="35"/>
    </row>
    <row r="1113" spans="1:12" x14ac:dyDescent="0.3">
      <c r="A1113" s="31">
        <f>COUNTIFS($B$2:B1113,B1113)</f>
        <v>8</v>
      </c>
      <c r="B1113" s="26" t="s">
        <v>267</v>
      </c>
      <c r="C1113" s="32">
        <v>20060368076543</v>
      </c>
      <c r="D1113" s="26" t="s">
        <v>114</v>
      </c>
      <c r="E1113" s="28">
        <v>6.1</v>
      </c>
      <c r="F1113" s="9"/>
      <c r="G1113" s="14" t="str">
        <f t="shared" si="48"/>
        <v>O</v>
      </c>
      <c r="H1113" s="15">
        <f t="shared" si="46"/>
        <v>3.05</v>
      </c>
      <c r="L1113" s="35"/>
    </row>
    <row r="1114" spans="1:12" x14ac:dyDescent="0.3">
      <c r="A1114" s="31">
        <f>COUNTIFS($B$2:B1114,B1114)</f>
        <v>9</v>
      </c>
      <c r="B1114" s="26" t="s">
        <v>267</v>
      </c>
      <c r="C1114" s="32">
        <v>20060368076543</v>
      </c>
      <c r="D1114" s="26" t="s">
        <v>518</v>
      </c>
      <c r="E1114" s="28">
        <v>5.5</v>
      </c>
      <c r="F1114" s="9"/>
      <c r="G1114" s="14" t="str">
        <f t="shared" si="48"/>
        <v>O</v>
      </c>
      <c r="H1114" s="15">
        <f t="shared" si="46"/>
        <v>2.75</v>
      </c>
      <c r="L1114" s="35"/>
    </row>
    <row r="1115" spans="1:12" x14ac:dyDescent="0.3">
      <c r="A1115" s="31">
        <f>COUNTIFS($B$2:B1115,B1115)</f>
        <v>10</v>
      </c>
      <c r="B1115" s="26" t="s">
        <v>267</v>
      </c>
      <c r="C1115" s="32">
        <v>20060368076543</v>
      </c>
      <c r="D1115" s="26" t="s">
        <v>196</v>
      </c>
      <c r="E1115" s="28">
        <v>4.9000000000000004</v>
      </c>
      <c r="F1115" s="9"/>
      <c r="G1115" s="14" t="str">
        <f t="shared" si="48"/>
        <v>O</v>
      </c>
      <c r="H1115" s="15">
        <f t="shared" si="46"/>
        <v>2.4500000000000002</v>
      </c>
      <c r="L1115" s="35"/>
    </row>
    <row r="1116" spans="1:12" x14ac:dyDescent="0.3">
      <c r="A1116" s="31">
        <f>COUNTIFS($B$2:B1116,B1116)</f>
        <v>11</v>
      </c>
      <c r="B1116" s="26" t="s">
        <v>267</v>
      </c>
      <c r="C1116" s="32">
        <v>20060368076543</v>
      </c>
      <c r="D1116" s="26" t="s">
        <v>32</v>
      </c>
      <c r="E1116" s="28">
        <v>0.4</v>
      </c>
      <c r="F1116" s="9"/>
      <c r="G1116" s="14" t="str">
        <f t="shared" si="48"/>
        <v>O</v>
      </c>
      <c r="H1116" s="15">
        <f t="shared" si="46"/>
        <v>0.2</v>
      </c>
      <c r="L1116" s="35"/>
    </row>
    <row r="1117" spans="1:12" x14ac:dyDescent="0.3">
      <c r="A1117" s="31">
        <f>COUNTIFS($B$2:B1117,B1117)</f>
        <v>12</v>
      </c>
      <c r="B1117" s="26" t="s">
        <v>267</v>
      </c>
      <c r="C1117" s="32">
        <v>20060368076543</v>
      </c>
      <c r="D1117" s="26" t="s">
        <v>80</v>
      </c>
      <c r="E1117" s="28">
        <v>3.6</v>
      </c>
      <c r="F1117" s="9"/>
      <c r="G1117" s="14" t="str">
        <f t="shared" si="48"/>
        <v>O</v>
      </c>
      <c r="H1117" s="15">
        <f t="shared" si="46"/>
        <v>1.8</v>
      </c>
      <c r="L1117" s="35"/>
    </row>
    <row r="1118" spans="1:12" x14ac:dyDescent="0.3">
      <c r="A1118" s="31">
        <f>COUNTIFS($B$2:B1118,B1118)</f>
        <v>13</v>
      </c>
      <c r="B1118" s="26" t="s">
        <v>267</v>
      </c>
      <c r="C1118" s="32">
        <v>20060368076543</v>
      </c>
      <c r="D1118" s="26" t="s">
        <v>582</v>
      </c>
      <c r="E1118" s="28">
        <v>48</v>
      </c>
      <c r="F1118" s="9"/>
      <c r="G1118" s="14" t="str">
        <f t="shared" si="48"/>
        <v>O</v>
      </c>
      <c r="H1118" s="15">
        <f t="shared" si="46"/>
        <v>24</v>
      </c>
      <c r="L1118" s="35"/>
    </row>
    <row r="1119" spans="1:12" x14ac:dyDescent="0.3">
      <c r="A1119" s="31">
        <f>COUNTIFS($B$2:B1119,B1119)</f>
        <v>14</v>
      </c>
      <c r="B1119" s="26" t="s">
        <v>267</v>
      </c>
      <c r="C1119" s="32">
        <v>20060368076543</v>
      </c>
      <c r="D1119" s="26" t="s">
        <v>33</v>
      </c>
      <c r="E1119" s="28">
        <v>2</v>
      </c>
      <c r="F1119" s="9"/>
      <c r="G1119" s="14" t="str">
        <f t="shared" si="48"/>
        <v>O</v>
      </c>
      <c r="H1119" s="15">
        <f t="shared" si="46"/>
        <v>1</v>
      </c>
      <c r="L1119" s="35"/>
    </row>
    <row r="1120" spans="1:12" x14ac:dyDescent="0.3">
      <c r="A1120" s="23">
        <f>COUNTIFS($B$2:B1120,B1120)</f>
        <v>1</v>
      </c>
      <c r="B1120" s="20" t="s">
        <v>269</v>
      </c>
      <c r="C1120" s="24">
        <v>20060368076243</v>
      </c>
      <c r="D1120" s="20" t="s">
        <v>210</v>
      </c>
      <c r="E1120" s="22">
        <v>54.49</v>
      </c>
      <c r="F1120" s="9"/>
      <c r="G1120" s="14" t="str">
        <f t="shared" si="48"/>
        <v>O</v>
      </c>
      <c r="H1120" s="15">
        <f t="shared" si="46"/>
        <v>27.245000000000001</v>
      </c>
      <c r="L1120" s="35"/>
    </row>
    <row r="1121" spans="1:12" x14ac:dyDescent="0.3">
      <c r="A1121" s="19">
        <f>COUNTIFS($B$2:B1121,B1121)</f>
        <v>2</v>
      </c>
      <c r="B1121" s="20" t="s">
        <v>269</v>
      </c>
      <c r="C1121" s="24">
        <v>20060368076243</v>
      </c>
      <c r="D1121" s="20" t="s">
        <v>213</v>
      </c>
      <c r="E1121" s="22">
        <v>43.71</v>
      </c>
      <c r="F1121" s="9"/>
      <c r="G1121" s="14" t="str">
        <f t="shared" si="48"/>
        <v>O</v>
      </c>
      <c r="H1121" s="15">
        <f t="shared" si="46"/>
        <v>21.855</v>
      </c>
      <c r="L1121" s="35"/>
    </row>
    <row r="1122" spans="1:12" x14ac:dyDescent="0.3">
      <c r="A1122" s="19">
        <f>COUNTIFS($B$2:B1122,B1122)</f>
        <v>3</v>
      </c>
      <c r="B1122" s="20" t="s">
        <v>269</v>
      </c>
      <c r="C1122" s="24">
        <v>20060368076243</v>
      </c>
      <c r="D1122" s="20" t="s">
        <v>222</v>
      </c>
      <c r="E1122" s="22">
        <v>0.49</v>
      </c>
      <c r="F1122" s="9"/>
      <c r="G1122" s="14" t="str">
        <f t="shared" si="48"/>
        <v>O</v>
      </c>
      <c r="H1122" s="15">
        <f t="shared" si="46"/>
        <v>0.245</v>
      </c>
      <c r="L1122" s="35"/>
    </row>
    <row r="1123" spans="1:12" x14ac:dyDescent="0.3">
      <c r="A1123" s="19">
        <f>COUNTIFS($B$2:B1123,B1123)</f>
        <v>4</v>
      </c>
      <c r="B1123" s="20" t="s">
        <v>269</v>
      </c>
      <c r="C1123" s="24">
        <v>20060368076243</v>
      </c>
      <c r="D1123" s="20" t="s">
        <v>17</v>
      </c>
      <c r="E1123" s="22">
        <v>10.87</v>
      </c>
      <c r="F1123" s="9"/>
      <c r="G1123" s="14" t="str">
        <f t="shared" si="48"/>
        <v>O</v>
      </c>
      <c r="H1123" s="15">
        <f t="shared" si="46"/>
        <v>5.4349999999999996</v>
      </c>
      <c r="L1123" s="35"/>
    </row>
    <row r="1124" spans="1:12" x14ac:dyDescent="0.3">
      <c r="A1124" s="19">
        <f>COUNTIFS($B$2:B1124,B1124)</f>
        <v>5</v>
      </c>
      <c r="B1124" s="20" t="s">
        <v>269</v>
      </c>
      <c r="C1124" s="24">
        <v>20060368076243</v>
      </c>
      <c r="D1124" s="20" t="s">
        <v>141</v>
      </c>
      <c r="E1124" s="22">
        <v>26.79507692307692</v>
      </c>
      <c r="F1124" s="9"/>
      <c r="G1124" s="14" t="str">
        <f t="shared" si="48"/>
        <v>O</v>
      </c>
      <c r="H1124" s="15">
        <f t="shared" si="46"/>
        <v>13.39753846153846</v>
      </c>
      <c r="L1124" s="35"/>
    </row>
    <row r="1125" spans="1:12" x14ac:dyDescent="0.3">
      <c r="A1125" s="19">
        <f>COUNTIFS($B$2:B1125,B1125)</f>
        <v>6</v>
      </c>
      <c r="B1125" s="20" t="s">
        <v>269</v>
      </c>
      <c r="C1125" s="24">
        <v>20060368076243</v>
      </c>
      <c r="D1125" s="20" t="s">
        <v>206</v>
      </c>
      <c r="E1125" s="22">
        <v>72.86953846153844</v>
      </c>
      <c r="F1125" s="9"/>
      <c r="G1125" s="14" t="str">
        <f t="shared" si="48"/>
        <v>O</v>
      </c>
      <c r="H1125" s="15">
        <f t="shared" si="46"/>
        <v>36.43476923076922</v>
      </c>
      <c r="L1125" s="35"/>
    </row>
    <row r="1126" spans="1:12" x14ac:dyDescent="0.3">
      <c r="A1126" s="19">
        <f>COUNTIFS($B$2:B1126,B1126)</f>
        <v>7</v>
      </c>
      <c r="B1126" s="20" t="s">
        <v>269</v>
      </c>
      <c r="C1126" s="24">
        <v>20060368076243</v>
      </c>
      <c r="D1126" s="20" t="s">
        <v>583</v>
      </c>
      <c r="E1126" s="22">
        <v>2.7</v>
      </c>
      <c r="F1126" s="9"/>
      <c r="G1126" s="14" t="str">
        <f t="shared" si="48"/>
        <v>O</v>
      </c>
      <c r="H1126" s="15">
        <f t="shared" si="46"/>
        <v>1.35</v>
      </c>
      <c r="L1126" s="35"/>
    </row>
    <row r="1127" spans="1:12" x14ac:dyDescent="0.3">
      <c r="A1127" s="19">
        <f>COUNTIFS($B$2:B1127,B1127)</f>
        <v>8</v>
      </c>
      <c r="B1127" s="20" t="s">
        <v>269</v>
      </c>
      <c r="C1127" s="24">
        <v>20060368076243</v>
      </c>
      <c r="D1127" s="20" t="s">
        <v>214</v>
      </c>
      <c r="E1127" s="22">
        <v>0.49</v>
      </c>
      <c r="F1127" s="9"/>
      <c r="G1127" s="14" t="str">
        <f t="shared" si="48"/>
        <v>O</v>
      </c>
      <c r="H1127" s="15">
        <f t="shared" si="46"/>
        <v>0.245</v>
      </c>
      <c r="L1127" s="35"/>
    </row>
    <row r="1128" spans="1:12" x14ac:dyDescent="0.3">
      <c r="A1128" s="23">
        <f>COUNTIFS($B$2:B1128,B1128)</f>
        <v>1</v>
      </c>
      <c r="B1128" s="20" t="s">
        <v>584</v>
      </c>
      <c r="C1128" s="21">
        <v>20060368076547</v>
      </c>
      <c r="D1128" s="20" t="s">
        <v>210</v>
      </c>
      <c r="E1128" s="22">
        <v>30.27</v>
      </c>
      <c r="F1128" s="9"/>
      <c r="G1128" s="14" t="str">
        <f t="shared" si="48"/>
        <v>O</v>
      </c>
      <c r="H1128" s="15">
        <f t="shared" si="46"/>
        <v>15.135</v>
      </c>
      <c r="L1128" s="35"/>
    </row>
    <row r="1129" spans="1:12" x14ac:dyDescent="0.3">
      <c r="A1129" s="19">
        <f>COUNTIFS($B$2:B1129,B1129)</f>
        <v>2</v>
      </c>
      <c r="B1129" s="20" t="s">
        <v>584</v>
      </c>
      <c r="C1129" s="21">
        <v>20060368076547</v>
      </c>
      <c r="D1129" s="20" t="s">
        <v>213</v>
      </c>
      <c r="E1129" s="22">
        <v>24.280769230769224</v>
      </c>
      <c r="F1129" s="9"/>
      <c r="G1129" s="14" t="str">
        <f t="shared" si="48"/>
        <v>O</v>
      </c>
      <c r="H1129" s="15">
        <f t="shared" si="46"/>
        <v>12.140384615384612</v>
      </c>
      <c r="L1129" s="35"/>
    </row>
    <row r="1130" spans="1:12" x14ac:dyDescent="0.3">
      <c r="A1130" s="19">
        <f>COUNTIFS($B$2:B1130,B1130)</f>
        <v>3</v>
      </c>
      <c r="B1130" s="20" t="s">
        <v>584</v>
      </c>
      <c r="C1130" s="21">
        <v>20060368076547</v>
      </c>
      <c r="D1130" s="20" t="s">
        <v>222</v>
      </c>
      <c r="E1130" s="22">
        <v>0.27230769230769225</v>
      </c>
      <c r="F1130" s="9"/>
      <c r="G1130" s="14" t="str">
        <f t="shared" si="48"/>
        <v>O</v>
      </c>
      <c r="H1130" s="15">
        <f t="shared" si="46"/>
        <v>0.13615384615384613</v>
      </c>
      <c r="L1130" s="35"/>
    </row>
    <row r="1131" spans="1:12" x14ac:dyDescent="0.3">
      <c r="A1131" s="19">
        <f>COUNTIFS($B$2:B1131,B1131)</f>
        <v>4</v>
      </c>
      <c r="B1131" s="20" t="s">
        <v>584</v>
      </c>
      <c r="C1131" s="21">
        <v>20060368076547</v>
      </c>
      <c r="D1131" s="20" t="s">
        <v>17</v>
      </c>
      <c r="E1131" s="22">
        <v>6.0361538461538453</v>
      </c>
      <c r="F1131" s="9"/>
      <c r="G1131" s="14" t="str">
        <f t="shared" si="48"/>
        <v>O</v>
      </c>
      <c r="H1131" s="15">
        <f t="shared" si="46"/>
        <v>3.0180769230769227</v>
      </c>
      <c r="L1131" s="35"/>
    </row>
    <row r="1132" spans="1:12" x14ac:dyDescent="0.3">
      <c r="A1132" s="19">
        <f>COUNTIFS($B$2:B1132,B1132)</f>
        <v>5</v>
      </c>
      <c r="B1132" s="20" t="s">
        <v>584</v>
      </c>
      <c r="C1132" s="21">
        <v>20060368076547</v>
      </c>
      <c r="D1132" s="20" t="s">
        <v>141</v>
      </c>
      <c r="E1132" s="22">
        <v>14.886153846153842</v>
      </c>
      <c r="F1132" s="9"/>
      <c r="G1132" s="14" t="str">
        <f t="shared" si="48"/>
        <v>O</v>
      </c>
      <c r="H1132" s="15">
        <f t="shared" si="46"/>
        <v>7.4430769230769211</v>
      </c>
      <c r="L1132" s="35"/>
    </row>
    <row r="1133" spans="1:12" x14ac:dyDescent="0.3">
      <c r="A1133" s="19">
        <f>COUNTIFS($B$2:B1133,B1133)</f>
        <v>6</v>
      </c>
      <c r="B1133" s="20" t="s">
        <v>584</v>
      </c>
      <c r="C1133" s="21">
        <v>20060368076547</v>
      </c>
      <c r="D1133" s="20" t="s">
        <v>206</v>
      </c>
      <c r="E1133" s="22">
        <v>40.483076923076908</v>
      </c>
      <c r="F1133" s="9"/>
      <c r="G1133" s="14" t="str">
        <f t="shared" si="48"/>
        <v>O</v>
      </c>
      <c r="H1133" s="15">
        <f t="shared" si="46"/>
        <v>20.241538461538454</v>
      </c>
      <c r="L1133" s="35"/>
    </row>
    <row r="1134" spans="1:12" x14ac:dyDescent="0.3">
      <c r="A1134" s="19">
        <f>COUNTIFS($B$2:B1134,B1134)</f>
        <v>7</v>
      </c>
      <c r="B1134" s="20" t="s">
        <v>584</v>
      </c>
      <c r="C1134" s="21">
        <v>20060368076547</v>
      </c>
      <c r="D1134" s="20" t="s">
        <v>583</v>
      </c>
      <c r="E1134" s="22">
        <v>1.4976923076923074</v>
      </c>
      <c r="F1134" s="9"/>
      <c r="G1134" s="14" t="str">
        <f t="shared" si="48"/>
        <v>O</v>
      </c>
      <c r="H1134" s="15">
        <f t="shared" si="46"/>
        <v>0.74884615384615372</v>
      </c>
      <c r="L1134" s="35"/>
    </row>
    <row r="1135" spans="1:12" x14ac:dyDescent="0.3">
      <c r="A1135" s="19">
        <f>COUNTIFS($B$2:B1135,B1135)</f>
        <v>8</v>
      </c>
      <c r="B1135" s="20" t="s">
        <v>584</v>
      </c>
      <c r="C1135" s="21">
        <v>20060368076547</v>
      </c>
      <c r="D1135" s="20" t="s">
        <v>214</v>
      </c>
      <c r="E1135" s="22">
        <v>0.27</v>
      </c>
      <c r="F1135" s="9"/>
      <c r="G1135" s="14" t="str">
        <f t="shared" si="48"/>
        <v>O</v>
      </c>
      <c r="H1135" s="15">
        <f t="shared" si="46"/>
        <v>0.13500000000000001</v>
      </c>
      <c r="L1135" s="35"/>
    </row>
    <row r="1136" spans="1:12" x14ac:dyDescent="0.3">
      <c r="A1136" s="23">
        <f>COUNTIFS($B$2:B1136,B1136)</f>
        <v>1</v>
      </c>
      <c r="B1136" s="20" t="s">
        <v>274</v>
      </c>
      <c r="C1136" s="24">
        <v>20060368076242</v>
      </c>
      <c r="D1136" s="20" t="s">
        <v>157</v>
      </c>
      <c r="E1136" s="22">
        <v>46.243181905604487</v>
      </c>
      <c r="F1136" s="9"/>
      <c r="G1136" s="14" t="str">
        <f t="shared" si="48"/>
        <v>O</v>
      </c>
      <c r="H1136" s="15">
        <f t="shared" si="46"/>
        <v>23.121590952802244</v>
      </c>
      <c r="L1136" s="35"/>
    </row>
    <row r="1137" spans="1:12" x14ac:dyDescent="0.3">
      <c r="A1137" s="19">
        <f>COUNTIFS($B$2:B1137,B1137)</f>
        <v>2</v>
      </c>
      <c r="B1137" s="20" t="s">
        <v>274</v>
      </c>
      <c r="C1137" s="24">
        <v>20060368076242</v>
      </c>
      <c r="D1137" s="20" t="s">
        <v>210</v>
      </c>
      <c r="E1137" s="22">
        <v>52.452513751586714</v>
      </c>
      <c r="F1137" s="9"/>
      <c r="G1137" s="14" t="str">
        <f t="shared" si="48"/>
        <v>O</v>
      </c>
      <c r="H1137" s="15">
        <f t="shared" si="46"/>
        <v>26.226256875793357</v>
      </c>
      <c r="L1137" s="35"/>
    </row>
    <row r="1138" spans="1:12" x14ac:dyDescent="0.3">
      <c r="A1138" s="19">
        <f>COUNTIFS($B$2:B1138,B1138)</f>
        <v>3</v>
      </c>
      <c r="B1138" s="20" t="s">
        <v>274</v>
      </c>
      <c r="C1138" s="24">
        <v>20060368076242</v>
      </c>
      <c r="D1138" s="20" t="s">
        <v>17</v>
      </c>
      <c r="E1138" s="22">
        <v>13.725891449013348</v>
      </c>
      <c r="F1138" s="9"/>
      <c r="G1138" s="14" t="str">
        <f t="shared" si="48"/>
        <v>O</v>
      </c>
      <c r="H1138" s="15">
        <f t="shared" si="46"/>
        <v>6.8629457245066741</v>
      </c>
      <c r="L1138" s="35"/>
    </row>
    <row r="1139" spans="1:12" x14ac:dyDescent="0.3">
      <c r="A1139" s="19">
        <f>COUNTIFS($B$2:B1139,B1139)</f>
        <v>4</v>
      </c>
      <c r="B1139" s="20" t="s">
        <v>274</v>
      </c>
      <c r="C1139" s="24">
        <v>20060368076242</v>
      </c>
      <c r="D1139" s="20" t="s">
        <v>206</v>
      </c>
      <c r="E1139" s="22">
        <v>61.603108050928959</v>
      </c>
      <c r="F1139" s="9"/>
      <c r="G1139" s="14" t="str">
        <f t="shared" si="48"/>
        <v>O</v>
      </c>
      <c r="H1139" s="15">
        <f t="shared" si="46"/>
        <v>30.80155402546448</v>
      </c>
      <c r="L1139" s="35"/>
    </row>
    <row r="1140" spans="1:12" x14ac:dyDescent="0.3">
      <c r="A1140" s="19">
        <f>COUNTIFS($B$2:B1140,B1140)</f>
        <v>5</v>
      </c>
      <c r="B1140" s="20" t="s">
        <v>274</v>
      </c>
      <c r="C1140" s="24">
        <v>20060368076242</v>
      </c>
      <c r="D1140" s="20" t="s">
        <v>172</v>
      </c>
      <c r="E1140" s="22">
        <v>6.2093318459822289</v>
      </c>
      <c r="F1140" s="9"/>
      <c r="G1140" s="14" t="str">
        <f t="shared" si="48"/>
        <v>O</v>
      </c>
      <c r="H1140" s="15">
        <f t="shared" si="46"/>
        <v>3.1046659229911144</v>
      </c>
      <c r="L1140" s="35"/>
    </row>
    <row r="1141" spans="1:12" x14ac:dyDescent="0.3">
      <c r="A1141" s="19">
        <f>COUNTIFS($B$2:B1141,B1141)</f>
        <v>6</v>
      </c>
      <c r="B1141" s="20" t="s">
        <v>274</v>
      </c>
      <c r="C1141" s="24">
        <v>20060368076242</v>
      </c>
      <c r="D1141" s="20" t="s">
        <v>141</v>
      </c>
      <c r="E1141" s="22">
        <v>27.778589837288916</v>
      </c>
      <c r="F1141" s="9"/>
      <c r="G1141" s="14" t="str">
        <f t="shared" si="48"/>
        <v>O</v>
      </c>
      <c r="H1141" s="15">
        <f t="shared" ref="H1141:H1204" si="49">E1141/2</f>
        <v>13.889294918644458</v>
      </c>
      <c r="L1141" s="35"/>
    </row>
    <row r="1142" spans="1:12" x14ac:dyDescent="0.3">
      <c r="A1142" s="19">
        <f>COUNTIFS($B$2:B1142,B1142)</f>
        <v>7</v>
      </c>
      <c r="B1142" s="20" t="s">
        <v>274</v>
      </c>
      <c r="C1142" s="24">
        <v>20060368076242</v>
      </c>
      <c r="D1142" s="20" t="s">
        <v>222</v>
      </c>
      <c r="E1142" s="22">
        <v>0.46569988844866711</v>
      </c>
      <c r="F1142" s="9"/>
      <c r="G1142" s="14" t="str">
        <f t="shared" si="48"/>
        <v>O</v>
      </c>
      <c r="H1142" s="15">
        <f t="shared" si="49"/>
        <v>0.23284994422433355</v>
      </c>
      <c r="L1142" s="35"/>
    </row>
    <row r="1143" spans="1:12" x14ac:dyDescent="0.3">
      <c r="A1143" s="19">
        <f>COUNTIFS($B$2:B1143,B1143)</f>
        <v>8</v>
      </c>
      <c r="B1143" s="20" t="s">
        <v>274</v>
      </c>
      <c r="C1143" s="24">
        <v>20060368076242</v>
      </c>
      <c r="D1143" s="20" t="s">
        <v>255</v>
      </c>
      <c r="E1143" s="22">
        <v>3.9216832711466698</v>
      </c>
      <c r="F1143" s="9"/>
      <c r="G1143" s="14" t="str">
        <f t="shared" si="48"/>
        <v>O</v>
      </c>
      <c r="H1143" s="15">
        <f t="shared" si="49"/>
        <v>1.9608416355733349</v>
      </c>
      <c r="L1143" s="35"/>
    </row>
    <row r="1144" spans="1:12" x14ac:dyDescent="0.3">
      <c r="A1144" s="19">
        <f>COUNTIFS($B$2:B1144,B1144)</f>
        <v>1</v>
      </c>
      <c r="B1144" s="20" t="s">
        <v>585</v>
      </c>
      <c r="C1144" s="21">
        <v>20060368076548</v>
      </c>
      <c r="D1144" s="20" t="s">
        <v>157</v>
      </c>
      <c r="E1144" s="22">
        <v>25.69</v>
      </c>
      <c r="F1144" s="9"/>
      <c r="G1144" s="14" t="str">
        <f t="shared" si="48"/>
        <v>O</v>
      </c>
      <c r="H1144" s="15">
        <f t="shared" si="49"/>
        <v>12.845000000000001</v>
      </c>
      <c r="L1144" s="35"/>
    </row>
    <row r="1145" spans="1:12" x14ac:dyDescent="0.3">
      <c r="A1145" s="19">
        <f>COUNTIFS($B$2:B1145,B1145)</f>
        <v>2</v>
      </c>
      <c r="B1145" s="20" t="s">
        <v>585</v>
      </c>
      <c r="C1145" s="21">
        <v>20060368076548</v>
      </c>
      <c r="D1145" s="20" t="s">
        <v>210</v>
      </c>
      <c r="E1145" s="22">
        <v>29.14</v>
      </c>
      <c r="F1145" s="9"/>
      <c r="G1145" s="14" t="str">
        <f t="shared" si="48"/>
        <v>O</v>
      </c>
      <c r="H1145" s="15">
        <f t="shared" si="49"/>
        <v>14.57</v>
      </c>
      <c r="L1145" s="35"/>
    </row>
    <row r="1146" spans="1:12" x14ac:dyDescent="0.3">
      <c r="A1146" s="19">
        <f>COUNTIFS($B$2:B1146,B1146)</f>
        <v>3</v>
      </c>
      <c r="B1146" s="20" t="s">
        <v>585</v>
      </c>
      <c r="C1146" s="21">
        <v>20060368076548</v>
      </c>
      <c r="D1146" s="20" t="s">
        <v>17</v>
      </c>
      <c r="E1146" s="22">
        <v>7.63</v>
      </c>
      <c r="F1146" s="9"/>
      <c r="G1146" s="14" t="str">
        <f t="shared" si="48"/>
        <v>O</v>
      </c>
      <c r="H1146" s="15">
        <f t="shared" si="49"/>
        <v>3.8149999999999999</v>
      </c>
      <c r="L1146" s="35"/>
    </row>
    <row r="1147" spans="1:12" x14ac:dyDescent="0.3">
      <c r="A1147" s="19">
        <f>COUNTIFS($B$2:B1147,B1147)</f>
        <v>4</v>
      </c>
      <c r="B1147" s="20" t="s">
        <v>585</v>
      </c>
      <c r="C1147" s="21">
        <v>20060368076548</v>
      </c>
      <c r="D1147" s="20" t="s">
        <v>206</v>
      </c>
      <c r="E1147" s="22">
        <v>34.22</v>
      </c>
      <c r="F1147" s="9"/>
      <c r="G1147" s="14" t="str">
        <f t="shared" si="48"/>
        <v>O</v>
      </c>
      <c r="H1147" s="15">
        <f t="shared" si="49"/>
        <v>17.11</v>
      </c>
      <c r="L1147" s="35"/>
    </row>
    <row r="1148" spans="1:12" x14ac:dyDescent="0.3">
      <c r="A1148" s="19">
        <f>COUNTIFS($B$2:B1148,B1148)</f>
        <v>5</v>
      </c>
      <c r="B1148" s="20" t="s">
        <v>585</v>
      </c>
      <c r="C1148" s="21">
        <v>20060368076548</v>
      </c>
      <c r="D1148" s="20" t="s">
        <v>172</v>
      </c>
      <c r="E1148" s="22">
        <v>3.45</v>
      </c>
      <c r="F1148" s="9"/>
      <c r="G1148" s="14" t="str">
        <f t="shared" si="48"/>
        <v>O</v>
      </c>
      <c r="H1148" s="15">
        <f t="shared" si="49"/>
        <v>1.7250000000000001</v>
      </c>
      <c r="L1148" s="35"/>
    </row>
    <row r="1149" spans="1:12" x14ac:dyDescent="0.3">
      <c r="A1149" s="19">
        <f>COUNTIFS($B$2:B1149,B1149)</f>
        <v>6</v>
      </c>
      <c r="B1149" s="20" t="s">
        <v>585</v>
      </c>
      <c r="C1149" s="21">
        <v>20060368076548</v>
      </c>
      <c r="D1149" s="20" t="s">
        <v>141</v>
      </c>
      <c r="E1149" s="22">
        <v>15.43</v>
      </c>
      <c r="F1149" s="9"/>
      <c r="G1149" s="14" t="str">
        <f t="shared" si="48"/>
        <v>O</v>
      </c>
      <c r="H1149" s="15">
        <f t="shared" si="49"/>
        <v>7.7149999999999999</v>
      </c>
      <c r="L1149" s="35"/>
    </row>
    <row r="1150" spans="1:12" x14ac:dyDescent="0.3">
      <c r="A1150" s="19">
        <f>COUNTIFS($B$2:B1150,B1150)</f>
        <v>7</v>
      </c>
      <c r="B1150" s="20" t="s">
        <v>585</v>
      </c>
      <c r="C1150" s="21">
        <v>20060368076548</v>
      </c>
      <c r="D1150" s="20" t="s">
        <v>222</v>
      </c>
      <c r="E1150" s="22">
        <v>0.26</v>
      </c>
      <c r="F1150" s="9"/>
      <c r="G1150" s="14" t="str">
        <f t="shared" si="48"/>
        <v>O</v>
      </c>
      <c r="H1150" s="15">
        <f t="shared" si="49"/>
        <v>0.13</v>
      </c>
      <c r="L1150" s="35"/>
    </row>
    <row r="1151" spans="1:12" x14ac:dyDescent="0.3">
      <c r="A1151" s="19">
        <f>COUNTIFS($B$2:B1151,B1151)</f>
        <v>8</v>
      </c>
      <c r="B1151" s="20" t="s">
        <v>585</v>
      </c>
      <c r="C1151" s="21">
        <v>20060368076548</v>
      </c>
      <c r="D1151" s="20" t="s">
        <v>255</v>
      </c>
      <c r="E1151" s="22">
        <v>2.1800000000000002</v>
      </c>
      <c r="F1151" s="9"/>
      <c r="G1151" s="14" t="str">
        <f t="shared" si="48"/>
        <v>O</v>
      </c>
      <c r="H1151" s="15">
        <f t="shared" si="49"/>
        <v>1.0900000000000001</v>
      </c>
      <c r="L1151" s="35"/>
    </row>
    <row r="1152" spans="1:12" x14ac:dyDescent="0.3">
      <c r="A1152" s="23">
        <f>COUNTIFS($B$2:B1152,B1152)</f>
        <v>1</v>
      </c>
      <c r="B1152" s="20" t="s">
        <v>277</v>
      </c>
      <c r="C1152" s="21">
        <v>20060368076550</v>
      </c>
      <c r="D1152" s="20" t="s">
        <v>210</v>
      </c>
      <c r="E1152" s="22">
        <v>75.183421289741275</v>
      </c>
      <c r="F1152" s="9"/>
      <c r="G1152" s="14" t="str">
        <f t="shared" si="48"/>
        <v>O</v>
      </c>
      <c r="H1152" s="15">
        <f t="shared" si="49"/>
        <v>37.591710644870638</v>
      </c>
      <c r="L1152" s="35"/>
    </row>
    <row r="1153" spans="1:12" x14ac:dyDescent="0.3">
      <c r="A1153" s="19">
        <f>COUNTIFS($B$2:B1153,B1153)</f>
        <v>2</v>
      </c>
      <c r="B1153" s="20" t="s">
        <v>277</v>
      </c>
      <c r="C1153" s="21">
        <v>20060368076550</v>
      </c>
      <c r="D1153" s="20" t="s">
        <v>157</v>
      </c>
      <c r="E1153" s="22">
        <v>30.073368515896512</v>
      </c>
      <c r="F1153" s="9"/>
      <c r="G1153" s="14" t="str">
        <f t="shared" si="48"/>
        <v>O</v>
      </c>
      <c r="H1153" s="15">
        <f t="shared" si="49"/>
        <v>15.036684257948256</v>
      </c>
      <c r="L1153" s="35"/>
    </row>
    <row r="1154" spans="1:12" x14ac:dyDescent="0.3">
      <c r="A1154" s="19">
        <f>COUNTIFS($B$2:B1154,B1154)</f>
        <v>3</v>
      </c>
      <c r="B1154" s="20" t="s">
        <v>277</v>
      </c>
      <c r="C1154" s="21">
        <v>20060368076550</v>
      </c>
      <c r="D1154" s="20" t="s">
        <v>11</v>
      </c>
      <c r="E1154" s="22">
        <v>12.576135924829449</v>
      </c>
      <c r="F1154" s="9"/>
      <c r="G1154" s="14" t="str">
        <f t="shared" si="48"/>
        <v>O</v>
      </c>
      <c r="H1154" s="15">
        <f t="shared" si="49"/>
        <v>6.2880679624147247</v>
      </c>
      <c r="L1154" s="35"/>
    </row>
    <row r="1155" spans="1:12" x14ac:dyDescent="0.3">
      <c r="A1155" s="19">
        <f>COUNTIFS($B$2:B1155,B1155)</f>
        <v>4</v>
      </c>
      <c r="B1155" s="20" t="s">
        <v>277</v>
      </c>
      <c r="C1155" s="21">
        <v>20060368076550</v>
      </c>
      <c r="D1155" s="20" t="s">
        <v>514</v>
      </c>
      <c r="E1155" s="22">
        <v>5.4678851847084555</v>
      </c>
      <c r="F1155" s="9"/>
      <c r="G1155" s="14" t="str">
        <f t="shared" si="48"/>
        <v>O</v>
      </c>
      <c r="H1155" s="15">
        <f t="shared" si="49"/>
        <v>2.7339425923542278</v>
      </c>
      <c r="L1155" s="35"/>
    </row>
    <row r="1156" spans="1:12" x14ac:dyDescent="0.3">
      <c r="A1156" s="19">
        <f>COUNTIFS($B$2:B1156,B1156)</f>
        <v>5</v>
      </c>
      <c r="B1156" s="20" t="s">
        <v>277</v>
      </c>
      <c r="C1156" s="21">
        <v>20060368076550</v>
      </c>
      <c r="D1156" s="20" t="s">
        <v>206</v>
      </c>
      <c r="E1156" s="22">
        <v>88.579739992276984</v>
      </c>
      <c r="F1156" s="9"/>
      <c r="G1156" s="14" t="str">
        <f t="shared" si="48"/>
        <v>O</v>
      </c>
      <c r="H1156" s="15">
        <f t="shared" si="49"/>
        <v>44.289869996138492</v>
      </c>
      <c r="L1156" s="35"/>
    </row>
    <row r="1157" spans="1:12" x14ac:dyDescent="0.3">
      <c r="A1157" s="19">
        <f>COUNTIFS($B$2:B1157,B1157)</f>
        <v>6</v>
      </c>
      <c r="B1157" s="20" t="s">
        <v>277</v>
      </c>
      <c r="C1157" s="21">
        <v>20060368076550</v>
      </c>
      <c r="D1157" s="20" t="s">
        <v>222</v>
      </c>
      <c r="E1157" s="22">
        <v>0.51944909254730331</v>
      </c>
      <c r="F1157" s="9"/>
      <c r="G1157" s="14" t="str">
        <f t="shared" si="48"/>
        <v>O</v>
      </c>
      <c r="H1157" s="15">
        <f t="shared" si="49"/>
        <v>0.25972454627365166</v>
      </c>
      <c r="L1157" s="35"/>
    </row>
    <row r="1158" spans="1:12" x14ac:dyDescent="0.3">
      <c r="A1158" s="31">
        <f>COUNTIFS($B$2:B1158,B1158)</f>
        <v>1</v>
      </c>
      <c r="B1158" s="26" t="s">
        <v>279</v>
      </c>
      <c r="C1158" s="32">
        <v>20060368076560</v>
      </c>
      <c r="D1158" s="26" t="s">
        <v>284</v>
      </c>
      <c r="E1158" s="28">
        <v>36.707377442878574</v>
      </c>
      <c r="F1158" s="9"/>
      <c r="G1158" s="14" t="str">
        <f t="shared" si="48"/>
        <v>O</v>
      </c>
      <c r="H1158" s="15">
        <f t="shared" si="49"/>
        <v>18.353688721439287</v>
      </c>
      <c r="L1158" s="35"/>
    </row>
    <row r="1159" spans="1:12" x14ac:dyDescent="0.3">
      <c r="A1159" s="31">
        <f>COUNTIFS($B$2:B1159,B1159)</f>
        <v>2</v>
      </c>
      <c r="B1159" s="26" t="s">
        <v>279</v>
      </c>
      <c r="C1159" s="32">
        <v>20060368076560</v>
      </c>
      <c r="D1159" s="26" t="s">
        <v>206</v>
      </c>
      <c r="E1159" s="28">
        <v>5.7959017015071419</v>
      </c>
      <c r="F1159" s="9"/>
      <c r="G1159" s="14" t="str">
        <f t="shared" si="48"/>
        <v>O</v>
      </c>
      <c r="H1159" s="15">
        <f t="shared" si="49"/>
        <v>2.897950850753571</v>
      </c>
      <c r="L1159" s="35"/>
    </row>
    <row r="1160" spans="1:12" x14ac:dyDescent="0.3">
      <c r="A1160" s="31">
        <f>COUNTIFS($B$2:B1160,B1160)</f>
        <v>3</v>
      </c>
      <c r="B1160" s="26" t="s">
        <v>279</v>
      </c>
      <c r="C1160" s="32">
        <v>20060368076560</v>
      </c>
      <c r="D1160" s="26" t="s">
        <v>155</v>
      </c>
      <c r="E1160" s="28">
        <v>0.81722213991250636</v>
      </c>
      <c r="F1160" s="9"/>
      <c r="G1160" s="14" t="str">
        <f t="shared" si="48"/>
        <v>O</v>
      </c>
      <c r="H1160" s="15">
        <f t="shared" si="49"/>
        <v>0.40861106995625318</v>
      </c>
      <c r="L1160" s="35"/>
    </row>
    <row r="1161" spans="1:12" x14ac:dyDescent="0.3">
      <c r="A1161" s="31">
        <f>COUNTIFS($B$2:B1161,B1161)</f>
        <v>4</v>
      </c>
      <c r="B1161" s="26" t="s">
        <v>279</v>
      </c>
      <c r="C1161" s="32">
        <v>20060368076560</v>
      </c>
      <c r="D1161" s="26" t="s">
        <v>157</v>
      </c>
      <c r="E1161" s="28">
        <v>11.095637417989391</v>
      </c>
      <c r="F1161" s="9"/>
      <c r="G1161" s="14" t="str">
        <f t="shared" si="48"/>
        <v>O</v>
      </c>
      <c r="H1161" s="15">
        <f t="shared" si="49"/>
        <v>5.5478187089946953</v>
      </c>
      <c r="L1161" s="35"/>
    </row>
    <row r="1162" spans="1:12" x14ac:dyDescent="0.3">
      <c r="A1162" s="31">
        <f>COUNTIFS($B$2:B1162,B1162)</f>
        <v>5</v>
      </c>
      <c r="B1162" s="26" t="s">
        <v>279</v>
      </c>
      <c r="C1162" s="32">
        <v>20060368076560</v>
      </c>
      <c r="D1162" s="26" t="s">
        <v>164</v>
      </c>
      <c r="E1162" s="28">
        <v>1.7</v>
      </c>
      <c r="F1162" s="9"/>
      <c r="G1162" s="14" t="str">
        <f t="shared" si="48"/>
        <v>O</v>
      </c>
      <c r="H1162" s="15">
        <f t="shared" si="49"/>
        <v>0.85</v>
      </c>
      <c r="L1162" s="35"/>
    </row>
    <row r="1163" spans="1:12" x14ac:dyDescent="0.3">
      <c r="A1163" s="31">
        <f>COUNTIFS($B$2:B1163,B1163)</f>
        <v>6</v>
      </c>
      <c r="B1163" s="26" t="s">
        <v>279</v>
      </c>
      <c r="C1163" s="32">
        <v>20060368076560</v>
      </c>
      <c r="D1163" s="26" t="s">
        <v>41</v>
      </c>
      <c r="E1163" s="28">
        <v>7.7460110276529717</v>
      </c>
      <c r="F1163" s="9"/>
      <c r="G1163" s="14" t="str">
        <f t="shared" si="48"/>
        <v>O</v>
      </c>
      <c r="H1163" s="15">
        <f t="shared" si="49"/>
        <v>3.8730055138264858</v>
      </c>
      <c r="L1163" s="35"/>
    </row>
    <row r="1164" spans="1:12" x14ac:dyDescent="0.3">
      <c r="A1164" s="31">
        <f>COUNTIFS($B$2:B1164,B1164)</f>
        <v>7</v>
      </c>
      <c r="B1164" s="26" t="s">
        <v>279</v>
      </c>
      <c r="C1164" s="32">
        <v>20060368076560</v>
      </c>
      <c r="D1164" s="26" t="s">
        <v>276</v>
      </c>
      <c r="E1164" s="28">
        <v>3.8730055138264858</v>
      </c>
      <c r="F1164" s="9"/>
      <c r="G1164" s="14" t="str">
        <f t="shared" si="48"/>
        <v>O</v>
      </c>
      <c r="H1164" s="15">
        <f t="shared" si="49"/>
        <v>1.9365027569132429</v>
      </c>
      <c r="L1164" s="35"/>
    </row>
    <row r="1165" spans="1:12" x14ac:dyDescent="0.3">
      <c r="A1165" s="31">
        <f>COUNTIFS($B$2:B1165,B1165)</f>
        <v>8</v>
      </c>
      <c r="B1165" s="26" t="s">
        <v>279</v>
      </c>
      <c r="C1165" s="32">
        <v>20060368076560</v>
      </c>
      <c r="D1165" s="26" t="s">
        <v>114</v>
      </c>
      <c r="E1165" s="28">
        <v>13.398505561345678</v>
      </c>
      <c r="F1165" s="9"/>
      <c r="G1165" s="14" t="str">
        <f t="shared" si="48"/>
        <v>O</v>
      </c>
      <c r="H1165" s="15">
        <f t="shared" si="49"/>
        <v>6.6992527806728388</v>
      </c>
      <c r="L1165" s="35"/>
    </row>
    <row r="1166" spans="1:12" x14ac:dyDescent="0.3">
      <c r="A1166" s="31">
        <f>COUNTIFS($B$2:B1166,B1166)</f>
        <v>9</v>
      </c>
      <c r="B1166" s="26" t="s">
        <v>279</v>
      </c>
      <c r="C1166" s="32">
        <v>20060368076560</v>
      </c>
      <c r="D1166" s="26" t="s">
        <v>116</v>
      </c>
      <c r="E1166" s="28">
        <v>9.6598361691785701</v>
      </c>
      <c r="F1166" s="9"/>
      <c r="G1166" s="14" t="str">
        <f t="shared" si="48"/>
        <v>O</v>
      </c>
      <c r="H1166" s="15">
        <f t="shared" si="49"/>
        <v>4.8299180845892851</v>
      </c>
      <c r="L1166" s="35"/>
    </row>
    <row r="1167" spans="1:12" x14ac:dyDescent="0.3">
      <c r="A1167" s="31">
        <f>COUNTIFS($B$2:B1167,B1167)</f>
        <v>10</v>
      </c>
      <c r="B1167" s="26" t="s">
        <v>279</v>
      </c>
      <c r="C1167" s="32">
        <v>20060368076560</v>
      </c>
      <c r="D1167" s="26" t="s">
        <v>172</v>
      </c>
      <c r="E1167" s="28">
        <v>5.3</v>
      </c>
      <c r="F1167" s="9"/>
      <c r="G1167" s="14" t="str">
        <f t="shared" si="48"/>
        <v>O</v>
      </c>
      <c r="H1167" s="15">
        <f t="shared" si="49"/>
        <v>2.65</v>
      </c>
      <c r="L1167" s="35"/>
    </row>
    <row r="1168" spans="1:12" x14ac:dyDescent="0.3">
      <c r="A1168" s="31">
        <f>COUNTIFS($B$2:B1168,B1168)</f>
        <v>11</v>
      </c>
      <c r="B1168" s="26" t="s">
        <v>279</v>
      </c>
      <c r="C1168" s="32">
        <v>20060368076560</v>
      </c>
      <c r="D1168" s="26" t="s">
        <v>586</v>
      </c>
      <c r="E1168" s="28">
        <v>2.6168956174503282</v>
      </c>
      <c r="F1168" s="9"/>
      <c r="G1168" s="14" t="str">
        <f t="shared" si="48"/>
        <v>O</v>
      </c>
      <c r="H1168" s="15">
        <f t="shared" si="49"/>
        <v>1.3084478087251641</v>
      </c>
      <c r="L1168" s="35"/>
    </row>
    <row r="1169" spans="1:12" x14ac:dyDescent="0.3">
      <c r="A1169" s="31">
        <f>COUNTIFS($B$2:B1169,B1169)</f>
        <v>12</v>
      </c>
      <c r="B1169" s="26" t="s">
        <v>279</v>
      </c>
      <c r="C1169" s="32">
        <v>20060368076560</v>
      </c>
      <c r="D1169" s="26" t="s">
        <v>196</v>
      </c>
      <c r="E1169" s="28">
        <v>13.523770636849997</v>
      </c>
      <c r="F1169" s="9"/>
      <c r="G1169" s="14" t="str">
        <f t="shared" si="48"/>
        <v>O</v>
      </c>
      <c r="H1169" s="15">
        <f t="shared" si="49"/>
        <v>6.7618853184249987</v>
      </c>
      <c r="L1169" s="35"/>
    </row>
    <row r="1170" spans="1:12" x14ac:dyDescent="0.3">
      <c r="A1170" s="31">
        <f>COUNTIFS($B$2:B1170,B1170)</f>
        <v>13</v>
      </c>
      <c r="B1170" s="26" t="s">
        <v>279</v>
      </c>
      <c r="C1170" s="32">
        <v>20060368076560</v>
      </c>
      <c r="D1170" s="26" t="s">
        <v>111</v>
      </c>
      <c r="E1170" s="28">
        <v>3.8639344676714287</v>
      </c>
      <c r="F1170" s="9"/>
      <c r="G1170" s="14" t="str">
        <f t="shared" ref="G1170:G1203" si="50">IF(D1170="","",IF(COUNTIF(I:I,D1170)&gt;0,"O","X"))</f>
        <v>O</v>
      </c>
      <c r="H1170" s="15">
        <f t="shared" si="49"/>
        <v>1.9319672338357143</v>
      </c>
      <c r="L1170" s="35"/>
    </row>
    <row r="1171" spans="1:12" x14ac:dyDescent="0.3">
      <c r="A1171" s="31">
        <f>COUNTIFS($B$2:B1171,B1171)</f>
        <v>14</v>
      </c>
      <c r="B1171" s="26" t="s">
        <v>279</v>
      </c>
      <c r="C1171" s="32">
        <v>20060368076560</v>
      </c>
      <c r="D1171" s="26" t="s">
        <v>12</v>
      </c>
      <c r="E1171" s="28">
        <v>5</v>
      </c>
      <c r="F1171" s="9"/>
      <c r="G1171" s="14" t="str">
        <f t="shared" si="50"/>
        <v>O</v>
      </c>
      <c r="H1171" s="15">
        <f t="shared" si="49"/>
        <v>2.5</v>
      </c>
      <c r="L1171" s="35"/>
    </row>
    <row r="1172" spans="1:12" x14ac:dyDescent="0.3">
      <c r="A1172" s="31">
        <f>COUNTIFS($B$2:B1172,B1172)</f>
        <v>15</v>
      </c>
      <c r="B1172" s="26" t="s">
        <v>279</v>
      </c>
      <c r="C1172" s="32">
        <v>20060368076560</v>
      </c>
      <c r="D1172" s="26" t="s">
        <v>188</v>
      </c>
      <c r="E1172" s="28">
        <v>5</v>
      </c>
      <c r="F1172" s="9"/>
      <c r="G1172" s="14"/>
      <c r="H1172" s="15">
        <f t="shared" si="49"/>
        <v>2.5</v>
      </c>
      <c r="L1172" s="35"/>
    </row>
    <row r="1173" spans="1:12" x14ac:dyDescent="0.3">
      <c r="A1173" s="31">
        <f>COUNTIFS($B$2:B1173,B1173)</f>
        <v>16</v>
      </c>
      <c r="B1173" s="26" t="s">
        <v>279</v>
      </c>
      <c r="C1173" s="32">
        <v>20060368076560</v>
      </c>
      <c r="D1173" s="26" t="s">
        <v>141</v>
      </c>
      <c r="E1173" s="28">
        <v>3.3</v>
      </c>
      <c r="F1173" s="9"/>
      <c r="G1173" s="14"/>
      <c r="H1173" s="15">
        <f t="shared" si="49"/>
        <v>1.65</v>
      </c>
      <c r="L1173" s="35"/>
    </row>
    <row r="1174" spans="1:12" x14ac:dyDescent="0.3">
      <c r="A1174" s="31">
        <f>COUNTIFS($B$2:B1174,B1174)</f>
        <v>17</v>
      </c>
      <c r="B1174" s="26" t="s">
        <v>279</v>
      </c>
      <c r="C1174" s="32">
        <v>20060368076560</v>
      </c>
      <c r="D1174" s="26" t="s">
        <v>33</v>
      </c>
      <c r="E1174" s="28">
        <v>6</v>
      </c>
      <c r="F1174" s="9"/>
      <c r="G1174" s="14"/>
      <c r="H1174" s="15">
        <f t="shared" si="49"/>
        <v>3</v>
      </c>
      <c r="L1174" s="35"/>
    </row>
    <row r="1175" spans="1:12" x14ac:dyDescent="0.3">
      <c r="A1175" s="31">
        <f>COUNTIFS($B$2:B1175,B1175)</f>
        <v>1</v>
      </c>
      <c r="B1175" s="26" t="s">
        <v>281</v>
      </c>
      <c r="C1175" s="27">
        <v>20060368076562</v>
      </c>
      <c r="D1175" s="26" t="s">
        <v>284</v>
      </c>
      <c r="E1175" s="28">
        <v>69.613259668508292</v>
      </c>
      <c r="F1175" s="9"/>
      <c r="G1175" s="14" t="str">
        <f t="shared" ref="G1175:G1238" si="51">IF(D1175="","",IF(COUNTIF(I:I,D1175)&gt;0,"O","X"))</f>
        <v>O</v>
      </c>
      <c r="H1175" s="15">
        <f t="shared" si="49"/>
        <v>34.806629834254146</v>
      </c>
      <c r="L1175" s="35"/>
    </row>
    <row r="1176" spans="1:12" x14ac:dyDescent="0.3">
      <c r="A1176" s="31">
        <f>COUNTIFS($B$2:B1176,B1176)</f>
        <v>2</v>
      </c>
      <c r="B1176" s="26" t="s">
        <v>281</v>
      </c>
      <c r="C1176" s="27">
        <v>20060368076562</v>
      </c>
      <c r="D1176" s="26" t="s">
        <v>206</v>
      </c>
      <c r="E1176" s="28">
        <v>7.7348066298342548</v>
      </c>
      <c r="F1176" s="9"/>
      <c r="G1176" s="14" t="str">
        <f t="shared" si="51"/>
        <v>O</v>
      </c>
      <c r="H1176" s="15">
        <f t="shared" si="49"/>
        <v>3.8674033149171274</v>
      </c>
      <c r="L1176" s="35"/>
    </row>
    <row r="1177" spans="1:12" x14ac:dyDescent="0.3">
      <c r="A1177" s="31">
        <f>COUNTIFS($B$2:B1177,B1177)</f>
        <v>3</v>
      </c>
      <c r="B1177" s="26" t="s">
        <v>281</v>
      </c>
      <c r="C1177" s="27">
        <v>20060368076562</v>
      </c>
      <c r="D1177" s="26" t="s">
        <v>155</v>
      </c>
      <c r="E1177" s="28">
        <v>1.66</v>
      </c>
      <c r="F1177" s="9"/>
      <c r="G1177" s="14" t="str">
        <f t="shared" si="51"/>
        <v>O</v>
      </c>
      <c r="H1177" s="15">
        <f t="shared" si="49"/>
        <v>0.83</v>
      </c>
      <c r="L1177" s="35"/>
    </row>
    <row r="1178" spans="1:12" x14ac:dyDescent="0.3">
      <c r="A1178" s="31">
        <f>COUNTIFS($B$2:B1178,B1178)</f>
        <v>4</v>
      </c>
      <c r="B1178" s="26" t="s">
        <v>281</v>
      </c>
      <c r="C1178" s="27">
        <v>20060368076562</v>
      </c>
      <c r="D1178" s="26" t="s">
        <v>164</v>
      </c>
      <c r="E1178" s="28">
        <v>3</v>
      </c>
      <c r="F1178" s="9"/>
      <c r="G1178" s="14" t="str">
        <f t="shared" si="51"/>
        <v>O</v>
      </c>
      <c r="H1178" s="15">
        <f t="shared" si="49"/>
        <v>1.5</v>
      </c>
      <c r="L1178" s="35"/>
    </row>
    <row r="1179" spans="1:12" x14ac:dyDescent="0.3">
      <c r="A1179" s="31">
        <f>COUNTIFS($B$2:B1179,B1179)</f>
        <v>5</v>
      </c>
      <c r="B1179" s="26" t="s">
        <v>281</v>
      </c>
      <c r="C1179" s="27">
        <v>20060368076562</v>
      </c>
      <c r="D1179" s="26" t="s">
        <v>48</v>
      </c>
      <c r="E1179" s="28">
        <v>54.4</v>
      </c>
      <c r="F1179" s="9"/>
      <c r="G1179" s="14" t="str">
        <f t="shared" si="51"/>
        <v>O</v>
      </c>
      <c r="H1179" s="15">
        <f t="shared" si="49"/>
        <v>27.2</v>
      </c>
      <c r="L1179" s="35"/>
    </row>
    <row r="1180" spans="1:12" x14ac:dyDescent="0.3">
      <c r="A1180" s="31">
        <f>COUNTIFS($B$2:B1180,B1180)</f>
        <v>6</v>
      </c>
      <c r="B1180" s="26" t="s">
        <v>281</v>
      </c>
      <c r="C1180" s="27">
        <v>20060368076562</v>
      </c>
      <c r="D1180" s="26" t="s">
        <v>111</v>
      </c>
      <c r="E1180" s="28">
        <v>18.2</v>
      </c>
      <c r="F1180" s="9"/>
      <c r="G1180" s="14" t="str">
        <f t="shared" si="51"/>
        <v>O</v>
      </c>
      <c r="H1180" s="15">
        <f t="shared" si="49"/>
        <v>9.1</v>
      </c>
      <c r="L1180" s="35"/>
    </row>
    <row r="1181" spans="1:12" x14ac:dyDescent="0.3">
      <c r="A1181" s="31">
        <f>COUNTIFS($B$2:B1181,B1181)</f>
        <v>7</v>
      </c>
      <c r="B1181" s="26" t="s">
        <v>281</v>
      </c>
      <c r="C1181" s="27">
        <v>20060368076562</v>
      </c>
      <c r="D1181" s="26" t="s">
        <v>218</v>
      </c>
      <c r="E1181" s="28">
        <v>0.3</v>
      </c>
      <c r="F1181" s="9"/>
      <c r="G1181" s="14" t="str">
        <f t="shared" si="51"/>
        <v>O</v>
      </c>
      <c r="H1181" s="15">
        <f t="shared" si="49"/>
        <v>0.15</v>
      </c>
      <c r="L1181" s="35"/>
    </row>
    <row r="1182" spans="1:12" x14ac:dyDescent="0.3">
      <c r="A1182" s="31">
        <f>COUNTIFS($B$2:B1182,B1182)</f>
        <v>8</v>
      </c>
      <c r="B1182" s="26" t="s">
        <v>281</v>
      </c>
      <c r="C1182" s="27">
        <v>20060368076562</v>
      </c>
      <c r="D1182" s="26" t="s">
        <v>116</v>
      </c>
      <c r="E1182" s="28">
        <v>14.1</v>
      </c>
      <c r="F1182" s="9"/>
      <c r="G1182" s="14" t="str">
        <f t="shared" si="51"/>
        <v>O</v>
      </c>
      <c r="H1182" s="15">
        <f t="shared" si="49"/>
        <v>7.05</v>
      </c>
      <c r="L1182" s="35"/>
    </row>
    <row r="1183" spans="1:12" x14ac:dyDescent="0.3">
      <c r="A1183" s="31">
        <f>COUNTIFS($B$2:B1183,B1183)</f>
        <v>9</v>
      </c>
      <c r="B1183" s="26" t="s">
        <v>281</v>
      </c>
      <c r="C1183" s="27">
        <v>20060368076562</v>
      </c>
      <c r="D1183" s="26" t="s">
        <v>114</v>
      </c>
      <c r="E1183" s="28">
        <v>18.100000000000001</v>
      </c>
      <c r="F1183" s="9"/>
      <c r="G1183" s="14" t="str">
        <f t="shared" si="51"/>
        <v>O</v>
      </c>
      <c r="H1183" s="15">
        <f t="shared" si="49"/>
        <v>9.0500000000000007</v>
      </c>
      <c r="L1183" s="35"/>
    </row>
    <row r="1184" spans="1:12" x14ac:dyDescent="0.3">
      <c r="A1184" s="31">
        <f>COUNTIFS($B$2:B1184,B1184)</f>
        <v>10</v>
      </c>
      <c r="B1184" s="26" t="s">
        <v>281</v>
      </c>
      <c r="C1184" s="27">
        <v>20060368076562</v>
      </c>
      <c r="D1184" s="26" t="s">
        <v>518</v>
      </c>
      <c r="E1184" s="28">
        <v>16.399999999999999</v>
      </c>
      <c r="F1184" s="9"/>
      <c r="G1184" s="14" t="str">
        <f t="shared" si="51"/>
        <v>O</v>
      </c>
      <c r="H1184" s="15">
        <f t="shared" si="49"/>
        <v>8.1999999999999993</v>
      </c>
      <c r="L1184" s="35"/>
    </row>
    <row r="1185" spans="1:12" x14ac:dyDescent="0.3">
      <c r="A1185" s="31">
        <f>COUNTIFS($B$2:B1185,B1185)</f>
        <v>11</v>
      </c>
      <c r="B1185" s="26" t="s">
        <v>281</v>
      </c>
      <c r="C1185" s="27">
        <v>20060368076562</v>
      </c>
      <c r="D1185" s="26" t="s">
        <v>196</v>
      </c>
      <c r="E1185" s="28">
        <v>14.6</v>
      </c>
      <c r="F1185" s="9"/>
      <c r="G1185" s="14" t="str">
        <f t="shared" si="51"/>
        <v>O</v>
      </c>
      <c r="H1185" s="15">
        <f t="shared" si="49"/>
        <v>7.3</v>
      </c>
      <c r="L1185" s="35"/>
    </row>
    <row r="1186" spans="1:12" x14ac:dyDescent="0.3">
      <c r="A1186" s="31">
        <f>COUNTIFS($B$2:B1186,B1186)</f>
        <v>12</v>
      </c>
      <c r="B1186" s="26" t="s">
        <v>281</v>
      </c>
      <c r="C1186" s="27">
        <v>20060368076562</v>
      </c>
      <c r="D1186" s="26" t="s">
        <v>32</v>
      </c>
      <c r="E1186" s="28">
        <v>1.1000000000000001</v>
      </c>
      <c r="F1186" s="9"/>
      <c r="G1186" s="14" t="str">
        <f t="shared" si="51"/>
        <v>O</v>
      </c>
      <c r="H1186" s="15">
        <f t="shared" si="49"/>
        <v>0.55000000000000004</v>
      </c>
      <c r="L1186" s="35"/>
    </row>
    <row r="1187" spans="1:12" x14ac:dyDescent="0.3">
      <c r="A1187" s="31">
        <f>COUNTIFS($B$2:B1187,B1187)</f>
        <v>13</v>
      </c>
      <c r="B1187" s="26" t="s">
        <v>281</v>
      </c>
      <c r="C1187" s="27">
        <v>20060368076562</v>
      </c>
      <c r="D1187" s="26" t="s">
        <v>80</v>
      </c>
      <c r="E1187" s="28">
        <v>10.9</v>
      </c>
      <c r="F1187" s="9"/>
      <c r="G1187" s="14" t="str">
        <f t="shared" si="51"/>
        <v>O</v>
      </c>
      <c r="H1187" s="15">
        <f t="shared" si="49"/>
        <v>5.45</v>
      </c>
      <c r="L1187" s="35"/>
    </row>
    <row r="1188" spans="1:12" x14ac:dyDescent="0.3">
      <c r="A1188" s="31">
        <f>COUNTIFS($B$2:B1188,B1188)</f>
        <v>14</v>
      </c>
      <c r="B1188" s="26" t="s">
        <v>281</v>
      </c>
      <c r="C1188" s="27">
        <v>20060368076562</v>
      </c>
      <c r="D1188" s="26" t="s">
        <v>64</v>
      </c>
      <c r="E1188" s="28">
        <v>144</v>
      </c>
      <c r="F1188" s="9"/>
      <c r="G1188" s="14" t="str">
        <f t="shared" si="51"/>
        <v>O</v>
      </c>
      <c r="H1188" s="15">
        <f t="shared" si="49"/>
        <v>72</v>
      </c>
      <c r="L1188" s="35"/>
    </row>
    <row r="1189" spans="1:12" x14ac:dyDescent="0.3">
      <c r="A1189" s="31">
        <f>COUNTIFS($B$2:B1189,B1189)</f>
        <v>15</v>
      </c>
      <c r="B1189" s="26" t="s">
        <v>281</v>
      </c>
      <c r="C1189" s="27">
        <v>20060368076562</v>
      </c>
      <c r="D1189" s="26" t="s">
        <v>33</v>
      </c>
      <c r="E1189" s="28">
        <v>6</v>
      </c>
      <c r="F1189" s="9"/>
      <c r="G1189" s="14" t="str">
        <f t="shared" si="51"/>
        <v>O</v>
      </c>
      <c r="H1189" s="15">
        <f t="shared" si="49"/>
        <v>3</v>
      </c>
      <c r="L1189" s="35"/>
    </row>
    <row r="1190" spans="1:12" x14ac:dyDescent="0.3">
      <c r="A1190" s="31">
        <f>COUNTIFS($B$2:B1190,B1190)</f>
        <v>1</v>
      </c>
      <c r="B1190" s="26" t="s">
        <v>587</v>
      </c>
      <c r="C1190" s="27">
        <v>20060368076253</v>
      </c>
      <c r="D1190" s="26" t="s">
        <v>284</v>
      </c>
      <c r="E1190" s="28">
        <v>34.603082291363769</v>
      </c>
      <c r="F1190" s="9"/>
      <c r="G1190" s="14" t="str">
        <f t="shared" si="51"/>
        <v>O</v>
      </c>
      <c r="H1190" s="15">
        <f t="shared" si="49"/>
        <v>17.301541145681885</v>
      </c>
      <c r="L1190" s="35"/>
    </row>
    <row r="1191" spans="1:12" x14ac:dyDescent="0.3">
      <c r="A1191" s="31">
        <f>COUNTIFS($B$2:B1191,B1191)</f>
        <v>2</v>
      </c>
      <c r="B1191" s="26" t="s">
        <v>587</v>
      </c>
      <c r="C1191" s="27">
        <v>20060368076562</v>
      </c>
      <c r="D1191" s="26" t="s">
        <v>206</v>
      </c>
      <c r="E1191" s="28">
        <v>3.8447869212626418</v>
      </c>
      <c r="F1191" s="9"/>
      <c r="G1191" s="14" t="str">
        <f t="shared" si="51"/>
        <v>O</v>
      </c>
      <c r="H1191" s="15">
        <f t="shared" si="49"/>
        <v>1.9223934606313209</v>
      </c>
      <c r="L1191" s="35"/>
    </row>
    <row r="1192" spans="1:12" x14ac:dyDescent="0.3">
      <c r="A1192" s="31">
        <f>COUNTIFS($B$2:B1192,B1192)</f>
        <v>3</v>
      </c>
      <c r="B1192" s="26" t="s">
        <v>587</v>
      </c>
      <c r="C1192" s="27">
        <v>20060368076562</v>
      </c>
      <c r="D1192" s="26" t="s">
        <v>155</v>
      </c>
      <c r="E1192" s="28">
        <v>0.6</v>
      </c>
      <c r="F1192" s="9"/>
      <c r="G1192" s="14" t="str">
        <f t="shared" si="51"/>
        <v>O</v>
      </c>
      <c r="H1192" s="15">
        <f t="shared" si="49"/>
        <v>0.3</v>
      </c>
      <c r="L1192" s="35"/>
    </row>
    <row r="1193" spans="1:12" x14ac:dyDescent="0.3">
      <c r="A1193" s="31">
        <f>COUNTIFS($B$2:B1193,B1193)</f>
        <v>4</v>
      </c>
      <c r="B1193" s="26" t="s">
        <v>587</v>
      </c>
      <c r="C1193" s="27">
        <v>20060368076562</v>
      </c>
      <c r="D1193" s="26" t="s">
        <v>164</v>
      </c>
      <c r="E1193" s="28">
        <v>1</v>
      </c>
      <c r="F1193" s="9"/>
      <c r="G1193" s="14" t="str">
        <f t="shared" si="51"/>
        <v>O</v>
      </c>
      <c r="H1193" s="15">
        <f t="shared" si="49"/>
        <v>0.5</v>
      </c>
      <c r="L1193" s="35"/>
    </row>
    <row r="1194" spans="1:12" x14ac:dyDescent="0.3">
      <c r="A1194" s="31">
        <f>COUNTIFS($B$2:B1194,B1194)</f>
        <v>5</v>
      </c>
      <c r="B1194" s="26" t="s">
        <v>587</v>
      </c>
      <c r="C1194" s="27">
        <v>20060368076562</v>
      </c>
      <c r="D1194" s="26" t="s">
        <v>48</v>
      </c>
      <c r="E1194" s="28">
        <v>1.8</v>
      </c>
      <c r="F1194" s="9"/>
      <c r="G1194" s="14" t="str">
        <f t="shared" si="51"/>
        <v>O</v>
      </c>
      <c r="H1194" s="15">
        <f t="shared" si="49"/>
        <v>0.9</v>
      </c>
      <c r="L1194" s="35"/>
    </row>
    <row r="1195" spans="1:12" x14ac:dyDescent="0.3">
      <c r="A1195" s="31">
        <f>COUNTIFS($B$2:B1195,B1195)</f>
        <v>6</v>
      </c>
      <c r="B1195" s="26" t="s">
        <v>587</v>
      </c>
      <c r="C1195" s="27">
        <v>20060368076562</v>
      </c>
      <c r="D1195" s="26" t="s">
        <v>111</v>
      </c>
      <c r="E1195" s="28">
        <v>6.1</v>
      </c>
      <c r="F1195" s="9"/>
      <c r="G1195" s="14" t="str">
        <f t="shared" si="51"/>
        <v>O</v>
      </c>
      <c r="H1195" s="15">
        <f t="shared" si="49"/>
        <v>3.05</v>
      </c>
      <c r="L1195" s="35"/>
    </row>
    <row r="1196" spans="1:12" x14ac:dyDescent="0.3">
      <c r="A1196" s="31">
        <f>COUNTIFS($B$2:B1196,B1196)</f>
        <v>7</v>
      </c>
      <c r="B1196" s="26" t="s">
        <v>587</v>
      </c>
      <c r="C1196" s="27">
        <v>20060368076562</v>
      </c>
      <c r="D1196" s="26" t="s">
        <v>218</v>
      </c>
      <c r="E1196" s="28">
        <v>0.1</v>
      </c>
      <c r="F1196" s="9"/>
      <c r="G1196" s="14" t="str">
        <f t="shared" si="51"/>
        <v>O</v>
      </c>
      <c r="H1196" s="15">
        <f t="shared" si="49"/>
        <v>0.05</v>
      </c>
      <c r="L1196" s="35"/>
    </row>
    <row r="1197" spans="1:12" x14ac:dyDescent="0.3">
      <c r="A1197" s="31">
        <f>COUNTIFS($B$2:B1197,B1197)</f>
        <v>8</v>
      </c>
      <c r="B1197" s="26" t="s">
        <v>587</v>
      </c>
      <c r="C1197" s="27">
        <v>20060368076562</v>
      </c>
      <c r="D1197" s="26" t="s">
        <v>116</v>
      </c>
      <c r="E1197" s="28">
        <v>4.7</v>
      </c>
      <c r="F1197" s="9"/>
      <c r="G1197" s="14" t="str">
        <f t="shared" si="51"/>
        <v>O</v>
      </c>
      <c r="H1197" s="15">
        <f t="shared" si="49"/>
        <v>2.35</v>
      </c>
      <c r="L1197" s="35"/>
    </row>
    <row r="1198" spans="1:12" x14ac:dyDescent="0.3">
      <c r="A1198" s="31">
        <f>COUNTIFS($B$2:B1198,B1198)</f>
        <v>9</v>
      </c>
      <c r="B1198" s="26" t="s">
        <v>587</v>
      </c>
      <c r="C1198" s="27">
        <v>20060368076562</v>
      </c>
      <c r="D1198" s="26" t="s">
        <v>114</v>
      </c>
      <c r="E1198" s="28">
        <v>6.1</v>
      </c>
      <c r="F1198" s="9"/>
      <c r="G1198" s="14" t="str">
        <f t="shared" si="51"/>
        <v>O</v>
      </c>
      <c r="H1198" s="15">
        <f t="shared" si="49"/>
        <v>3.05</v>
      </c>
      <c r="L1198" s="35"/>
    </row>
    <row r="1199" spans="1:12" x14ac:dyDescent="0.3">
      <c r="A1199" s="31">
        <f>COUNTIFS($B$2:B1199,B1199)</f>
        <v>10</v>
      </c>
      <c r="B1199" s="26" t="s">
        <v>587</v>
      </c>
      <c r="C1199" s="27">
        <v>20060368076562</v>
      </c>
      <c r="D1199" s="26" t="s">
        <v>518</v>
      </c>
      <c r="E1199" s="28">
        <v>5.5</v>
      </c>
      <c r="F1199" s="9"/>
      <c r="G1199" s="14" t="str">
        <f t="shared" si="51"/>
        <v>O</v>
      </c>
      <c r="H1199" s="15">
        <f t="shared" si="49"/>
        <v>2.75</v>
      </c>
      <c r="L1199" s="35"/>
    </row>
    <row r="1200" spans="1:12" x14ac:dyDescent="0.3">
      <c r="A1200" s="31">
        <f>COUNTIFS($B$2:B1200,B1200)</f>
        <v>11</v>
      </c>
      <c r="B1200" s="26" t="s">
        <v>587</v>
      </c>
      <c r="C1200" s="27">
        <v>20060368076562</v>
      </c>
      <c r="D1200" s="26" t="s">
        <v>196</v>
      </c>
      <c r="E1200" s="28">
        <v>4.9000000000000004</v>
      </c>
      <c r="F1200" s="9"/>
      <c r="G1200" s="14" t="str">
        <f t="shared" si="51"/>
        <v>O</v>
      </c>
      <c r="H1200" s="15">
        <f t="shared" si="49"/>
        <v>2.4500000000000002</v>
      </c>
      <c r="L1200" s="35"/>
    </row>
    <row r="1201" spans="1:12" x14ac:dyDescent="0.3">
      <c r="A1201" s="31">
        <f>COUNTIFS($B$2:B1201,B1201)</f>
        <v>12</v>
      </c>
      <c r="B1201" s="26" t="s">
        <v>587</v>
      </c>
      <c r="C1201" s="27">
        <v>20060368076562</v>
      </c>
      <c r="D1201" s="26" t="s">
        <v>32</v>
      </c>
      <c r="E1201" s="28">
        <v>0.4</v>
      </c>
      <c r="F1201" s="9"/>
      <c r="G1201" s="14" t="str">
        <f t="shared" si="51"/>
        <v>O</v>
      </c>
      <c r="H1201" s="15">
        <f t="shared" si="49"/>
        <v>0.2</v>
      </c>
      <c r="L1201" s="35"/>
    </row>
    <row r="1202" spans="1:12" x14ac:dyDescent="0.3">
      <c r="A1202" s="31">
        <f>COUNTIFS($B$2:B1202,B1202)</f>
        <v>13</v>
      </c>
      <c r="B1202" s="26" t="s">
        <v>587</v>
      </c>
      <c r="C1202" s="27">
        <v>20060368076562</v>
      </c>
      <c r="D1202" s="26" t="s">
        <v>80</v>
      </c>
      <c r="E1202" s="28">
        <v>3.6</v>
      </c>
      <c r="F1202" s="9"/>
      <c r="G1202" s="14" t="str">
        <f t="shared" si="51"/>
        <v>O</v>
      </c>
      <c r="H1202" s="15">
        <f t="shared" si="49"/>
        <v>1.8</v>
      </c>
      <c r="L1202" s="35"/>
    </row>
    <row r="1203" spans="1:12" x14ac:dyDescent="0.3">
      <c r="A1203" s="31">
        <f>COUNTIFS($B$2:B1203,B1203)</f>
        <v>14</v>
      </c>
      <c r="B1203" s="26" t="s">
        <v>587</v>
      </c>
      <c r="C1203" s="27">
        <v>20060368076562</v>
      </c>
      <c r="D1203" s="26" t="s">
        <v>64</v>
      </c>
      <c r="E1203" s="28">
        <v>48</v>
      </c>
      <c r="F1203" s="9"/>
      <c r="G1203" s="14" t="str">
        <f t="shared" si="51"/>
        <v>O</v>
      </c>
      <c r="H1203" s="15">
        <f t="shared" si="49"/>
        <v>24</v>
      </c>
      <c r="L1203" s="35"/>
    </row>
    <row r="1204" spans="1:12" x14ac:dyDescent="0.3">
      <c r="A1204" s="31">
        <f>COUNTIFS($B$2:B1204,B1204)</f>
        <v>15</v>
      </c>
      <c r="B1204" s="26" t="s">
        <v>587</v>
      </c>
      <c r="C1204" s="27">
        <v>20060368076562</v>
      </c>
      <c r="D1204" s="26" t="s">
        <v>33</v>
      </c>
      <c r="E1204" s="28">
        <v>2</v>
      </c>
      <c r="F1204" s="9"/>
      <c r="G1204" s="14" t="str">
        <f t="shared" si="51"/>
        <v>O</v>
      </c>
      <c r="H1204" s="15">
        <f t="shared" si="49"/>
        <v>1</v>
      </c>
      <c r="L1204" s="35"/>
    </row>
    <row r="1205" spans="1:12" x14ac:dyDescent="0.3">
      <c r="A1205" s="31">
        <f>COUNTIFS($B$2:B1205,B1205)</f>
        <v>1</v>
      </c>
      <c r="B1205" s="26" t="s">
        <v>285</v>
      </c>
      <c r="C1205" s="27">
        <v>20060368076563</v>
      </c>
      <c r="D1205" s="26" t="s">
        <v>463</v>
      </c>
      <c r="E1205" s="28">
        <v>231.85335342677672</v>
      </c>
      <c r="F1205" s="9"/>
      <c r="G1205" s="14" t="str">
        <f t="shared" si="51"/>
        <v>O</v>
      </c>
      <c r="H1205" s="15">
        <f t="shared" ref="H1205:H1268" si="52">E1205/2</f>
        <v>115.92667671338836</v>
      </c>
      <c r="L1205" s="35"/>
    </row>
    <row r="1206" spans="1:12" x14ac:dyDescent="0.3">
      <c r="A1206" s="31">
        <f>COUNTIFS($B$2:B1206,B1206)</f>
        <v>2</v>
      </c>
      <c r="B1206" s="26" t="s">
        <v>285</v>
      </c>
      <c r="C1206" s="27">
        <v>20060368076563</v>
      </c>
      <c r="D1206" s="26" t="s">
        <v>553</v>
      </c>
      <c r="E1206" s="28">
        <v>99.365722897190025</v>
      </c>
      <c r="F1206" s="9"/>
      <c r="G1206" s="14" t="str">
        <f t="shared" si="51"/>
        <v>O</v>
      </c>
      <c r="H1206" s="15">
        <f t="shared" si="52"/>
        <v>49.682861448595013</v>
      </c>
      <c r="L1206" s="35"/>
    </row>
    <row r="1207" spans="1:12" x14ac:dyDescent="0.3">
      <c r="A1207" s="31">
        <f>COUNTIFS($B$2:B1207,B1207)</f>
        <v>3</v>
      </c>
      <c r="B1207" s="26" t="s">
        <v>285</v>
      </c>
      <c r="C1207" s="27">
        <v>20060368076563</v>
      </c>
      <c r="D1207" s="26" t="s">
        <v>418</v>
      </c>
      <c r="E1207" s="28">
        <v>5.34325113692437</v>
      </c>
      <c r="F1207" s="9"/>
      <c r="G1207" s="14" t="str">
        <f t="shared" si="51"/>
        <v>O</v>
      </c>
      <c r="H1207" s="15">
        <f t="shared" si="52"/>
        <v>2.671625568462185</v>
      </c>
      <c r="L1207" s="35"/>
    </row>
    <row r="1208" spans="1:12" x14ac:dyDescent="0.3">
      <c r="A1208" s="31">
        <f>COUNTIFS($B$2:B1208,B1208)</f>
        <v>4</v>
      </c>
      <c r="B1208" s="26" t="s">
        <v>285</v>
      </c>
      <c r="C1208" s="27">
        <v>20060368076563</v>
      </c>
      <c r="D1208" s="26" t="s">
        <v>164</v>
      </c>
      <c r="E1208" s="28">
        <v>5.8</v>
      </c>
      <c r="F1208" s="9"/>
      <c r="G1208" s="14" t="str">
        <f t="shared" si="51"/>
        <v>O</v>
      </c>
      <c r="H1208" s="15">
        <f t="shared" si="52"/>
        <v>2.9</v>
      </c>
      <c r="L1208" s="35"/>
    </row>
    <row r="1209" spans="1:12" x14ac:dyDescent="0.3">
      <c r="A1209" s="31">
        <f>COUNTIFS($B$2:B1209,B1209)</f>
        <v>5</v>
      </c>
      <c r="B1209" s="26" t="s">
        <v>285</v>
      </c>
      <c r="C1209" s="27">
        <v>20060368076563</v>
      </c>
      <c r="D1209" s="26" t="s">
        <v>535</v>
      </c>
      <c r="E1209" s="28">
        <v>33.121907632396677</v>
      </c>
      <c r="F1209" s="9"/>
      <c r="G1209" s="14" t="str">
        <f t="shared" si="51"/>
        <v>O</v>
      </c>
      <c r="H1209" s="15">
        <f t="shared" si="52"/>
        <v>16.560953816198339</v>
      </c>
      <c r="L1209" s="35"/>
    </row>
    <row r="1210" spans="1:12" x14ac:dyDescent="0.3">
      <c r="A1210" s="31">
        <f>COUNTIFS($B$2:B1210,B1210)</f>
        <v>6</v>
      </c>
      <c r="B1210" s="26" t="s">
        <v>285</v>
      </c>
      <c r="C1210" s="27">
        <v>20060368076563</v>
      </c>
      <c r="D1210" s="26" t="s">
        <v>588</v>
      </c>
      <c r="E1210" s="28">
        <v>82.80476908099169</v>
      </c>
      <c r="F1210" s="9"/>
      <c r="G1210" s="14" t="str">
        <f t="shared" si="51"/>
        <v>O</v>
      </c>
      <c r="H1210" s="15">
        <f t="shared" si="52"/>
        <v>41.402384540495845</v>
      </c>
      <c r="L1210" s="35"/>
    </row>
    <row r="1211" spans="1:12" x14ac:dyDescent="0.3">
      <c r="A1211" s="31">
        <f>COUNTIFS($B$2:B1211,B1211)</f>
        <v>7</v>
      </c>
      <c r="B1211" s="26" t="s">
        <v>285</v>
      </c>
      <c r="C1211" s="27">
        <v>20060368076563</v>
      </c>
      <c r="D1211" s="26" t="s">
        <v>114</v>
      </c>
      <c r="E1211" s="28">
        <v>206.95984423135911</v>
      </c>
      <c r="F1211" s="9"/>
      <c r="G1211" s="14" t="str">
        <f t="shared" si="51"/>
        <v>O</v>
      </c>
      <c r="H1211" s="15">
        <f t="shared" si="52"/>
        <v>103.47992211567956</v>
      </c>
      <c r="L1211" s="35"/>
    </row>
    <row r="1212" spans="1:12" x14ac:dyDescent="0.3">
      <c r="A1212" s="31">
        <f>COUNTIFS($B$2:B1212,B1212)</f>
        <v>8</v>
      </c>
      <c r="B1212" s="26" t="s">
        <v>285</v>
      </c>
      <c r="C1212" s="27">
        <v>20060368076563</v>
      </c>
      <c r="D1212" s="26" t="s">
        <v>218</v>
      </c>
      <c r="E1212" s="28">
        <v>3.3330221516877154</v>
      </c>
      <c r="F1212" s="9"/>
      <c r="G1212" s="14" t="str">
        <f t="shared" si="51"/>
        <v>O</v>
      </c>
      <c r="H1212" s="15">
        <f t="shared" si="52"/>
        <v>1.6665110758438577</v>
      </c>
      <c r="L1212" s="35"/>
    </row>
    <row r="1213" spans="1:12" x14ac:dyDescent="0.3">
      <c r="A1213" s="31">
        <f>COUNTIFS($B$2:B1213,B1213)</f>
        <v>9</v>
      </c>
      <c r="B1213" s="26" t="s">
        <v>285</v>
      </c>
      <c r="C1213" s="27">
        <v>20060368076563</v>
      </c>
      <c r="D1213" s="26" t="s">
        <v>564</v>
      </c>
      <c r="E1213" s="28">
        <v>41.075977221503543</v>
      </c>
      <c r="F1213" s="9"/>
      <c r="G1213" s="14" t="str">
        <f t="shared" si="51"/>
        <v>O</v>
      </c>
      <c r="H1213" s="15">
        <f t="shared" si="52"/>
        <v>20.537988610751771</v>
      </c>
      <c r="L1213" s="35"/>
    </row>
    <row r="1214" spans="1:12" x14ac:dyDescent="0.3">
      <c r="A1214" s="31">
        <f>COUNTIFS($B$2:B1214,B1214)</f>
        <v>10</v>
      </c>
      <c r="B1214" s="26" t="s">
        <v>285</v>
      </c>
      <c r="C1214" s="27">
        <v>20060368076563</v>
      </c>
      <c r="D1214" s="26" t="s">
        <v>565</v>
      </c>
      <c r="E1214" s="28">
        <v>41.075977221503543</v>
      </c>
      <c r="F1214" s="9"/>
      <c r="G1214" s="14" t="str">
        <f t="shared" si="51"/>
        <v>O</v>
      </c>
      <c r="H1214" s="15">
        <f t="shared" si="52"/>
        <v>20.537988610751771</v>
      </c>
      <c r="L1214" s="35"/>
    </row>
    <row r="1215" spans="1:12" x14ac:dyDescent="0.3">
      <c r="A1215" s="31">
        <f>COUNTIFS($B$2:B1215,B1215)</f>
        <v>11</v>
      </c>
      <c r="B1215" s="26" t="s">
        <v>285</v>
      </c>
      <c r="C1215" s="27">
        <v>20060368076563</v>
      </c>
      <c r="D1215" s="26" t="s">
        <v>33</v>
      </c>
      <c r="E1215" s="28">
        <v>30.806982916127652</v>
      </c>
      <c r="F1215" s="9"/>
      <c r="G1215" s="14" t="str">
        <f t="shared" si="51"/>
        <v>O</v>
      </c>
      <c r="H1215" s="15">
        <f t="shared" si="52"/>
        <v>15.403491458063826</v>
      </c>
      <c r="L1215" s="35"/>
    </row>
    <row r="1216" spans="1:12" x14ac:dyDescent="0.3">
      <c r="A1216" s="31">
        <f>COUNTIFS($B$2:B1216,B1216)</f>
        <v>1</v>
      </c>
      <c r="B1216" s="26" t="s">
        <v>287</v>
      </c>
      <c r="C1216" s="27">
        <v>20060368076564</v>
      </c>
      <c r="D1216" s="26" t="s">
        <v>463</v>
      </c>
      <c r="E1216" s="28">
        <v>210.7757758425243</v>
      </c>
      <c r="F1216" s="9"/>
      <c r="G1216" s="14" t="str">
        <f t="shared" si="51"/>
        <v>O</v>
      </c>
      <c r="H1216" s="15">
        <f t="shared" si="52"/>
        <v>105.38788792126215</v>
      </c>
      <c r="L1216" s="35"/>
    </row>
    <row r="1217" spans="1:12" x14ac:dyDescent="0.3">
      <c r="A1217" s="31">
        <f>COUNTIFS($B$2:B1217,B1217)</f>
        <v>2</v>
      </c>
      <c r="B1217" s="26" t="s">
        <v>287</v>
      </c>
      <c r="C1217" s="27">
        <v>20060368076564</v>
      </c>
      <c r="D1217" s="26" t="s">
        <v>553</v>
      </c>
      <c r="E1217" s="28">
        <v>90.332475361081862</v>
      </c>
      <c r="F1217" s="9"/>
      <c r="G1217" s="14" t="str">
        <f t="shared" si="51"/>
        <v>O</v>
      </c>
      <c r="H1217" s="15">
        <f t="shared" si="52"/>
        <v>45.166237680540931</v>
      </c>
      <c r="L1217" s="35"/>
    </row>
    <row r="1218" spans="1:12" x14ac:dyDescent="0.3">
      <c r="A1218" s="31">
        <f>COUNTIFS($B$2:B1218,B1218)</f>
        <v>3</v>
      </c>
      <c r="B1218" s="26" t="s">
        <v>287</v>
      </c>
      <c r="C1218" s="27">
        <v>20060368076564</v>
      </c>
      <c r="D1218" s="26" t="s">
        <v>418</v>
      </c>
      <c r="E1218" s="28">
        <v>4.8575010335676092</v>
      </c>
      <c r="F1218" s="9"/>
      <c r="G1218" s="14" t="str">
        <f t="shared" si="51"/>
        <v>O</v>
      </c>
      <c r="H1218" s="15">
        <f t="shared" si="52"/>
        <v>2.4287505167838046</v>
      </c>
      <c r="L1218" s="35"/>
    </row>
    <row r="1219" spans="1:12" x14ac:dyDescent="0.3">
      <c r="A1219" s="31">
        <f>COUNTIFS($B$2:B1219,B1219)</f>
        <v>4</v>
      </c>
      <c r="B1219" s="26" t="s">
        <v>287</v>
      </c>
      <c r="C1219" s="27">
        <v>20060368076564</v>
      </c>
      <c r="D1219" s="26" t="s">
        <v>164</v>
      </c>
      <c r="E1219" s="28">
        <v>5.3</v>
      </c>
      <c r="F1219" s="9"/>
      <c r="G1219" s="14" t="str">
        <f t="shared" si="51"/>
        <v>O</v>
      </c>
      <c r="H1219" s="15">
        <f t="shared" si="52"/>
        <v>2.65</v>
      </c>
      <c r="L1219" s="35"/>
    </row>
    <row r="1220" spans="1:12" x14ac:dyDescent="0.3">
      <c r="A1220" s="31">
        <f>COUNTIFS($B$2:B1220,B1220)</f>
        <v>5</v>
      </c>
      <c r="B1220" s="26" t="s">
        <v>287</v>
      </c>
      <c r="C1220" s="27">
        <v>20060368076564</v>
      </c>
      <c r="D1220" s="26" t="s">
        <v>535</v>
      </c>
      <c r="E1220" s="28">
        <v>30.110825120360612</v>
      </c>
      <c r="F1220" s="9"/>
      <c r="G1220" s="14" t="str">
        <f t="shared" si="51"/>
        <v>O</v>
      </c>
      <c r="H1220" s="15">
        <f t="shared" si="52"/>
        <v>15.055412560180306</v>
      </c>
      <c r="L1220" s="35"/>
    </row>
    <row r="1221" spans="1:12" x14ac:dyDescent="0.3">
      <c r="A1221" s="31">
        <f>COUNTIFS($B$2:B1221,B1221)</f>
        <v>6</v>
      </c>
      <c r="B1221" s="26" t="s">
        <v>287</v>
      </c>
      <c r="C1221" s="27">
        <v>20060368076564</v>
      </c>
      <c r="D1221" s="26" t="s">
        <v>588</v>
      </c>
      <c r="E1221" s="28">
        <v>75.277062800901533</v>
      </c>
      <c r="F1221" s="9"/>
      <c r="G1221" s="14" t="str">
        <f t="shared" si="51"/>
        <v>O</v>
      </c>
      <c r="H1221" s="15">
        <f t="shared" si="52"/>
        <v>37.638531400450766</v>
      </c>
      <c r="L1221" s="35"/>
    </row>
    <row r="1222" spans="1:12" x14ac:dyDescent="0.3">
      <c r="A1222" s="31">
        <f>COUNTIFS($B$2:B1222,B1222)</f>
        <v>7</v>
      </c>
      <c r="B1222" s="26" t="s">
        <v>287</v>
      </c>
      <c r="C1222" s="27">
        <v>20060368076564</v>
      </c>
      <c r="D1222" s="26" t="s">
        <v>114</v>
      </c>
      <c r="E1222" s="28">
        <v>188.14531293759916</v>
      </c>
      <c r="F1222" s="9"/>
      <c r="G1222" s="14" t="str">
        <f t="shared" si="51"/>
        <v>O</v>
      </c>
      <c r="H1222" s="15">
        <f t="shared" si="52"/>
        <v>94.072656468799579</v>
      </c>
      <c r="L1222" s="35"/>
    </row>
    <row r="1223" spans="1:12" x14ac:dyDescent="0.3">
      <c r="A1223" s="31">
        <f>COUNTIFS($B$2:B1223,B1223)</f>
        <v>8</v>
      </c>
      <c r="B1223" s="26" t="s">
        <v>287</v>
      </c>
      <c r="C1223" s="27">
        <v>20060368076564</v>
      </c>
      <c r="D1223" s="26" t="s">
        <v>218</v>
      </c>
      <c r="E1223" s="28">
        <v>3.0300201378979237</v>
      </c>
      <c r="F1223" s="9"/>
      <c r="G1223" s="14" t="str">
        <f t="shared" si="51"/>
        <v>O</v>
      </c>
      <c r="H1223" s="15">
        <f t="shared" si="52"/>
        <v>1.5150100689489618</v>
      </c>
      <c r="L1223" s="35"/>
    </row>
    <row r="1224" spans="1:12" x14ac:dyDescent="0.3">
      <c r="A1224" s="31">
        <f>COUNTIFS($B$2:B1224,B1224)</f>
        <v>9</v>
      </c>
      <c r="B1224" s="26" t="s">
        <v>287</v>
      </c>
      <c r="C1224" s="27">
        <v>20060368076564</v>
      </c>
      <c r="D1224" s="26" t="s">
        <v>564</v>
      </c>
      <c r="E1224" s="28">
        <v>37.341797474094129</v>
      </c>
      <c r="F1224" s="9"/>
      <c r="G1224" s="14" t="str">
        <f t="shared" si="51"/>
        <v>O</v>
      </c>
      <c r="H1224" s="15">
        <f t="shared" si="52"/>
        <v>18.670898737047064</v>
      </c>
      <c r="L1224" s="35"/>
    </row>
    <row r="1225" spans="1:12" x14ac:dyDescent="0.3">
      <c r="A1225" s="31">
        <f>COUNTIFS($B$2:B1225,B1225)</f>
        <v>10</v>
      </c>
      <c r="B1225" s="26" t="s">
        <v>287</v>
      </c>
      <c r="C1225" s="27">
        <v>20060368076564</v>
      </c>
      <c r="D1225" s="26" t="s">
        <v>565</v>
      </c>
      <c r="E1225" s="28">
        <v>37.341797474094129</v>
      </c>
      <c r="F1225" s="9"/>
      <c r="G1225" s="14" t="str">
        <f t="shared" si="51"/>
        <v>O</v>
      </c>
      <c r="H1225" s="15">
        <f t="shared" si="52"/>
        <v>18.670898737047064</v>
      </c>
      <c r="L1225" s="35"/>
    </row>
    <row r="1226" spans="1:12" x14ac:dyDescent="0.3">
      <c r="A1226" s="31">
        <f>COUNTIFS($B$2:B1226,B1226)</f>
        <v>11</v>
      </c>
      <c r="B1226" s="26" t="s">
        <v>287</v>
      </c>
      <c r="C1226" s="27">
        <v>20060368076564</v>
      </c>
      <c r="D1226" s="26" t="s">
        <v>33</v>
      </c>
      <c r="E1226" s="28">
        <v>27.9</v>
      </c>
      <c r="F1226" s="9"/>
      <c r="G1226" s="14" t="str">
        <f t="shared" si="51"/>
        <v>O</v>
      </c>
      <c r="H1226" s="15">
        <f t="shared" si="52"/>
        <v>13.95</v>
      </c>
      <c r="L1226" s="35"/>
    </row>
    <row r="1227" spans="1:12" x14ac:dyDescent="0.3">
      <c r="A1227" s="31">
        <f>COUNTIFS($B$2:B1227,B1227)</f>
        <v>12</v>
      </c>
      <c r="B1227" s="26" t="s">
        <v>287</v>
      </c>
      <c r="C1227" s="27">
        <v>20060368076564</v>
      </c>
      <c r="D1227" s="26" t="s">
        <v>272</v>
      </c>
      <c r="E1227" s="28">
        <v>59</v>
      </c>
      <c r="F1227" s="9"/>
      <c r="G1227" s="14" t="str">
        <f t="shared" si="51"/>
        <v>O</v>
      </c>
      <c r="H1227" s="15">
        <f t="shared" si="52"/>
        <v>29.5</v>
      </c>
      <c r="L1227" s="35"/>
    </row>
    <row r="1228" spans="1:12" x14ac:dyDescent="0.3">
      <c r="A1228" s="31">
        <f>COUNTIFS($B$2:B1228,B1228)</f>
        <v>1</v>
      </c>
      <c r="B1228" s="26" t="s">
        <v>291</v>
      </c>
      <c r="C1228" s="32">
        <v>20060368076565</v>
      </c>
      <c r="D1228" s="26" t="s">
        <v>463</v>
      </c>
      <c r="E1228" s="28">
        <v>282.60000000000002</v>
      </c>
      <c r="F1228" s="9"/>
      <c r="G1228" s="14" t="str">
        <f t="shared" si="51"/>
        <v>O</v>
      </c>
      <c r="H1228" s="15">
        <f t="shared" si="52"/>
        <v>141.30000000000001</v>
      </c>
      <c r="L1228" s="35"/>
    </row>
    <row r="1229" spans="1:12" x14ac:dyDescent="0.3">
      <c r="A1229" s="31">
        <f>COUNTIFS($B$2:B1229,B1229)</f>
        <v>2</v>
      </c>
      <c r="B1229" s="26" t="s">
        <v>291</v>
      </c>
      <c r="C1229" s="32">
        <v>20060368076565</v>
      </c>
      <c r="D1229" s="26" t="s">
        <v>553</v>
      </c>
      <c r="E1229" s="28">
        <v>121.1</v>
      </c>
      <c r="F1229" s="9"/>
      <c r="G1229" s="14" t="str">
        <f t="shared" si="51"/>
        <v>O</v>
      </c>
      <c r="H1229" s="15">
        <f t="shared" si="52"/>
        <v>60.55</v>
      </c>
      <c r="L1229" s="35"/>
    </row>
    <row r="1230" spans="1:12" x14ac:dyDescent="0.3">
      <c r="A1230" s="31">
        <f>COUNTIFS($B$2:B1230,B1230)</f>
        <v>3</v>
      </c>
      <c r="B1230" s="26" t="s">
        <v>291</v>
      </c>
      <c r="C1230" s="32">
        <v>20060368076565</v>
      </c>
      <c r="D1230" s="26" t="s">
        <v>418</v>
      </c>
      <c r="E1230" s="28">
        <v>6.5</v>
      </c>
      <c r="F1230" s="9"/>
      <c r="G1230" s="14" t="str">
        <f t="shared" si="51"/>
        <v>O</v>
      </c>
      <c r="H1230" s="15">
        <f t="shared" si="52"/>
        <v>3.25</v>
      </c>
      <c r="L1230" s="35"/>
    </row>
    <row r="1231" spans="1:12" x14ac:dyDescent="0.3">
      <c r="A1231" s="31">
        <f>COUNTIFS($B$2:B1231,B1231)</f>
        <v>4</v>
      </c>
      <c r="B1231" s="26" t="s">
        <v>291</v>
      </c>
      <c r="C1231" s="32">
        <v>20060368076565</v>
      </c>
      <c r="D1231" s="26" t="s">
        <v>164</v>
      </c>
      <c r="E1231" s="28">
        <v>7.1</v>
      </c>
      <c r="F1231" s="9"/>
      <c r="G1231" s="14" t="str">
        <f t="shared" si="51"/>
        <v>O</v>
      </c>
      <c r="H1231" s="15">
        <f t="shared" si="52"/>
        <v>3.55</v>
      </c>
      <c r="L1231" s="35"/>
    </row>
    <row r="1232" spans="1:12" x14ac:dyDescent="0.3">
      <c r="A1232" s="31">
        <f>COUNTIFS($B$2:B1232,B1232)</f>
        <v>5</v>
      </c>
      <c r="B1232" s="26" t="s">
        <v>291</v>
      </c>
      <c r="C1232" s="32">
        <v>20060368076565</v>
      </c>
      <c r="D1232" s="26" t="s">
        <v>535</v>
      </c>
      <c r="E1232" s="28">
        <v>40.4</v>
      </c>
      <c r="F1232" s="9"/>
      <c r="G1232" s="14" t="str">
        <f t="shared" si="51"/>
        <v>O</v>
      </c>
      <c r="H1232" s="15">
        <f t="shared" si="52"/>
        <v>20.2</v>
      </c>
      <c r="L1232" s="35"/>
    </row>
    <row r="1233" spans="1:12" x14ac:dyDescent="0.3">
      <c r="A1233" s="31">
        <f>COUNTIFS($B$2:B1233,B1233)</f>
        <v>6</v>
      </c>
      <c r="B1233" s="26" t="s">
        <v>291</v>
      </c>
      <c r="C1233" s="32">
        <v>20060368076565</v>
      </c>
      <c r="D1233" s="26" t="s">
        <v>588</v>
      </c>
      <c r="E1233" s="28">
        <v>100.9</v>
      </c>
      <c r="F1233" s="9"/>
      <c r="G1233" s="14" t="str">
        <f t="shared" si="51"/>
        <v>O</v>
      </c>
      <c r="H1233" s="15">
        <f t="shared" si="52"/>
        <v>50.45</v>
      </c>
      <c r="L1233" s="35"/>
    </row>
    <row r="1234" spans="1:12" x14ac:dyDescent="0.3">
      <c r="A1234" s="31">
        <f>COUNTIFS($B$2:B1234,B1234)</f>
        <v>7</v>
      </c>
      <c r="B1234" s="26" t="s">
        <v>291</v>
      </c>
      <c r="C1234" s="32">
        <v>20060368076565</v>
      </c>
      <c r="D1234" s="26" t="s">
        <v>114</v>
      </c>
      <c r="E1234" s="28">
        <v>257.3</v>
      </c>
      <c r="F1234" s="9"/>
      <c r="G1234" s="14" t="str">
        <f t="shared" si="51"/>
        <v>O</v>
      </c>
      <c r="H1234" s="15">
        <f t="shared" si="52"/>
        <v>128.65</v>
      </c>
      <c r="L1234" s="35"/>
    </row>
    <row r="1235" spans="1:12" x14ac:dyDescent="0.3">
      <c r="A1235" s="31">
        <f>COUNTIFS($B$2:B1235,B1235)</f>
        <v>8</v>
      </c>
      <c r="B1235" s="26" t="s">
        <v>291</v>
      </c>
      <c r="C1235" s="32">
        <v>20060368076565</v>
      </c>
      <c r="D1235" s="26" t="s">
        <v>218</v>
      </c>
      <c r="E1235" s="28">
        <v>4.1010893518590876</v>
      </c>
      <c r="F1235" s="9"/>
      <c r="G1235" s="14" t="str">
        <f t="shared" si="51"/>
        <v>O</v>
      </c>
      <c r="H1235" s="15">
        <f t="shared" si="52"/>
        <v>2.0505446759295438</v>
      </c>
      <c r="L1235" s="35"/>
    </row>
    <row r="1236" spans="1:12" x14ac:dyDescent="0.3">
      <c r="A1236" s="31">
        <f>COUNTIFS($B$2:B1236,B1236)</f>
        <v>1</v>
      </c>
      <c r="B1236" s="26" t="s">
        <v>296</v>
      </c>
      <c r="C1236" s="32">
        <v>20060368076566</v>
      </c>
      <c r="D1236" s="26" t="s">
        <v>82</v>
      </c>
      <c r="E1236" s="28">
        <v>171.3</v>
      </c>
      <c r="F1236" s="9"/>
      <c r="G1236" s="14" t="str">
        <f t="shared" si="51"/>
        <v>O</v>
      </c>
      <c r="H1236" s="15">
        <f t="shared" si="52"/>
        <v>85.65</v>
      </c>
      <c r="L1236" s="35"/>
    </row>
    <row r="1237" spans="1:12" x14ac:dyDescent="0.3">
      <c r="A1237" s="31">
        <f>COUNTIFS($B$2:B1237,B1237)</f>
        <v>2</v>
      </c>
      <c r="B1237" s="26" t="s">
        <v>296</v>
      </c>
      <c r="C1237" s="32">
        <v>20060368076566</v>
      </c>
      <c r="D1237" s="26" t="s">
        <v>30</v>
      </c>
      <c r="E1237" s="28">
        <v>73.400000000000006</v>
      </c>
      <c r="F1237" s="9"/>
      <c r="G1237" s="14" t="str">
        <f t="shared" si="51"/>
        <v>O</v>
      </c>
      <c r="H1237" s="15">
        <f t="shared" si="52"/>
        <v>36.700000000000003</v>
      </c>
      <c r="L1237" s="35"/>
    </row>
    <row r="1238" spans="1:12" x14ac:dyDescent="0.3">
      <c r="A1238" s="31">
        <f>COUNTIFS($B$2:B1238,B1238)</f>
        <v>3</v>
      </c>
      <c r="B1238" s="26" t="s">
        <v>296</v>
      </c>
      <c r="C1238" s="32">
        <v>20060368076566</v>
      </c>
      <c r="D1238" s="26" t="s">
        <v>155</v>
      </c>
      <c r="E1238" s="28">
        <v>3.9</v>
      </c>
      <c r="F1238" s="9"/>
      <c r="G1238" s="14" t="str">
        <f t="shared" si="51"/>
        <v>O</v>
      </c>
      <c r="H1238" s="15">
        <f t="shared" si="52"/>
        <v>1.95</v>
      </c>
      <c r="L1238" s="35"/>
    </row>
    <row r="1239" spans="1:12" x14ac:dyDescent="0.3">
      <c r="A1239" s="31">
        <f>COUNTIFS($B$2:B1239,B1239)</f>
        <v>4</v>
      </c>
      <c r="B1239" s="26" t="s">
        <v>296</v>
      </c>
      <c r="C1239" s="32">
        <v>20060368076566</v>
      </c>
      <c r="D1239" s="26" t="s">
        <v>164</v>
      </c>
      <c r="E1239" s="28">
        <v>4.3</v>
      </c>
      <c r="F1239" s="9"/>
      <c r="G1239" s="14" t="str">
        <f t="shared" ref="G1239:G1302" si="53">IF(D1239="","",IF(COUNTIF(I:I,D1239)&gt;0,"O","X"))</f>
        <v>O</v>
      </c>
      <c r="H1239" s="15">
        <f t="shared" si="52"/>
        <v>2.15</v>
      </c>
      <c r="L1239" s="35"/>
    </row>
    <row r="1240" spans="1:12" x14ac:dyDescent="0.3">
      <c r="A1240" s="31">
        <f>COUNTIFS($B$2:B1240,B1240)</f>
        <v>5</v>
      </c>
      <c r="B1240" s="26" t="s">
        <v>296</v>
      </c>
      <c r="C1240" s="32">
        <v>20060368076566</v>
      </c>
      <c r="D1240" s="26" t="s">
        <v>80</v>
      </c>
      <c r="E1240" s="28">
        <v>24.5</v>
      </c>
      <c r="F1240" s="9"/>
      <c r="G1240" s="14" t="str">
        <f t="shared" si="53"/>
        <v>O</v>
      </c>
      <c r="H1240" s="15">
        <f t="shared" si="52"/>
        <v>12.25</v>
      </c>
      <c r="L1240" s="35"/>
    </row>
    <row r="1241" spans="1:12" x14ac:dyDescent="0.3">
      <c r="A1241" s="31">
        <f>COUNTIFS($B$2:B1241,B1241)</f>
        <v>6</v>
      </c>
      <c r="B1241" s="26" t="s">
        <v>296</v>
      </c>
      <c r="C1241" s="32">
        <v>20060368076566</v>
      </c>
      <c r="D1241" s="26" t="s">
        <v>588</v>
      </c>
      <c r="E1241" s="28">
        <v>61.2</v>
      </c>
      <c r="F1241" s="9"/>
      <c r="G1241" s="14" t="str">
        <f t="shared" si="53"/>
        <v>O</v>
      </c>
      <c r="H1241" s="15">
        <f t="shared" si="52"/>
        <v>30.6</v>
      </c>
      <c r="L1241" s="35"/>
    </row>
    <row r="1242" spans="1:12" x14ac:dyDescent="0.3">
      <c r="A1242" s="31">
        <f>COUNTIFS($B$2:B1242,B1242)</f>
        <v>7</v>
      </c>
      <c r="B1242" s="26" t="s">
        <v>296</v>
      </c>
      <c r="C1242" s="32">
        <v>20060368076566</v>
      </c>
      <c r="D1242" s="26" t="s">
        <v>114</v>
      </c>
      <c r="E1242" s="28">
        <v>156</v>
      </c>
      <c r="F1242" s="9"/>
      <c r="G1242" s="14" t="str">
        <f t="shared" si="53"/>
        <v>O</v>
      </c>
      <c r="H1242" s="15">
        <f t="shared" si="52"/>
        <v>78</v>
      </c>
      <c r="L1242" s="35"/>
    </row>
    <row r="1243" spans="1:12" x14ac:dyDescent="0.3">
      <c r="A1243" s="31">
        <f>COUNTIFS($B$2:B1243,B1243)</f>
        <v>8</v>
      </c>
      <c r="B1243" s="26" t="s">
        <v>296</v>
      </c>
      <c r="C1243" s="32">
        <v>20060368076566</v>
      </c>
      <c r="D1243" s="26" t="s">
        <v>218</v>
      </c>
      <c r="E1243" s="28">
        <v>2.486660519200413</v>
      </c>
      <c r="F1243" s="9"/>
      <c r="G1243" s="14" t="str">
        <f t="shared" si="53"/>
        <v>O</v>
      </c>
      <c r="H1243" s="15">
        <f t="shared" si="52"/>
        <v>1.2433302596002065</v>
      </c>
      <c r="L1243" s="35"/>
    </row>
    <row r="1244" spans="1:12" x14ac:dyDescent="0.3">
      <c r="A1244" s="31">
        <f>COUNTIFS($B$2:B1244,B1244)</f>
        <v>9</v>
      </c>
      <c r="B1244" s="26" t="s">
        <v>296</v>
      </c>
      <c r="C1244" s="32">
        <v>20060368076566</v>
      </c>
      <c r="D1244" s="26" t="s">
        <v>264</v>
      </c>
      <c r="E1244" s="28">
        <v>120</v>
      </c>
      <c r="F1244" s="9"/>
      <c r="G1244" s="14" t="str">
        <f t="shared" si="53"/>
        <v>O</v>
      </c>
      <c r="H1244" s="15">
        <f t="shared" si="52"/>
        <v>60</v>
      </c>
      <c r="L1244" s="35"/>
    </row>
    <row r="1245" spans="1:12" x14ac:dyDescent="0.3">
      <c r="A1245" s="31">
        <f>COUNTIFS($B$2:B1245,B1245)</f>
        <v>1</v>
      </c>
      <c r="B1245" s="26" t="s">
        <v>299</v>
      </c>
      <c r="C1245" s="27">
        <v>20060368076567</v>
      </c>
      <c r="D1245" s="26" t="s">
        <v>284</v>
      </c>
      <c r="E1245" s="28">
        <v>185.31419813292462</v>
      </c>
      <c r="F1245" s="9"/>
      <c r="G1245" s="14" t="str">
        <f t="shared" si="53"/>
        <v>O</v>
      </c>
      <c r="H1245" s="15">
        <f t="shared" si="52"/>
        <v>92.657099066462308</v>
      </c>
      <c r="L1245" s="35"/>
    </row>
    <row r="1246" spans="1:12" x14ac:dyDescent="0.3">
      <c r="A1246" s="31">
        <f>COUNTIFS($B$2:B1246,B1246)</f>
        <v>2</v>
      </c>
      <c r="B1246" s="26" t="s">
        <v>299</v>
      </c>
      <c r="C1246" s="27">
        <v>20060368076567</v>
      </c>
      <c r="D1246" s="26" t="s">
        <v>159</v>
      </c>
      <c r="E1246" s="28">
        <v>3.7062839626584916</v>
      </c>
      <c r="F1246" s="9"/>
      <c r="G1246" s="14" t="str">
        <f t="shared" si="53"/>
        <v>O</v>
      </c>
      <c r="H1246" s="15">
        <f t="shared" si="52"/>
        <v>1.8531419813292458</v>
      </c>
      <c r="L1246" s="35"/>
    </row>
    <row r="1247" spans="1:12" x14ac:dyDescent="0.3">
      <c r="A1247" s="31">
        <f>COUNTIFS($B$2:B1247,B1247)</f>
        <v>3</v>
      </c>
      <c r="B1247" s="26" t="s">
        <v>299</v>
      </c>
      <c r="C1247" s="27">
        <v>20060368076567</v>
      </c>
      <c r="D1247" s="26" t="s">
        <v>421</v>
      </c>
      <c r="E1247" s="28">
        <v>37.062839626584925</v>
      </c>
      <c r="F1247" s="9"/>
      <c r="G1247" s="14" t="str">
        <f t="shared" si="53"/>
        <v>O</v>
      </c>
      <c r="H1247" s="15">
        <f t="shared" si="52"/>
        <v>18.531419813292462</v>
      </c>
      <c r="L1247" s="35"/>
    </row>
    <row r="1248" spans="1:12" x14ac:dyDescent="0.3">
      <c r="A1248" s="31">
        <f>COUNTIFS($B$2:B1248,B1248)</f>
        <v>4</v>
      </c>
      <c r="B1248" s="26" t="s">
        <v>299</v>
      </c>
      <c r="C1248" s="27">
        <v>20060368076567</v>
      </c>
      <c r="D1248" s="26" t="s">
        <v>295</v>
      </c>
      <c r="E1248" s="28">
        <v>0.49417119502113227</v>
      </c>
      <c r="F1248" s="9"/>
      <c r="G1248" s="14" t="str">
        <f t="shared" si="53"/>
        <v>O</v>
      </c>
      <c r="H1248" s="15">
        <f t="shared" si="52"/>
        <v>0.24708559751056614</v>
      </c>
      <c r="L1248" s="35"/>
    </row>
    <row r="1249" spans="1:12" x14ac:dyDescent="0.3">
      <c r="A1249" s="31">
        <f>COUNTIFS($B$2:B1249,B1249)</f>
        <v>5</v>
      </c>
      <c r="B1249" s="26" t="s">
        <v>299</v>
      </c>
      <c r="C1249" s="27">
        <v>20060368076567</v>
      </c>
      <c r="D1249" s="26" t="s">
        <v>164</v>
      </c>
      <c r="E1249" s="28">
        <v>5.5594259439877387</v>
      </c>
      <c r="F1249" s="9"/>
      <c r="G1249" s="14" t="str">
        <f t="shared" si="53"/>
        <v>O</v>
      </c>
      <c r="H1249" s="15">
        <f t="shared" si="52"/>
        <v>2.7797129719938694</v>
      </c>
      <c r="L1249" s="35"/>
    </row>
    <row r="1250" spans="1:12" x14ac:dyDescent="0.3">
      <c r="A1250" s="31">
        <f>COUNTIFS($B$2:B1250,B1250)</f>
        <v>6</v>
      </c>
      <c r="B1250" s="26" t="s">
        <v>299</v>
      </c>
      <c r="C1250" s="27">
        <v>20060368076567</v>
      </c>
      <c r="D1250" s="26" t="s">
        <v>114</v>
      </c>
      <c r="E1250" s="28">
        <v>154.42849844410384</v>
      </c>
      <c r="F1250" s="9"/>
      <c r="G1250" s="14" t="str">
        <f t="shared" si="53"/>
        <v>O</v>
      </c>
      <c r="H1250" s="15">
        <f t="shared" si="52"/>
        <v>77.214249222051919</v>
      </c>
      <c r="L1250" s="35"/>
    </row>
    <row r="1251" spans="1:12" x14ac:dyDescent="0.3">
      <c r="A1251" s="31">
        <f>COUNTIFS($B$2:B1251,B1251)</f>
        <v>7</v>
      </c>
      <c r="B1251" s="26" t="s">
        <v>299</v>
      </c>
      <c r="C1251" s="27">
        <v>20060368076567</v>
      </c>
      <c r="D1251" s="26" t="s">
        <v>492</v>
      </c>
      <c r="E1251" s="28">
        <v>9.2657099066462312</v>
      </c>
      <c r="F1251" s="9"/>
      <c r="G1251" s="14" t="str">
        <f t="shared" si="53"/>
        <v>O</v>
      </c>
      <c r="H1251" s="15">
        <f t="shared" si="52"/>
        <v>4.6328549533231156</v>
      </c>
      <c r="L1251" s="35"/>
    </row>
    <row r="1252" spans="1:12" x14ac:dyDescent="0.3">
      <c r="A1252" s="31">
        <f>COUNTIFS($B$2:B1252,B1252)</f>
        <v>8</v>
      </c>
      <c r="B1252" s="26" t="s">
        <v>299</v>
      </c>
      <c r="C1252" s="27">
        <v>20060368076567</v>
      </c>
      <c r="D1252" s="26" t="s">
        <v>418</v>
      </c>
      <c r="E1252" s="28">
        <v>3.1688727880730108</v>
      </c>
      <c r="F1252" s="9"/>
      <c r="G1252" s="14" t="str">
        <f t="shared" si="53"/>
        <v>O</v>
      </c>
      <c r="H1252" s="15">
        <f t="shared" si="52"/>
        <v>1.5844363940365054</v>
      </c>
      <c r="L1252" s="35"/>
    </row>
    <row r="1253" spans="1:12" x14ac:dyDescent="0.3">
      <c r="A1253" s="31">
        <f>COUNTIFS($B$2:B1253,B1253)</f>
        <v>1</v>
      </c>
      <c r="B1253" s="26" t="s">
        <v>302</v>
      </c>
      <c r="C1253" s="27">
        <v>20060368076568</v>
      </c>
      <c r="D1253" s="26" t="s">
        <v>284</v>
      </c>
      <c r="E1253" s="28">
        <v>164.8919317289546</v>
      </c>
      <c r="F1253" s="9"/>
      <c r="G1253" s="14" t="str">
        <f t="shared" si="53"/>
        <v>O</v>
      </c>
      <c r="H1253" s="15">
        <f t="shared" si="52"/>
        <v>82.445965864477301</v>
      </c>
      <c r="L1253" s="35"/>
    </row>
    <row r="1254" spans="1:12" x14ac:dyDescent="0.3">
      <c r="A1254" s="31">
        <f>COUNTIFS($B$2:B1254,B1254)</f>
        <v>2</v>
      </c>
      <c r="B1254" s="26" t="s">
        <v>302</v>
      </c>
      <c r="C1254" s="27">
        <v>20060368076568</v>
      </c>
      <c r="D1254" s="26" t="s">
        <v>159</v>
      </c>
      <c r="E1254" s="28">
        <v>3.2978386345790915</v>
      </c>
      <c r="F1254" s="9"/>
      <c r="G1254" s="14" t="str">
        <f t="shared" si="53"/>
        <v>O</v>
      </c>
      <c r="H1254" s="15">
        <f t="shared" si="52"/>
        <v>1.6489193172895458</v>
      </c>
      <c r="L1254" s="35"/>
    </row>
    <row r="1255" spans="1:12" x14ac:dyDescent="0.3">
      <c r="A1255" s="31">
        <f>COUNTIFS($B$2:B1255,B1255)</f>
        <v>3</v>
      </c>
      <c r="B1255" s="26" t="s">
        <v>302</v>
      </c>
      <c r="C1255" s="27">
        <v>20060368076568</v>
      </c>
      <c r="D1255" s="26" t="s">
        <v>421</v>
      </c>
      <c r="E1255" s="28">
        <v>32.978386345790916</v>
      </c>
      <c r="F1255" s="9"/>
      <c r="G1255" s="14" t="str">
        <f t="shared" si="53"/>
        <v>O</v>
      </c>
      <c r="H1255" s="15">
        <f t="shared" si="52"/>
        <v>16.489193172895458</v>
      </c>
      <c r="L1255" s="35"/>
    </row>
    <row r="1256" spans="1:12" x14ac:dyDescent="0.3">
      <c r="A1256" s="31">
        <f>COUNTIFS($B$2:B1256,B1256)</f>
        <v>4</v>
      </c>
      <c r="B1256" s="26" t="s">
        <v>302</v>
      </c>
      <c r="C1256" s="27">
        <v>20060368076568</v>
      </c>
      <c r="D1256" s="26" t="s">
        <v>295</v>
      </c>
      <c r="E1256" s="28">
        <v>0.43971181794387892</v>
      </c>
      <c r="F1256" s="9"/>
      <c r="G1256" s="14" t="str">
        <f t="shared" si="53"/>
        <v>O</v>
      </c>
      <c r="H1256" s="15">
        <f t="shared" si="52"/>
        <v>0.21985590897193946</v>
      </c>
      <c r="L1256" s="35"/>
    </row>
    <row r="1257" spans="1:12" x14ac:dyDescent="0.3">
      <c r="A1257" s="31">
        <f>COUNTIFS($B$2:B1257,B1257)</f>
        <v>5</v>
      </c>
      <c r="B1257" s="26" t="s">
        <v>302</v>
      </c>
      <c r="C1257" s="27">
        <v>20060368076568</v>
      </c>
      <c r="D1257" s="26" t="s">
        <v>489</v>
      </c>
      <c r="E1257" s="28">
        <v>4.946757951868638</v>
      </c>
      <c r="F1257" s="9"/>
      <c r="G1257" s="14" t="str">
        <f t="shared" si="53"/>
        <v>O</v>
      </c>
      <c r="H1257" s="15">
        <f t="shared" si="52"/>
        <v>2.473378975934319</v>
      </c>
      <c r="L1257" s="35"/>
    </row>
    <row r="1258" spans="1:12" x14ac:dyDescent="0.3">
      <c r="A1258" s="31">
        <f>COUNTIFS($B$2:B1258,B1258)</f>
        <v>6</v>
      </c>
      <c r="B1258" s="26" t="s">
        <v>302</v>
      </c>
      <c r="C1258" s="27">
        <v>20060368076568</v>
      </c>
      <c r="D1258" s="26" t="s">
        <v>114</v>
      </c>
      <c r="E1258" s="28">
        <v>137.40994310746217</v>
      </c>
      <c r="F1258" s="9"/>
      <c r="G1258" s="14" t="str">
        <f t="shared" si="53"/>
        <v>O</v>
      </c>
      <c r="H1258" s="15">
        <f t="shared" si="52"/>
        <v>68.704971553731085</v>
      </c>
      <c r="L1258" s="35"/>
    </row>
    <row r="1259" spans="1:12" x14ac:dyDescent="0.3">
      <c r="A1259" s="31">
        <f>COUNTIFS($B$2:B1259,B1259)</f>
        <v>7</v>
      </c>
      <c r="B1259" s="26" t="s">
        <v>302</v>
      </c>
      <c r="C1259" s="27">
        <v>20060368076568</v>
      </c>
      <c r="D1259" s="26" t="s">
        <v>492</v>
      </c>
      <c r="E1259" s="28">
        <v>8.2445965864477291</v>
      </c>
      <c r="F1259" s="9"/>
      <c r="G1259" s="14" t="str">
        <f t="shared" si="53"/>
        <v>O</v>
      </c>
      <c r="H1259" s="15">
        <f t="shared" si="52"/>
        <v>4.1222982932238645</v>
      </c>
      <c r="L1259" s="35"/>
    </row>
    <row r="1260" spans="1:12" x14ac:dyDescent="0.3">
      <c r="A1260" s="31">
        <f>COUNTIFS($B$2:B1260,B1260)</f>
        <v>8</v>
      </c>
      <c r="B1260" s="26" t="s">
        <v>302</v>
      </c>
      <c r="C1260" s="27">
        <v>20060368076568</v>
      </c>
      <c r="D1260" s="26" t="s">
        <v>418</v>
      </c>
      <c r="E1260" s="28">
        <v>2.819652032565124</v>
      </c>
      <c r="F1260" s="9"/>
      <c r="G1260" s="14" t="str">
        <f t="shared" si="53"/>
        <v>O</v>
      </c>
      <c r="H1260" s="15">
        <f t="shared" si="52"/>
        <v>1.409826016282562</v>
      </c>
      <c r="L1260" s="35"/>
    </row>
    <row r="1261" spans="1:12" x14ac:dyDescent="0.3">
      <c r="A1261" s="31">
        <f>COUNTIFS($B$2:B1261,B1261)</f>
        <v>9</v>
      </c>
      <c r="B1261" s="26" t="s">
        <v>302</v>
      </c>
      <c r="C1261" s="27">
        <v>20060368076568</v>
      </c>
      <c r="D1261" s="26" t="s">
        <v>272</v>
      </c>
      <c r="E1261" s="28">
        <v>43.971181794387888</v>
      </c>
      <c r="F1261" s="9"/>
      <c r="G1261" s="14" t="str">
        <f t="shared" si="53"/>
        <v>O</v>
      </c>
      <c r="H1261" s="15">
        <f t="shared" si="52"/>
        <v>21.985590897193944</v>
      </c>
      <c r="L1261" s="35"/>
    </row>
    <row r="1262" spans="1:12" x14ac:dyDescent="0.3">
      <c r="A1262" s="19">
        <f>COUNTIFS($B$2:B1262,B1262)</f>
        <v>1</v>
      </c>
      <c r="B1262" s="26" t="s">
        <v>304</v>
      </c>
      <c r="C1262" s="27">
        <v>20060368076278</v>
      </c>
      <c r="D1262" s="26" t="s">
        <v>284</v>
      </c>
      <c r="E1262" s="28">
        <v>87.648515540220927</v>
      </c>
      <c r="F1262" s="9"/>
      <c r="G1262" s="14" t="str">
        <f t="shared" si="53"/>
        <v>O</v>
      </c>
      <c r="H1262" s="15">
        <f t="shared" si="52"/>
        <v>43.824257770110464</v>
      </c>
      <c r="L1262" s="35"/>
    </row>
    <row r="1263" spans="1:12" x14ac:dyDescent="0.3">
      <c r="A1263" s="19">
        <f>COUNTIFS($B$2:B1263,B1263)</f>
        <v>2</v>
      </c>
      <c r="B1263" s="26" t="s">
        <v>304</v>
      </c>
      <c r="C1263" s="27">
        <v>20060368076278</v>
      </c>
      <c r="D1263" s="26" t="s">
        <v>563</v>
      </c>
      <c r="E1263" s="28">
        <v>37.563649517237543</v>
      </c>
      <c r="F1263" s="9"/>
      <c r="G1263" s="14" t="str">
        <f t="shared" si="53"/>
        <v>O</v>
      </c>
      <c r="H1263" s="15">
        <f t="shared" si="52"/>
        <v>18.781824758618772</v>
      </c>
      <c r="L1263" s="35"/>
    </row>
    <row r="1264" spans="1:12" x14ac:dyDescent="0.3">
      <c r="A1264" s="19">
        <f>COUNTIFS($B$2:B1264,B1264)</f>
        <v>3</v>
      </c>
      <c r="B1264" s="26" t="s">
        <v>304</v>
      </c>
      <c r="C1264" s="27">
        <v>20060368076278</v>
      </c>
      <c r="D1264" s="26" t="s">
        <v>418</v>
      </c>
      <c r="E1264" s="28">
        <v>1.577673279723977</v>
      </c>
      <c r="F1264" s="9"/>
      <c r="G1264" s="14" t="str">
        <f t="shared" si="53"/>
        <v>O</v>
      </c>
      <c r="H1264" s="15">
        <f t="shared" si="52"/>
        <v>0.78883663986198849</v>
      </c>
      <c r="L1264" s="35"/>
    </row>
    <row r="1265" spans="1:12" x14ac:dyDescent="0.3">
      <c r="A1265" s="19">
        <f>COUNTIFS($B$2:B1265,B1265)</f>
        <v>4</v>
      </c>
      <c r="B1265" s="26" t="s">
        <v>304</v>
      </c>
      <c r="C1265" s="27">
        <v>20060368076278</v>
      </c>
      <c r="D1265" s="26" t="s">
        <v>32</v>
      </c>
      <c r="E1265" s="28">
        <v>4.8776268421614919</v>
      </c>
      <c r="F1265" s="9"/>
      <c r="G1265" s="14" t="str">
        <f t="shared" si="53"/>
        <v>O</v>
      </c>
      <c r="H1265" s="15">
        <f t="shared" si="52"/>
        <v>2.4388134210807459</v>
      </c>
      <c r="L1265" s="35"/>
    </row>
    <row r="1266" spans="1:12" x14ac:dyDescent="0.3">
      <c r="A1266" s="19">
        <f>COUNTIFS($B$2:B1266,B1266)</f>
        <v>5</v>
      </c>
      <c r="B1266" s="26" t="s">
        <v>304</v>
      </c>
      <c r="C1266" s="27">
        <v>20060368076278</v>
      </c>
      <c r="D1266" s="26" t="s">
        <v>218</v>
      </c>
      <c r="E1266" s="28">
        <v>1.2521216505745847</v>
      </c>
      <c r="F1266" s="9"/>
      <c r="G1266" s="14" t="str">
        <f t="shared" si="53"/>
        <v>O</v>
      </c>
      <c r="H1266" s="15">
        <f t="shared" si="52"/>
        <v>0.62606082528729234</v>
      </c>
      <c r="L1266" s="35"/>
    </row>
    <row r="1267" spans="1:12" x14ac:dyDescent="0.3">
      <c r="A1267" s="19">
        <f>COUNTIFS($B$2:B1267,B1267)</f>
        <v>6</v>
      </c>
      <c r="B1267" s="26" t="s">
        <v>304</v>
      </c>
      <c r="C1267" s="27">
        <v>20060368076278</v>
      </c>
      <c r="D1267" s="26" t="s">
        <v>489</v>
      </c>
      <c r="E1267" s="28">
        <v>3.43474776704972</v>
      </c>
      <c r="F1267" s="9"/>
      <c r="G1267" s="14" t="str">
        <f t="shared" si="53"/>
        <v>O</v>
      </c>
      <c r="H1267" s="15">
        <f t="shared" si="52"/>
        <v>1.71737388352486</v>
      </c>
      <c r="L1267" s="35"/>
    </row>
    <row r="1268" spans="1:12" x14ac:dyDescent="0.3">
      <c r="A1268" s="19">
        <f>COUNTIFS($B$2:B1268,B1268)</f>
        <v>7</v>
      </c>
      <c r="B1268" s="26" t="s">
        <v>304</v>
      </c>
      <c r="C1268" s="27">
        <v>20060368076278</v>
      </c>
      <c r="D1268" s="26" t="s">
        <v>114</v>
      </c>
      <c r="E1268" s="28">
        <v>100.16973204596678</v>
      </c>
      <c r="F1268" s="9"/>
      <c r="G1268" s="14" t="str">
        <f t="shared" si="53"/>
        <v>O</v>
      </c>
      <c r="H1268" s="15">
        <f t="shared" si="52"/>
        <v>50.084866022983391</v>
      </c>
      <c r="L1268" s="35"/>
    </row>
    <row r="1269" spans="1:12" x14ac:dyDescent="0.3">
      <c r="A1269" s="19">
        <f>COUNTIFS($B$2:B1269,B1269)</f>
        <v>8</v>
      </c>
      <c r="B1269" s="26" t="s">
        <v>304</v>
      </c>
      <c r="C1269" s="27">
        <v>20060368076278</v>
      </c>
      <c r="D1269" s="26" t="s">
        <v>554</v>
      </c>
      <c r="E1269" s="28">
        <v>12.521216505745848</v>
      </c>
      <c r="F1269" s="9"/>
      <c r="G1269" s="14" t="str">
        <f t="shared" si="53"/>
        <v>O</v>
      </c>
      <c r="H1269" s="15">
        <f t="shared" ref="H1269:H1332" si="54">E1269/2</f>
        <v>6.2606082528729239</v>
      </c>
      <c r="L1269" s="35"/>
    </row>
    <row r="1270" spans="1:12" x14ac:dyDescent="0.3">
      <c r="A1270" s="19">
        <f>COUNTIFS($B$2:B1270,B1270)</f>
        <v>9</v>
      </c>
      <c r="B1270" s="26" t="s">
        <v>304</v>
      </c>
      <c r="C1270" s="27">
        <v>20060368076278</v>
      </c>
      <c r="D1270" s="26" t="s">
        <v>558</v>
      </c>
      <c r="E1270" s="28">
        <v>3.7563649517237545</v>
      </c>
      <c r="F1270" s="9"/>
      <c r="G1270" s="14" t="str">
        <f t="shared" si="53"/>
        <v>O</v>
      </c>
      <c r="H1270" s="15">
        <f t="shared" si="54"/>
        <v>1.8781824758618773</v>
      </c>
      <c r="L1270" s="35"/>
    </row>
    <row r="1271" spans="1:12" x14ac:dyDescent="0.3">
      <c r="A1271" s="19">
        <f>COUNTIFS($B$2:B1271,B1271)</f>
        <v>10</v>
      </c>
      <c r="B1271" s="26" t="s">
        <v>304</v>
      </c>
      <c r="C1271" s="27">
        <v>20060368076278</v>
      </c>
      <c r="D1271" s="26" t="s">
        <v>504</v>
      </c>
      <c r="E1271" s="28">
        <v>31.303041264364616</v>
      </c>
      <c r="F1271" s="9"/>
      <c r="G1271" s="14" t="str">
        <f t="shared" si="53"/>
        <v>O</v>
      </c>
      <c r="H1271" s="15">
        <f t="shared" si="54"/>
        <v>15.651520632182308</v>
      </c>
      <c r="L1271" s="35"/>
    </row>
    <row r="1272" spans="1:12" x14ac:dyDescent="0.3">
      <c r="A1272" s="19">
        <f>COUNTIFS($B$2:B1272,B1272)</f>
        <v>11</v>
      </c>
      <c r="B1272" s="26" t="s">
        <v>304</v>
      </c>
      <c r="C1272" s="27">
        <v>20060368076278</v>
      </c>
      <c r="D1272" s="26" t="s">
        <v>272</v>
      </c>
      <c r="E1272" s="28">
        <v>12.521216505745848</v>
      </c>
      <c r="F1272" s="9"/>
      <c r="G1272" s="14" t="str">
        <f t="shared" si="53"/>
        <v>O</v>
      </c>
      <c r="H1272" s="15">
        <f t="shared" si="54"/>
        <v>6.2606082528729239</v>
      </c>
      <c r="L1272" s="35"/>
    </row>
    <row r="1273" spans="1:12" x14ac:dyDescent="0.3">
      <c r="A1273" s="19">
        <f>COUNTIFS($B$2:B1273,B1273)</f>
        <v>12</v>
      </c>
      <c r="B1273" s="26" t="s">
        <v>304</v>
      </c>
      <c r="C1273" s="27">
        <v>20060368076278</v>
      </c>
      <c r="D1273" s="26" t="s">
        <v>564</v>
      </c>
      <c r="E1273" s="28">
        <v>3.7563649517237545</v>
      </c>
      <c r="F1273" s="9"/>
      <c r="G1273" s="14" t="str">
        <f t="shared" si="53"/>
        <v>O</v>
      </c>
      <c r="H1273" s="15">
        <f t="shared" si="54"/>
        <v>1.8781824758618773</v>
      </c>
      <c r="L1273" s="35"/>
    </row>
    <row r="1274" spans="1:12" x14ac:dyDescent="0.3">
      <c r="A1274" s="19">
        <f>COUNTIFS($B$2:B1274,B1274)</f>
        <v>1</v>
      </c>
      <c r="B1274" s="26" t="s">
        <v>306</v>
      </c>
      <c r="C1274" s="27">
        <v>20060368076570</v>
      </c>
      <c r="D1274" s="26" t="s">
        <v>284</v>
      </c>
      <c r="E1274" s="28">
        <v>113.39198435972628</v>
      </c>
      <c r="F1274" s="9"/>
      <c r="G1274" s="14" t="str">
        <f t="shared" si="53"/>
        <v>O</v>
      </c>
      <c r="H1274" s="15">
        <f t="shared" si="54"/>
        <v>56.69599217986314</v>
      </c>
      <c r="L1274" s="35"/>
    </row>
    <row r="1275" spans="1:12" x14ac:dyDescent="0.3">
      <c r="A1275" s="19">
        <f>COUNTIFS($B$2:B1275,B1275)</f>
        <v>2</v>
      </c>
      <c r="B1275" s="26" t="s">
        <v>306</v>
      </c>
      <c r="C1275" s="27">
        <v>20060368076570</v>
      </c>
      <c r="D1275" s="26" t="s">
        <v>206</v>
      </c>
      <c r="E1275" s="28">
        <v>48.596564725596984</v>
      </c>
      <c r="F1275" s="9"/>
      <c r="G1275" s="14" t="str">
        <f t="shared" si="53"/>
        <v>O</v>
      </c>
      <c r="H1275" s="15">
        <f t="shared" si="54"/>
        <v>24.298282362798492</v>
      </c>
      <c r="L1275" s="35"/>
    </row>
    <row r="1276" spans="1:12" x14ac:dyDescent="0.3">
      <c r="A1276" s="19">
        <f>COUNTIFS($B$2:B1276,B1276)</f>
        <v>3</v>
      </c>
      <c r="B1276" s="26" t="s">
        <v>306</v>
      </c>
      <c r="C1276" s="27">
        <v>20060368076570</v>
      </c>
      <c r="D1276" s="26" t="s">
        <v>157</v>
      </c>
      <c r="E1276" s="28">
        <v>9.7193129451193965</v>
      </c>
      <c r="F1276" s="9"/>
      <c r="G1276" s="14" t="str">
        <f t="shared" si="53"/>
        <v>O</v>
      </c>
      <c r="H1276" s="15">
        <f t="shared" si="54"/>
        <v>4.8596564725596982</v>
      </c>
      <c r="L1276" s="35"/>
    </row>
    <row r="1277" spans="1:12" x14ac:dyDescent="0.3">
      <c r="A1277" s="19">
        <f>COUNTIFS($B$2:B1277,B1277)</f>
        <v>4</v>
      </c>
      <c r="B1277" s="26" t="s">
        <v>306</v>
      </c>
      <c r="C1277" s="27">
        <v>20060368076570</v>
      </c>
      <c r="D1277" s="26" t="s">
        <v>418</v>
      </c>
      <c r="E1277" s="28">
        <v>4.3736908253037283</v>
      </c>
      <c r="F1277" s="9"/>
      <c r="G1277" s="14" t="str">
        <f t="shared" si="53"/>
        <v>O</v>
      </c>
      <c r="H1277" s="15">
        <f t="shared" si="54"/>
        <v>2.1868454126518642</v>
      </c>
      <c r="L1277" s="35"/>
    </row>
    <row r="1278" spans="1:12" x14ac:dyDescent="0.3">
      <c r="A1278" s="19">
        <f>COUNTIFS($B$2:B1278,B1278)</f>
        <v>5</v>
      </c>
      <c r="B1278" s="26" t="s">
        <v>306</v>
      </c>
      <c r="C1278" s="27">
        <v>20060368076570</v>
      </c>
      <c r="D1278" s="26" t="s">
        <v>114</v>
      </c>
      <c r="E1278" s="28">
        <v>90.713587487781041</v>
      </c>
      <c r="F1278" s="9"/>
      <c r="G1278" s="14" t="str">
        <f t="shared" si="53"/>
        <v>O</v>
      </c>
      <c r="H1278" s="15">
        <f t="shared" si="54"/>
        <v>45.35679374389052</v>
      </c>
      <c r="L1278" s="35"/>
    </row>
    <row r="1279" spans="1:12" x14ac:dyDescent="0.3">
      <c r="A1279" s="19">
        <f>COUNTIFS($B$2:B1279,B1279)</f>
        <v>6</v>
      </c>
      <c r="B1279" s="26" t="s">
        <v>306</v>
      </c>
      <c r="C1279" s="27">
        <v>20060368076570</v>
      </c>
      <c r="D1279" s="26" t="s">
        <v>218</v>
      </c>
      <c r="E1279" s="28">
        <v>1.2149141181399246</v>
      </c>
      <c r="F1279" s="9"/>
      <c r="G1279" s="14" t="str">
        <f t="shared" si="53"/>
        <v>O</v>
      </c>
      <c r="H1279" s="15">
        <f t="shared" si="54"/>
        <v>0.60745705906996228</v>
      </c>
      <c r="L1279" s="35"/>
    </row>
    <row r="1280" spans="1:12" x14ac:dyDescent="0.3">
      <c r="A1280" s="19">
        <f>COUNTIFS($B$2:B1280,B1280)</f>
        <v>7</v>
      </c>
      <c r="B1280" s="26" t="s">
        <v>306</v>
      </c>
      <c r="C1280" s="27">
        <v>20060368076570</v>
      </c>
      <c r="D1280" s="26" t="s">
        <v>170</v>
      </c>
      <c r="E1280" s="28">
        <v>7.2894847088395469</v>
      </c>
      <c r="F1280" s="9"/>
      <c r="G1280" s="14" t="str">
        <f t="shared" si="53"/>
        <v>O</v>
      </c>
      <c r="H1280" s="15">
        <f t="shared" si="54"/>
        <v>3.6447423544197735</v>
      </c>
      <c r="L1280" s="35"/>
    </row>
    <row r="1281" spans="1:12" x14ac:dyDescent="0.3">
      <c r="A1281" s="19">
        <f>COUNTIFS($B$2:B1281,B1281)</f>
        <v>8</v>
      </c>
      <c r="B1281" s="26" t="s">
        <v>306</v>
      </c>
      <c r="C1281" s="27">
        <v>20060368076570</v>
      </c>
      <c r="D1281" s="26" t="s">
        <v>421</v>
      </c>
      <c r="E1281" s="28">
        <v>48.596564725596984</v>
      </c>
      <c r="F1281" s="9"/>
      <c r="G1281" s="14" t="str">
        <f t="shared" si="53"/>
        <v>O</v>
      </c>
      <c r="H1281" s="15">
        <f t="shared" si="54"/>
        <v>24.298282362798492</v>
      </c>
      <c r="L1281" s="35"/>
    </row>
    <row r="1282" spans="1:12" x14ac:dyDescent="0.3">
      <c r="A1282" s="19">
        <f>COUNTIFS($B$2:B1282,B1282)</f>
        <v>9</v>
      </c>
      <c r="B1282" s="26" t="s">
        <v>306</v>
      </c>
      <c r="C1282" s="27">
        <v>20060368076570</v>
      </c>
      <c r="D1282" s="26" t="s">
        <v>488</v>
      </c>
      <c r="E1282" s="28">
        <v>7.2894847088395469</v>
      </c>
      <c r="F1282" s="9"/>
      <c r="G1282" s="14" t="str">
        <f t="shared" si="53"/>
        <v>O</v>
      </c>
      <c r="H1282" s="15">
        <f t="shared" si="54"/>
        <v>3.6447423544197735</v>
      </c>
      <c r="L1282" s="35"/>
    </row>
    <row r="1283" spans="1:12" x14ac:dyDescent="0.3">
      <c r="A1283" s="19">
        <f>COUNTIFS($B$2:B1283,B1283)</f>
        <v>10</v>
      </c>
      <c r="B1283" s="26" t="s">
        <v>306</v>
      </c>
      <c r="C1283" s="27">
        <v>20060368076570</v>
      </c>
      <c r="D1283" s="26" t="s">
        <v>33</v>
      </c>
      <c r="E1283" s="28">
        <v>36.44742354419774</v>
      </c>
      <c r="F1283" s="9"/>
      <c r="G1283" s="14" t="str">
        <f t="shared" si="53"/>
        <v>O</v>
      </c>
      <c r="H1283" s="15">
        <f t="shared" si="54"/>
        <v>18.22371177209887</v>
      </c>
      <c r="L1283" s="35"/>
    </row>
    <row r="1284" spans="1:12" x14ac:dyDescent="0.3">
      <c r="A1284" s="19">
        <f>COUNTIFS($B$2:B1284,B1284)</f>
        <v>11</v>
      </c>
      <c r="B1284" s="26" t="s">
        <v>306</v>
      </c>
      <c r="C1284" s="27">
        <v>20060368076570</v>
      </c>
      <c r="D1284" s="26" t="s">
        <v>504</v>
      </c>
      <c r="E1284" s="28">
        <v>48.596564725596984</v>
      </c>
      <c r="F1284" s="9"/>
      <c r="G1284" s="14" t="str">
        <f t="shared" si="53"/>
        <v>O</v>
      </c>
      <c r="H1284" s="15">
        <f t="shared" si="54"/>
        <v>24.298282362798492</v>
      </c>
      <c r="L1284" s="35"/>
    </row>
    <row r="1285" spans="1:12" x14ac:dyDescent="0.3">
      <c r="A1285" s="19">
        <f>COUNTIFS($B$2:B1285,B1285)</f>
        <v>12</v>
      </c>
      <c r="B1285" s="26" t="s">
        <v>306</v>
      </c>
      <c r="C1285" s="27">
        <v>20060368076570</v>
      </c>
      <c r="D1285" s="26" t="s">
        <v>284</v>
      </c>
      <c r="E1285" s="28">
        <v>80.994274542661643</v>
      </c>
      <c r="F1285" s="9"/>
      <c r="G1285" s="14" t="str">
        <f t="shared" si="53"/>
        <v>O</v>
      </c>
      <c r="H1285" s="15">
        <f t="shared" si="54"/>
        <v>40.497137271330821</v>
      </c>
      <c r="L1285" s="35"/>
    </row>
    <row r="1286" spans="1:12" x14ac:dyDescent="0.3">
      <c r="A1286" s="19">
        <f>COUNTIFS($B$2:B1286,B1286)</f>
        <v>13</v>
      </c>
      <c r="B1286" s="26" t="s">
        <v>306</v>
      </c>
      <c r="C1286" s="27">
        <v>20060368076570</v>
      </c>
      <c r="D1286" s="26" t="s">
        <v>114</v>
      </c>
      <c r="E1286" s="28">
        <v>80.994274542661643</v>
      </c>
      <c r="F1286" s="9"/>
      <c r="G1286" s="14" t="str">
        <f t="shared" si="53"/>
        <v>O</v>
      </c>
      <c r="H1286" s="15">
        <f t="shared" si="54"/>
        <v>40.497137271330821</v>
      </c>
      <c r="L1286" s="35"/>
    </row>
    <row r="1287" spans="1:12" x14ac:dyDescent="0.3">
      <c r="A1287" s="19">
        <f>COUNTIFS($B$2:B1287,B1287)</f>
        <v>14</v>
      </c>
      <c r="B1287" s="26" t="s">
        <v>306</v>
      </c>
      <c r="C1287" s="27">
        <v>20060368076570</v>
      </c>
      <c r="D1287" s="26" t="s">
        <v>489</v>
      </c>
      <c r="E1287" s="28">
        <v>3.3619885490853201</v>
      </c>
      <c r="F1287" s="9"/>
      <c r="G1287" s="14" t="str">
        <f t="shared" si="53"/>
        <v>O</v>
      </c>
      <c r="H1287" s="15">
        <f t="shared" si="54"/>
        <v>1.68099427454266</v>
      </c>
      <c r="L1287" s="35"/>
    </row>
    <row r="1288" spans="1:12" x14ac:dyDescent="0.3">
      <c r="A1288" s="19">
        <f>COUNTIFS($B$2:B1288,B1288)</f>
        <v>1</v>
      </c>
      <c r="B1288" s="26" t="s">
        <v>308</v>
      </c>
      <c r="C1288" s="27">
        <v>20060368076571</v>
      </c>
      <c r="D1288" s="26" t="s">
        <v>463</v>
      </c>
      <c r="E1288" s="28">
        <v>93.22941255066138</v>
      </c>
      <c r="F1288" s="9"/>
      <c r="G1288" s="14" t="str">
        <f t="shared" si="53"/>
        <v>O</v>
      </c>
      <c r="H1288" s="15">
        <f t="shared" si="54"/>
        <v>46.61470627533069</v>
      </c>
      <c r="L1288" s="35"/>
    </row>
    <row r="1289" spans="1:12" x14ac:dyDescent="0.3">
      <c r="A1289" s="19">
        <f>COUNTIFS($B$2:B1289,B1289)</f>
        <v>2</v>
      </c>
      <c r="B1289" s="26" t="s">
        <v>308</v>
      </c>
      <c r="C1289" s="27">
        <v>20060368076571</v>
      </c>
      <c r="D1289" s="26" t="s">
        <v>589</v>
      </c>
      <c r="E1289" s="28">
        <v>10.47521489333274</v>
      </c>
      <c r="F1289" s="9"/>
      <c r="G1289" s="14" t="str">
        <f t="shared" si="53"/>
        <v>O</v>
      </c>
      <c r="H1289" s="15">
        <f t="shared" si="54"/>
        <v>5.2376074466663702</v>
      </c>
      <c r="L1289" s="35"/>
    </row>
    <row r="1290" spans="1:12" x14ac:dyDescent="0.3">
      <c r="A1290" s="19">
        <f>COUNTIFS($B$2:B1290,B1290)</f>
        <v>3</v>
      </c>
      <c r="B1290" s="26" t="s">
        <v>308</v>
      </c>
      <c r="C1290" s="27">
        <v>20060368076571</v>
      </c>
      <c r="D1290" s="26" t="s">
        <v>190</v>
      </c>
      <c r="E1290" s="28">
        <v>2.3569233509998666</v>
      </c>
      <c r="F1290" s="9"/>
      <c r="G1290" s="14" t="str">
        <f t="shared" si="53"/>
        <v>O</v>
      </c>
      <c r="H1290" s="15">
        <f t="shared" si="54"/>
        <v>1.1784616754999333</v>
      </c>
      <c r="L1290" s="35"/>
    </row>
    <row r="1291" spans="1:12" x14ac:dyDescent="0.3">
      <c r="A1291" s="19">
        <f>COUNTIFS($B$2:B1291,B1291)</f>
        <v>4</v>
      </c>
      <c r="B1291" s="26" t="s">
        <v>308</v>
      </c>
      <c r="C1291" s="27">
        <v>20060368076571</v>
      </c>
      <c r="D1291" s="26" t="s">
        <v>418</v>
      </c>
      <c r="E1291" s="28">
        <v>0.50630205317774912</v>
      </c>
      <c r="F1291" s="9"/>
      <c r="G1291" s="14" t="str">
        <f t="shared" si="53"/>
        <v>O</v>
      </c>
      <c r="H1291" s="15">
        <f t="shared" si="54"/>
        <v>0.25315102658887456</v>
      </c>
      <c r="L1291" s="35"/>
    </row>
    <row r="1292" spans="1:12" x14ac:dyDescent="0.3">
      <c r="A1292" s="19">
        <f>COUNTIFS($B$2:B1292,B1292)</f>
        <v>5</v>
      </c>
      <c r="B1292" s="26" t="s">
        <v>308</v>
      </c>
      <c r="C1292" s="27">
        <v>20060368076571</v>
      </c>
      <c r="D1292" s="26" t="s">
        <v>488</v>
      </c>
      <c r="E1292" s="28">
        <v>19.641027924998884</v>
      </c>
      <c r="F1292" s="9"/>
      <c r="G1292" s="14" t="str">
        <f t="shared" si="53"/>
        <v>O</v>
      </c>
      <c r="H1292" s="15">
        <f t="shared" si="54"/>
        <v>9.820513962499442</v>
      </c>
      <c r="L1292" s="35"/>
    </row>
    <row r="1293" spans="1:12" x14ac:dyDescent="0.3">
      <c r="A1293" s="19">
        <f>COUNTIFS($B$2:B1293,B1293)</f>
        <v>6</v>
      </c>
      <c r="B1293" s="26" t="s">
        <v>308</v>
      </c>
      <c r="C1293" s="27">
        <v>20060368076571</v>
      </c>
      <c r="D1293" s="26" t="s">
        <v>490</v>
      </c>
      <c r="E1293" s="28">
        <v>19.117267180332249</v>
      </c>
      <c r="F1293" s="9"/>
      <c r="G1293" s="14" t="str">
        <f t="shared" si="53"/>
        <v>O</v>
      </c>
      <c r="H1293" s="15">
        <f t="shared" si="54"/>
        <v>9.5586335901661243</v>
      </c>
      <c r="L1293" s="35"/>
    </row>
    <row r="1294" spans="1:12" x14ac:dyDescent="0.3">
      <c r="A1294" s="19">
        <f>COUNTIFS($B$2:B1294,B1294)</f>
        <v>7</v>
      </c>
      <c r="B1294" s="26" t="s">
        <v>308</v>
      </c>
      <c r="C1294" s="27">
        <v>20060368076571</v>
      </c>
      <c r="D1294" s="26" t="s">
        <v>54</v>
      </c>
      <c r="E1294" s="28">
        <v>39.543936222331091</v>
      </c>
      <c r="F1294" s="9"/>
      <c r="G1294" s="14" t="str">
        <f t="shared" si="53"/>
        <v>O</v>
      </c>
      <c r="H1294" s="15">
        <f t="shared" si="54"/>
        <v>19.771968111165545</v>
      </c>
      <c r="L1294" s="35"/>
    </row>
    <row r="1295" spans="1:12" x14ac:dyDescent="0.3">
      <c r="A1295" s="19">
        <f>COUNTIFS($B$2:B1295,B1295)</f>
        <v>8</v>
      </c>
      <c r="B1295" s="26" t="s">
        <v>308</v>
      </c>
      <c r="C1295" s="27">
        <v>20060368076571</v>
      </c>
      <c r="D1295" s="26" t="s">
        <v>518</v>
      </c>
      <c r="E1295" s="28">
        <v>11.129915824166037</v>
      </c>
      <c r="F1295" s="9"/>
      <c r="G1295" s="14" t="str">
        <f t="shared" si="53"/>
        <v>O</v>
      </c>
      <c r="H1295" s="15">
        <f t="shared" si="54"/>
        <v>5.5649579120830186</v>
      </c>
      <c r="L1295" s="35"/>
    </row>
    <row r="1296" spans="1:12" x14ac:dyDescent="0.3">
      <c r="A1296" s="19">
        <f>COUNTIFS($B$2:B1296,B1296)</f>
        <v>1</v>
      </c>
      <c r="B1296" s="26" t="s">
        <v>311</v>
      </c>
      <c r="C1296" s="27">
        <v>20060368076575</v>
      </c>
      <c r="D1296" s="26" t="s">
        <v>12</v>
      </c>
      <c r="E1296" s="28">
        <v>68.66379310344827</v>
      </c>
      <c r="F1296" s="9"/>
      <c r="G1296" s="14" t="str">
        <f t="shared" si="53"/>
        <v>O</v>
      </c>
      <c r="H1296" s="15">
        <f t="shared" si="54"/>
        <v>34.331896551724135</v>
      </c>
      <c r="L1296" s="35"/>
    </row>
    <row r="1297" spans="1:12" x14ac:dyDescent="0.3">
      <c r="A1297" s="19">
        <f>COUNTIFS($B$2:B1297,B1297)</f>
        <v>2</v>
      </c>
      <c r="B1297" s="26" t="s">
        <v>311</v>
      </c>
      <c r="C1297" s="27">
        <v>20060368076575</v>
      </c>
      <c r="D1297" s="26" t="s">
        <v>157</v>
      </c>
      <c r="E1297" s="28">
        <v>38.451724137931038</v>
      </c>
      <c r="F1297" s="9"/>
      <c r="G1297" s="14" t="str">
        <f t="shared" si="53"/>
        <v>O</v>
      </c>
      <c r="H1297" s="15">
        <f t="shared" si="54"/>
        <v>19.225862068965519</v>
      </c>
      <c r="L1297" s="35"/>
    </row>
    <row r="1298" spans="1:12" x14ac:dyDescent="0.3">
      <c r="A1298" s="19">
        <f>COUNTIFS($B$2:B1298,B1298)</f>
        <v>3</v>
      </c>
      <c r="B1298" s="26" t="s">
        <v>311</v>
      </c>
      <c r="C1298" s="27">
        <v>20060368076575</v>
      </c>
      <c r="D1298" s="26" t="s">
        <v>33</v>
      </c>
      <c r="E1298" s="28">
        <v>22.887931034482758</v>
      </c>
      <c r="F1298" s="9"/>
      <c r="G1298" s="14" t="str">
        <f t="shared" si="53"/>
        <v>O</v>
      </c>
      <c r="H1298" s="15">
        <f t="shared" si="54"/>
        <v>11.443965517241379</v>
      </c>
      <c r="L1298" s="35"/>
    </row>
    <row r="1299" spans="1:12" x14ac:dyDescent="0.3">
      <c r="A1299" s="19">
        <f>COUNTIFS($B$2:B1299,B1299)</f>
        <v>4</v>
      </c>
      <c r="B1299" s="26" t="s">
        <v>311</v>
      </c>
      <c r="C1299" s="27">
        <v>20060368076575</v>
      </c>
      <c r="D1299" s="26" t="s">
        <v>44</v>
      </c>
      <c r="E1299" s="28">
        <v>22.887931034482758</v>
      </c>
      <c r="F1299" s="9"/>
      <c r="G1299" s="14" t="str">
        <f t="shared" si="53"/>
        <v>O</v>
      </c>
      <c r="H1299" s="15">
        <f t="shared" si="54"/>
        <v>11.443965517241379</v>
      </c>
      <c r="L1299" s="35"/>
    </row>
    <row r="1300" spans="1:12" x14ac:dyDescent="0.3">
      <c r="A1300" s="19">
        <f>COUNTIFS($B$2:B1300,B1300)</f>
        <v>5</v>
      </c>
      <c r="B1300" s="26" t="s">
        <v>311</v>
      </c>
      <c r="C1300" s="27">
        <v>20060368076575</v>
      </c>
      <c r="D1300" s="26" t="s">
        <v>564</v>
      </c>
      <c r="E1300" s="28">
        <v>22.887931034482758</v>
      </c>
      <c r="F1300" s="9"/>
      <c r="G1300" s="14" t="str">
        <f t="shared" si="53"/>
        <v>O</v>
      </c>
      <c r="H1300" s="15">
        <f t="shared" si="54"/>
        <v>11.443965517241379</v>
      </c>
      <c r="L1300" s="35"/>
    </row>
    <row r="1301" spans="1:12" x14ac:dyDescent="0.3">
      <c r="A1301" s="19">
        <f>COUNTIFS($B$2:B1301,B1301)</f>
        <v>6</v>
      </c>
      <c r="B1301" s="26" t="s">
        <v>311</v>
      </c>
      <c r="C1301" s="27">
        <v>20060368076575</v>
      </c>
      <c r="D1301" s="26" t="s">
        <v>590</v>
      </c>
      <c r="E1301" s="28">
        <v>22.887931034482758</v>
      </c>
      <c r="F1301" s="9"/>
      <c r="G1301" s="14" t="str">
        <f t="shared" si="53"/>
        <v>O</v>
      </c>
      <c r="H1301" s="15">
        <f t="shared" si="54"/>
        <v>11.443965517241379</v>
      </c>
      <c r="L1301" s="35"/>
    </row>
    <row r="1302" spans="1:12" x14ac:dyDescent="0.3">
      <c r="A1302" s="19">
        <f>COUNTIFS($B$2:B1302,B1302)</f>
        <v>7</v>
      </c>
      <c r="B1302" s="26" t="s">
        <v>311</v>
      </c>
      <c r="C1302" s="27">
        <v>20060368076575</v>
      </c>
      <c r="D1302" s="26" t="s">
        <v>591</v>
      </c>
      <c r="E1302" s="28">
        <v>13.732758620689657</v>
      </c>
      <c r="F1302" s="9"/>
      <c r="G1302" s="14" t="str">
        <f t="shared" si="53"/>
        <v>O</v>
      </c>
      <c r="H1302" s="15">
        <f t="shared" si="54"/>
        <v>6.8663793103448283</v>
      </c>
      <c r="L1302" s="35"/>
    </row>
    <row r="1303" spans="1:12" x14ac:dyDescent="0.3">
      <c r="A1303" s="19">
        <f>COUNTIFS($B$2:B1303,B1303)</f>
        <v>1</v>
      </c>
      <c r="B1303" s="26" t="s">
        <v>313</v>
      </c>
      <c r="C1303" s="27">
        <v>20060368076576</v>
      </c>
      <c r="D1303" s="26" t="s">
        <v>12</v>
      </c>
      <c r="E1303" s="28">
        <v>66.458072590738411</v>
      </c>
      <c r="F1303" s="9"/>
      <c r="G1303" s="14" t="str">
        <f t="shared" ref="G1303:G1366" si="55">IF(D1303="","",IF(COUNTIF(I:I,D1303)&gt;0,"O","X"))</f>
        <v>O</v>
      </c>
      <c r="H1303" s="15">
        <f t="shared" si="54"/>
        <v>33.229036295369205</v>
      </c>
      <c r="L1303" s="35"/>
    </row>
    <row r="1304" spans="1:12" x14ac:dyDescent="0.3">
      <c r="A1304" s="19">
        <f>COUNTIFS($B$2:B1304,B1304)</f>
        <v>2</v>
      </c>
      <c r="B1304" s="26" t="s">
        <v>313</v>
      </c>
      <c r="C1304" s="27">
        <v>20060368076576</v>
      </c>
      <c r="D1304" s="26" t="s">
        <v>213</v>
      </c>
      <c r="E1304" s="28">
        <v>50.242302878598252</v>
      </c>
      <c r="F1304" s="9"/>
      <c r="G1304" s="14" t="str">
        <f t="shared" si="55"/>
        <v>O</v>
      </c>
      <c r="H1304" s="15">
        <f t="shared" si="54"/>
        <v>25.121151439299126</v>
      </c>
      <c r="L1304" s="35"/>
    </row>
    <row r="1305" spans="1:12" x14ac:dyDescent="0.3">
      <c r="A1305" s="19">
        <f>COUNTIFS($B$2:B1305,B1305)</f>
        <v>3</v>
      </c>
      <c r="B1305" s="26" t="s">
        <v>313</v>
      </c>
      <c r="C1305" s="27">
        <v>20060368076576</v>
      </c>
      <c r="D1305" s="26" t="s">
        <v>280</v>
      </c>
      <c r="E1305" s="28">
        <v>47.849812265331664</v>
      </c>
      <c r="F1305" s="9"/>
      <c r="G1305" s="14" t="str">
        <f t="shared" si="55"/>
        <v>O</v>
      </c>
      <c r="H1305" s="15">
        <f t="shared" si="54"/>
        <v>23.924906132665832</v>
      </c>
      <c r="L1305" s="35"/>
    </row>
    <row r="1306" spans="1:12" x14ac:dyDescent="0.3">
      <c r="A1306" s="19">
        <f>COUNTIFS($B$2:B1306,B1306)</f>
        <v>4</v>
      </c>
      <c r="B1306" s="26" t="s">
        <v>313</v>
      </c>
      <c r="C1306" s="27">
        <v>20060368076576</v>
      </c>
      <c r="D1306" s="26" t="s">
        <v>592</v>
      </c>
      <c r="E1306" s="28">
        <v>47.849812265331664</v>
      </c>
      <c r="F1306" s="9"/>
      <c r="G1306" s="14" t="str">
        <f t="shared" si="55"/>
        <v>O</v>
      </c>
      <c r="H1306" s="15">
        <f t="shared" si="54"/>
        <v>23.924906132665832</v>
      </c>
      <c r="L1306" s="35"/>
    </row>
    <row r="1307" spans="1:12" x14ac:dyDescent="0.3">
      <c r="A1307" s="19">
        <f>COUNTIFS($B$2:B1307,B1307)</f>
        <v>1</v>
      </c>
      <c r="B1307" s="26" t="s">
        <v>315</v>
      </c>
      <c r="C1307" s="27">
        <v>20060368076577</v>
      </c>
      <c r="D1307" s="26" t="s">
        <v>284</v>
      </c>
      <c r="E1307" s="28">
        <v>222.89999999999998</v>
      </c>
      <c r="F1307" s="9"/>
      <c r="G1307" s="14" t="str">
        <f t="shared" si="55"/>
        <v>O</v>
      </c>
      <c r="H1307" s="15">
        <f t="shared" si="54"/>
        <v>111.44999999999999</v>
      </c>
      <c r="L1307" s="35"/>
    </row>
    <row r="1308" spans="1:12" x14ac:dyDescent="0.3">
      <c r="A1308" s="19">
        <f>COUNTIFS($B$2:B1308,B1308)</f>
        <v>2</v>
      </c>
      <c r="B1308" s="26" t="s">
        <v>315</v>
      </c>
      <c r="C1308" s="27">
        <v>20060368076577</v>
      </c>
      <c r="D1308" s="26" t="s">
        <v>418</v>
      </c>
      <c r="E1308" s="28">
        <v>3.5999999999999996</v>
      </c>
      <c r="F1308" s="9"/>
      <c r="G1308" s="14" t="str">
        <f t="shared" si="55"/>
        <v>O</v>
      </c>
      <c r="H1308" s="15">
        <f t="shared" si="54"/>
        <v>1.7999999999999998</v>
      </c>
      <c r="L1308" s="35"/>
    </row>
    <row r="1309" spans="1:12" x14ac:dyDescent="0.3">
      <c r="A1309" s="19">
        <f>COUNTIFS($B$2:B1309,B1309)</f>
        <v>3</v>
      </c>
      <c r="B1309" s="26" t="s">
        <v>315</v>
      </c>
      <c r="C1309" s="27">
        <v>20060368076577</v>
      </c>
      <c r="D1309" s="26" t="s">
        <v>528</v>
      </c>
      <c r="E1309" s="28">
        <v>118.80000000000001</v>
      </c>
      <c r="F1309" s="9"/>
      <c r="G1309" s="14" t="str">
        <f t="shared" si="55"/>
        <v>O</v>
      </c>
      <c r="H1309" s="15">
        <f t="shared" si="54"/>
        <v>59.400000000000006</v>
      </c>
      <c r="L1309" s="35"/>
    </row>
    <row r="1310" spans="1:12" x14ac:dyDescent="0.3">
      <c r="A1310" s="19">
        <f>COUNTIFS($B$2:B1310,B1310)</f>
        <v>4</v>
      </c>
      <c r="B1310" s="26" t="s">
        <v>315</v>
      </c>
      <c r="C1310" s="27">
        <v>20060368076577</v>
      </c>
      <c r="D1310" s="26" t="s">
        <v>489</v>
      </c>
      <c r="E1310" s="28">
        <v>2.0999999999999996</v>
      </c>
      <c r="F1310" s="9"/>
      <c r="G1310" s="14" t="str">
        <f t="shared" si="55"/>
        <v>O</v>
      </c>
      <c r="H1310" s="15">
        <f t="shared" si="54"/>
        <v>1.0499999999999998</v>
      </c>
      <c r="L1310" s="35"/>
    </row>
    <row r="1311" spans="1:12" x14ac:dyDescent="0.3">
      <c r="A1311" s="19">
        <f>COUNTIFS($B$2:B1311,B1311)</f>
        <v>5</v>
      </c>
      <c r="B1311" s="26" t="s">
        <v>315</v>
      </c>
      <c r="C1311" s="27">
        <v>20060368076577</v>
      </c>
      <c r="D1311" s="26" t="s">
        <v>554</v>
      </c>
      <c r="E1311" s="28">
        <v>29.099999999999998</v>
      </c>
      <c r="F1311" s="9"/>
      <c r="G1311" s="14" t="str">
        <f t="shared" si="55"/>
        <v>O</v>
      </c>
      <c r="H1311" s="15">
        <f t="shared" si="54"/>
        <v>14.549999999999999</v>
      </c>
      <c r="L1311" s="35"/>
    </row>
    <row r="1312" spans="1:12" x14ac:dyDescent="0.3">
      <c r="A1312" s="19">
        <f>COUNTIFS($B$2:B1312,B1312)</f>
        <v>6</v>
      </c>
      <c r="B1312" s="26" t="s">
        <v>315</v>
      </c>
      <c r="C1312" s="27">
        <v>20060368076577</v>
      </c>
      <c r="D1312" s="26" t="s">
        <v>511</v>
      </c>
      <c r="E1312" s="28">
        <v>18.299999999999997</v>
      </c>
      <c r="F1312" s="9"/>
      <c r="G1312" s="14" t="str">
        <f t="shared" si="55"/>
        <v>O</v>
      </c>
      <c r="H1312" s="15">
        <f t="shared" si="54"/>
        <v>9.1499999999999986</v>
      </c>
      <c r="L1312" s="35"/>
    </row>
    <row r="1313" spans="1:12" x14ac:dyDescent="0.3">
      <c r="A1313" s="19">
        <f>COUNTIFS($B$2:B1313,B1313)</f>
        <v>7</v>
      </c>
      <c r="B1313" s="26" t="s">
        <v>315</v>
      </c>
      <c r="C1313" s="27">
        <v>20060368076577</v>
      </c>
      <c r="D1313" s="26" t="s">
        <v>424</v>
      </c>
      <c r="E1313" s="28">
        <v>15.299999999999999</v>
      </c>
      <c r="F1313" s="9"/>
      <c r="G1313" s="14" t="str">
        <f t="shared" si="55"/>
        <v>O</v>
      </c>
      <c r="H1313" s="15">
        <f t="shared" si="54"/>
        <v>7.6499999999999995</v>
      </c>
      <c r="L1313" s="35"/>
    </row>
    <row r="1314" spans="1:12" x14ac:dyDescent="0.3">
      <c r="A1314" s="19">
        <f>COUNTIFS($B$2:B1314,B1314)</f>
        <v>8</v>
      </c>
      <c r="B1314" s="26" t="s">
        <v>315</v>
      </c>
      <c r="C1314" s="27">
        <v>20060368076577</v>
      </c>
      <c r="D1314" s="26" t="s">
        <v>261</v>
      </c>
      <c r="E1314" s="28">
        <v>36.599999999999994</v>
      </c>
      <c r="F1314" s="9"/>
      <c r="G1314" s="14" t="str">
        <f t="shared" si="55"/>
        <v>O</v>
      </c>
      <c r="H1314" s="15">
        <f t="shared" si="54"/>
        <v>18.299999999999997</v>
      </c>
      <c r="L1314" s="35"/>
    </row>
    <row r="1315" spans="1:12" x14ac:dyDescent="0.3">
      <c r="A1315" s="19">
        <f>COUNTIFS($B$2:B1315,B1315)</f>
        <v>9</v>
      </c>
      <c r="B1315" s="26" t="s">
        <v>315</v>
      </c>
      <c r="C1315" s="27">
        <v>20060368076577</v>
      </c>
      <c r="D1315" s="26" t="s">
        <v>558</v>
      </c>
      <c r="E1315" s="28">
        <v>9</v>
      </c>
      <c r="F1315" s="9"/>
      <c r="G1315" s="14" t="str">
        <f t="shared" si="55"/>
        <v>O</v>
      </c>
      <c r="H1315" s="15">
        <f t="shared" si="54"/>
        <v>4.5</v>
      </c>
      <c r="L1315" s="35"/>
    </row>
    <row r="1316" spans="1:12" x14ac:dyDescent="0.3">
      <c r="A1316" s="19">
        <f>COUNTIFS($B$2:B1316,B1316)</f>
        <v>1</v>
      </c>
      <c r="B1316" s="26" t="s">
        <v>317</v>
      </c>
      <c r="C1316" s="27">
        <v>20060368076578</v>
      </c>
      <c r="D1316" s="26" t="s">
        <v>284</v>
      </c>
      <c r="E1316" s="28">
        <v>222.89999999999998</v>
      </c>
      <c r="F1316" s="9"/>
      <c r="G1316" s="14" t="str">
        <f t="shared" si="55"/>
        <v>O</v>
      </c>
      <c r="H1316" s="15">
        <f t="shared" si="54"/>
        <v>111.44999999999999</v>
      </c>
      <c r="L1316" s="35"/>
    </row>
    <row r="1317" spans="1:12" x14ac:dyDescent="0.3">
      <c r="A1317" s="19">
        <f>COUNTIFS($B$2:B1317,B1317)</f>
        <v>2</v>
      </c>
      <c r="B1317" s="26" t="s">
        <v>317</v>
      </c>
      <c r="C1317" s="27">
        <v>20060368076578</v>
      </c>
      <c r="D1317" s="26" t="s">
        <v>155</v>
      </c>
      <c r="E1317" s="28">
        <v>3.5999999999999996</v>
      </c>
      <c r="F1317" s="9"/>
      <c r="G1317" s="14" t="str">
        <f t="shared" si="55"/>
        <v>O</v>
      </c>
      <c r="H1317" s="15">
        <f t="shared" si="54"/>
        <v>1.7999999999999998</v>
      </c>
      <c r="L1317" s="35"/>
    </row>
    <row r="1318" spans="1:12" x14ac:dyDescent="0.3">
      <c r="A1318" s="19">
        <f>COUNTIFS($B$2:B1318,B1318)</f>
        <v>3</v>
      </c>
      <c r="B1318" s="26" t="s">
        <v>317</v>
      </c>
      <c r="C1318" s="27">
        <v>20060368076578</v>
      </c>
      <c r="D1318" s="26" t="s">
        <v>114</v>
      </c>
      <c r="E1318" s="28">
        <v>118.80000000000001</v>
      </c>
      <c r="F1318" s="9"/>
      <c r="G1318" s="14" t="str">
        <f t="shared" si="55"/>
        <v>O</v>
      </c>
      <c r="H1318" s="15">
        <f t="shared" si="54"/>
        <v>59.400000000000006</v>
      </c>
      <c r="L1318" s="35"/>
    </row>
    <row r="1319" spans="1:12" x14ac:dyDescent="0.3">
      <c r="A1319" s="19">
        <f>COUNTIFS($B$2:B1319,B1319)</f>
        <v>4</v>
      </c>
      <c r="B1319" s="26" t="s">
        <v>317</v>
      </c>
      <c r="C1319" s="27">
        <v>20060368076578</v>
      </c>
      <c r="D1319" s="26" t="s">
        <v>164</v>
      </c>
      <c r="E1319" s="28">
        <v>2.0999999999999996</v>
      </c>
      <c r="F1319" s="9"/>
      <c r="G1319" s="14" t="str">
        <f t="shared" si="55"/>
        <v>O</v>
      </c>
      <c r="H1319" s="15">
        <f t="shared" si="54"/>
        <v>1.0499999999999998</v>
      </c>
      <c r="L1319" s="35"/>
    </row>
    <row r="1320" spans="1:12" x14ac:dyDescent="0.3">
      <c r="A1320" s="19">
        <f>COUNTIFS($B$2:B1320,B1320)</f>
        <v>5</v>
      </c>
      <c r="B1320" s="26" t="s">
        <v>317</v>
      </c>
      <c r="C1320" s="27">
        <v>20060368076578</v>
      </c>
      <c r="D1320" s="26" t="s">
        <v>586</v>
      </c>
      <c r="E1320" s="28">
        <v>29.099999999999998</v>
      </c>
      <c r="F1320" s="9"/>
      <c r="G1320" s="14" t="str">
        <f t="shared" si="55"/>
        <v>O</v>
      </c>
      <c r="H1320" s="15">
        <f t="shared" si="54"/>
        <v>14.549999999999999</v>
      </c>
      <c r="L1320" s="35"/>
    </row>
    <row r="1321" spans="1:12" x14ac:dyDescent="0.3">
      <c r="A1321" s="19">
        <f>COUNTIFS($B$2:B1321,B1321)</f>
        <v>6</v>
      </c>
      <c r="B1321" s="26" t="s">
        <v>317</v>
      </c>
      <c r="C1321" s="27">
        <v>20060368076578</v>
      </c>
      <c r="D1321" s="26" t="s">
        <v>84</v>
      </c>
      <c r="E1321" s="28">
        <v>18.299999999999997</v>
      </c>
      <c r="F1321" s="9"/>
      <c r="G1321" s="14" t="str">
        <f t="shared" si="55"/>
        <v>O</v>
      </c>
      <c r="H1321" s="15">
        <f t="shared" si="54"/>
        <v>9.1499999999999986</v>
      </c>
      <c r="L1321" s="35"/>
    </row>
    <row r="1322" spans="1:12" x14ac:dyDescent="0.3">
      <c r="A1322" s="19">
        <f>COUNTIFS($B$2:B1322,B1322)</f>
        <v>7</v>
      </c>
      <c r="B1322" s="26" t="s">
        <v>317</v>
      </c>
      <c r="C1322" s="27">
        <v>20060368076578</v>
      </c>
      <c r="D1322" s="26" t="s">
        <v>218</v>
      </c>
      <c r="E1322" s="28">
        <v>15.299999999999999</v>
      </c>
      <c r="F1322" s="9"/>
      <c r="G1322" s="14" t="str">
        <f t="shared" si="55"/>
        <v>O</v>
      </c>
      <c r="H1322" s="15">
        <f t="shared" si="54"/>
        <v>7.6499999999999995</v>
      </c>
      <c r="L1322" s="35"/>
    </row>
    <row r="1323" spans="1:12" x14ac:dyDescent="0.3">
      <c r="A1323" s="19">
        <f>COUNTIFS($B$2:B1323,B1323)</f>
        <v>8</v>
      </c>
      <c r="B1323" s="26" t="s">
        <v>317</v>
      </c>
      <c r="C1323" s="27">
        <v>20060368076578</v>
      </c>
      <c r="D1323" s="26" t="s">
        <v>272</v>
      </c>
      <c r="E1323" s="28">
        <v>36.599999999999994</v>
      </c>
      <c r="F1323" s="9"/>
      <c r="G1323" s="14" t="str">
        <f t="shared" si="55"/>
        <v>O</v>
      </c>
      <c r="H1323" s="15">
        <f t="shared" si="54"/>
        <v>18.299999999999997</v>
      </c>
      <c r="L1323" s="35"/>
    </row>
    <row r="1324" spans="1:12" x14ac:dyDescent="0.3">
      <c r="A1324" s="19">
        <f>COUNTIFS($B$2:B1324,B1324)</f>
        <v>9</v>
      </c>
      <c r="B1324" s="26" t="s">
        <v>317</v>
      </c>
      <c r="C1324" s="27">
        <v>20060368076578</v>
      </c>
      <c r="D1324" s="26" t="s">
        <v>60</v>
      </c>
      <c r="E1324" s="28">
        <v>9</v>
      </c>
      <c r="F1324" s="9"/>
      <c r="G1324" s="14" t="str">
        <f t="shared" si="55"/>
        <v>O</v>
      </c>
      <c r="H1324" s="15">
        <f t="shared" si="54"/>
        <v>4.5</v>
      </c>
      <c r="L1324" s="35"/>
    </row>
    <row r="1325" spans="1:12" x14ac:dyDescent="0.3">
      <c r="A1325" s="19">
        <f>COUNTIFS($B$2:B1325,B1325)</f>
        <v>1</v>
      </c>
      <c r="B1325" s="26" t="s">
        <v>319</v>
      </c>
      <c r="C1325" s="27">
        <v>200603680765781</v>
      </c>
      <c r="D1325" s="26" t="s">
        <v>284</v>
      </c>
      <c r="E1325" s="28">
        <v>74.3</v>
      </c>
      <c r="F1325" s="9"/>
      <c r="G1325" s="14" t="str">
        <f t="shared" si="55"/>
        <v>O</v>
      </c>
      <c r="H1325" s="15">
        <f t="shared" si="54"/>
        <v>37.15</v>
      </c>
      <c r="L1325" s="35"/>
    </row>
    <row r="1326" spans="1:12" x14ac:dyDescent="0.3">
      <c r="A1326" s="19">
        <f>COUNTIFS($B$2:B1326,B1326)</f>
        <v>2</v>
      </c>
      <c r="B1326" s="26" t="s">
        <v>319</v>
      </c>
      <c r="C1326" s="27">
        <v>200603680765781</v>
      </c>
      <c r="D1326" s="26" t="s">
        <v>155</v>
      </c>
      <c r="E1326" s="28">
        <v>1.2</v>
      </c>
      <c r="F1326" s="9"/>
      <c r="G1326" s="14" t="str">
        <f t="shared" si="55"/>
        <v>O</v>
      </c>
      <c r="H1326" s="15">
        <f t="shared" si="54"/>
        <v>0.6</v>
      </c>
      <c r="L1326" s="35"/>
    </row>
    <row r="1327" spans="1:12" x14ac:dyDescent="0.3">
      <c r="A1327" s="19">
        <f>COUNTIFS($B$2:B1327,B1327)</f>
        <v>3</v>
      </c>
      <c r="B1327" s="26" t="s">
        <v>319</v>
      </c>
      <c r="C1327" s="27">
        <v>200603680765781</v>
      </c>
      <c r="D1327" s="26" t="s">
        <v>114</v>
      </c>
      <c r="E1327" s="28">
        <v>39.6</v>
      </c>
      <c r="F1327" s="9"/>
      <c r="G1327" s="14" t="str">
        <f t="shared" si="55"/>
        <v>O</v>
      </c>
      <c r="H1327" s="15">
        <f t="shared" si="54"/>
        <v>19.8</v>
      </c>
      <c r="L1327" s="35"/>
    </row>
    <row r="1328" spans="1:12" x14ac:dyDescent="0.3">
      <c r="A1328" s="19">
        <f>COUNTIFS($B$2:B1328,B1328)</f>
        <v>4</v>
      </c>
      <c r="B1328" s="26" t="s">
        <v>319</v>
      </c>
      <c r="C1328" s="27">
        <v>200603680765781</v>
      </c>
      <c r="D1328" s="26" t="s">
        <v>164</v>
      </c>
      <c r="E1328" s="28">
        <v>0.7</v>
      </c>
      <c r="F1328" s="9"/>
      <c r="G1328" s="14" t="str">
        <f t="shared" si="55"/>
        <v>O</v>
      </c>
      <c r="H1328" s="15">
        <f t="shared" si="54"/>
        <v>0.35</v>
      </c>
      <c r="L1328" s="35"/>
    </row>
    <row r="1329" spans="1:12" x14ac:dyDescent="0.3">
      <c r="A1329" s="19">
        <f>COUNTIFS($B$2:B1329,B1329)</f>
        <v>5</v>
      </c>
      <c r="B1329" s="26" t="s">
        <v>319</v>
      </c>
      <c r="C1329" s="27">
        <v>200603680765781</v>
      </c>
      <c r="D1329" s="26" t="s">
        <v>586</v>
      </c>
      <c r="E1329" s="28">
        <v>9.6999999999999993</v>
      </c>
      <c r="F1329" s="9"/>
      <c r="G1329" s="14" t="str">
        <f t="shared" si="55"/>
        <v>O</v>
      </c>
      <c r="H1329" s="15">
        <f t="shared" si="54"/>
        <v>4.8499999999999996</v>
      </c>
      <c r="L1329" s="35"/>
    </row>
    <row r="1330" spans="1:12" x14ac:dyDescent="0.3">
      <c r="A1330" s="19">
        <f>COUNTIFS($B$2:B1330,B1330)</f>
        <v>6</v>
      </c>
      <c r="B1330" s="26" t="s">
        <v>319</v>
      </c>
      <c r="C1330" s="27">
        <v>200603680765781</v>
      </c>
      <c r="D1330" s="26" t="s">
        <v>84</v>
      </c>
      <c r="E1330" s="28">
        <v>6.1</v>
      </c>
      <c r="F1330" s="9"/>
      <c r="G1330" s="14" t="str">
        <f t="shared" si="55"/>
        <v>O</v>
      </c>
      <c r="H1330" s="15">
        <f t="shared" si="54"/>
        <v>3.05</v>
      </c>
      <c r="L1330" s="35"/>
    </row>
    <row r="1331" spans="1:12" x14ac:dyDescent="0.3">
      <c r="A1331" s="19">
        <f>COUNTIFS($B$2:B1331,B1331)</f>
        <v>7</v>
      </c>
      <c r="B1331" s="26" t="s">
        <v>319</v>
      </c>
      <c r="C1331" s="27">
        <v>200603680765781</v>
      </c>
      <c r="D1331" s="26" t="s">
        <v>218</v>
      </c>
      <c r="E1331" s="28">
        <v>5.0999999999999996</v>
      </c>
      <c r="F1331" s="9"/>
      <c r="G1331" s="14" t="str">
        <f t="shared" si="55"/>
        <v>O</v>
      </c>
      <c r="H1331" s="15">
        <f t="shared" si="54"/>
        <v>2.5499999999999998</v>
      </c>
      <c r="L1331" s="35"/>
    </row>
    <row r="1332" spans="1:12" x14ac:dyDescent="0.3">
      <c r="A1332" s="19">
        <f>COUNTIFS($B$2:B1332,B1332)</f>
        <v>8</v>
      </c>
      <c r="B1332" s="26" t="s">
        <v>319</v>
      </c>
      <c r="C1332" s="27">
        <v>200603680765781</v>
      </c>
      <c r="D1332" s="26" t="s">
        <v>272</v>
      </c>
      <c r="E1332" s="28">
        <v>12.2</v>
      </c>
      <c r="F1332" s="9"/>
      <c r="G1332" s="14" t="str">
        <f t="shared" si="55"/>
        <v>O</v>
      </c>
      <c r="H1332" s="15">
        <f t="shared" si="54"/>
        <v>6.1</v>
      </c>
      <c r="L1332" s="35"/>
    </row>
    <row r="1333" spans="1:12" x14ac:dyDescent="0.3">
      <c r="A1333" s="19">
        <f>COUNTIFS($B$2:B1333,B1333)</f>
        <v>9</v>
      </c>
      <c r="B1333" s="26" t="s">
        <v>319</v>
      </c>
      <c r="C1333" s="27">
        <v>200603680765781</v>
      </c>
      <c r="D1333" s="26" t="s">
        <v>60</v>
      </c>
      <c r="E1333" s="28">
        <v>3</v>
      </c>
      <c r="F1333" s="9"/>
      <c r="G1333" s="14" t="str">
        <f t="shared" si="55"/>
        <v>O</v>
      </c>
      <c r="H1333" s="15">
        <f t="shared" ref="H1333:H1396" si="56">E1333/2</f>
        <v>1.5</v>
      </c>
      <c r="L1333" s="35"/>
    </row>
    <row r="1334" spans="1:12" x14ac:dyDescent="0.3">
      <c r="A1334" s="23">
        <f>COUNTIFS($B$2:B1334,B1334)</f>
        <v>1</v>
      </c>
      <c r="B1334" s="20" t="s">
        <v>327</v>
      </c>
      <c r="C1334" s="21">
        <v>20060368076580</v>
      </c>
      <c r="D1334" s="20" t="s">
        <v>210</v>
      </c>
      <c r="E1334" s="22">
        <v>56.64</v>
      </c>
      <c r="F1334" s="9"/>
      <c r="G1334" s="14" t="str">
        <f t="shared" si="55"/>
        <v>O</v>
      </c>
      <c r="H1334" s="15">
        <f t="shared" si="56"/>
        <v>28.32</v>
      </c>
      <c r="L1334" s="35"/>
    </row>
    <row r="1335" spans="1:12" x14ac:dyDescent="0.3">
      <c r="A1335" s="19">
        <f>COUNTIFS($B$2:B1335,B1335)</f>
        <v>2</v>
      </c>
      <c r="B1335" s="20" t="s">
        <v>327</v>
      </c>
      <c r="C1335" s="21">
        <v>20060368076580</v>
      </c>
      <c r="D1335" s="20" t="s">
        <v>157</v>
      </c>
      <c r="E1335" s="22">
        <v>28.32</v>
      </c>
      <c r="F1335" s="9"/>
      <c r="G1335" s="14" t="str">
        <f t="shared" si="55"/>
        <v>O</v>
      </c>
      <c r="H1335" s="15">
        <f t="shared" si="56"/>
        <v>14.16</v>
      </c>
      <c r="L1335" s="35"/>
    </row>
    <row r="1336" spans="1:12" x14ac:dyDescent="0.3">
      <c r="A1336" s="19">
        <f>COUNTIFS($B$2:B1336,B1336)</f>
        <v>3</v>
      </c>
      <c r="B1336" s="20" t="s">
        <v>327</v>
      </c>
      <c r="C1336" s="21">
        <v>20060368076580</v>
      </c>
      <c r="D1336" s="20" t="s">
        <v>404</v>
      </c>
      <c r="E1336" s="22">
        <v>7.08</v>
      </c>
      <c r="F1336" s="9"/>
      <c r="G1336" s="14" t="str">
        <f t="shared" si="55"/>
        <v>O</v>
      </c>
      <c r="H1336" s="15">
        <f t="shared" si="56"/>
        <v>3.54</v>
      </c>
      <c r="L1336" s="35"/>
    </row>
    <row r="1337" spans="1:12" x14ac:dyDescent="0.3">
      <c r="A1337" s="19">
        <f>COUNTIFS($B$2:B1337,B1337)</f>
        <v>4</v>
      </c>
      <c r="B1337" s="20" t="s">
        <v>327</v>
      </c>
      <c r="C1337" s="21">
        <v>20060368076580</v>
      </c>
      <c r="D1337" s="20" t="s">
        <v>141</v>
      </c>
      <c r="E1337" s="22">
        <v>28.32</v>
      </c>
      <c r="F1337" s="9"/>
      <c r="G1337" s="14" t="str">
        <f t="shared" si="55"/>
        <v>O</v>
      </c>
      <c r="H1337" s="15">
        <f t="shared" si="56"/>
        <v>14.16</v>
      </c>
      <c r="L1337" s="35"/>
    </row>
    <row r="1338" spans="1:12" x14ac:dyDescent="0.3">
      <c r="A1338" s="19">
        <f>COUNTIFS($B$2:B1338,B1338)</f>
        <v>5</v>
      </c>
      <c r="B1338" s="20" t="s">
        <v>327</v>
      </c>
      <c r="C1338" s="21">
        <v>20060368076580</v>
      </c>
      <c r="D1338" s="20" t="s">
        <v>206</v>
      </c>
      <c r="E1338" s="22">
        <v>70.8</v>
      </c>
      <c r="F1338" s="9"/>
      <c r="G1338" s="14" t="str">
        <f t="shared" si="55"/>
        <v>O</v>
      </c>
      <c r="H1338" s="15">
        <f t="shared" si="56"/>
        <v>35.4</v>
      </c>
      <c r="L1338" s="35"/>
    </row>
    <row r="1339" spans="1:12" x14ac:dyDescent="0.3">
      <c r="A1339" s="19">
        <f>COUNTIFS($B$2:B1339,B1339)</f>
        <v>6</v>
      </c>
      <c r="B1339" s="20" t="s">
        <v>327</v>
      </c>
      <c r="C1339" s="21">
        <v>20060368076580</v>
      </c>
      <c r="D1339" s="20" t="s">
        <v>310</v>
      </c>
      <c r="E1339" s="22">
        <v>21.24</v>
      </c>
      <c r="F1339" s="9"/>
      <c r="G1339" s="14" t="str">
        <f t="shared" si="55"/>
        <v>O</v>
      </c>
      <c r="H1339" s="15">
        <f t="shared" si="56"/>
        <v>10.62</v>
      </c>
      <c r="L1339" s="35"/>
    </row>
    <row r="1340" spans="1:12" x14ac:dyDescent="0.3">
      <c r="A1340" s="23">
        <f>COUNTIFS($B$2:B1340,B1340)</f>
        <v>1</v>
      </c>
      <c r="B1340" s="20" t="s">
        <v>593</v>
      </c>
      <c r="C1340" s="21">
        <v>200603680765801</v>
      </c>
      <c r="D1340" s="20" t="s">
        <v>210</v>
      </c>
      <c r="E1340" s="22">
        <v>31.47</v>
      </c>
      <c r="F1340" s="9"/>
      <c r="G1340" s="14" t="str">
        <f t="shared" si="55"/>
        <v>O</v>
      </c>
      <c r="H1340" s="15">
        <f t="shared" si="56"/>
        <v>15.734999999999999</v>
      </c>
      <c r="L1340" s="35"/>
    </row>
    <row r="1341" spans="1:12" x14ac:dyDescent="0.3">
      <c r="A1341" s="19">
        <f>COUNTIFS($B$2:B1341,B1341)</f>
        <v>2</v>
      </c>
      <c r="B1341" s="20" t="s">
        <v>593</v>
      </c>
      <c r="C1341" s="21">
        <v>200603680765801</v>
      </c>
      <c r="D1341" s="20" t="s">
        <v>157</v>
      </c>
      <c r="E1341" s="22">
        <v>15.73</v>
      </c>
      <c r="F1341" s="9"/>
      <c r="G1341" s="14" t="str">
        <f t="shared" si="55"/>
        <v>O</v>
      </c>
      <c r="H1341" s="15">
        <f t="shared" si="56"/>
        <v>7.8650000000000002</v>
      </c>
      <c r="L1341" s="35"/>
    </row>
    <row r="1342" spans="1:12" x14ac:dyDescent="0.3">
      <c r="A1342" s="19">
        <f>COUNTIFS($B$2:B1342,B1342)</f>
        <v>3</v>
      </c>
      <c r="B1342" s="20" t="s">
        <v>593</v>
      </c>
      <c r="C1342" s="21">
        <v>200603680765801</v>
      </c>
      <c r="D1342" s="20" t="s">
        <v>404</v>
      </c>
      <c r="E1342" s="22">
        <v>3.93</v>
      </c>
      <c r="F1342" s="9"/>
      <c r="G1342" s="14" t="str">
        <f t="shared" si="55"/>
        <v>O</v>
      </c>
      <c r="H1342" s="15">
        <f t="shared" si="56"/>
        <v>1.9650000000000001</v>
      </c>
      <c r="L1342" s="35"/>
    </row>
    <row r="1343" spans="1:12" x14ac:dyDescent="0.3">
      <c r="A1343" s="19">
        <f>COUNTIFS($B$2:B1343,B1343)</f>
        <v>4</v>
      </c>
      <c r="B1343" s="20" t="s">
        <v>593</v>
      </c>
      <c r="C1343" s="21">
        <v>200603680765801</v>
      </c>
      <c r="D1343" s="20" t="s">
        <v>141</v>
      </c>
      <c r="E1343" s="22">
        <v>15.73</v>
      </c>
      <c r="F1343" s="9"/>
      <c r="G1343" s="14" t="str">
        <f t="shared" si="55"/>
        <v>O</v>
      </c>
      <c r="H1343" s="15">
        <f t="shared" si="56"/>
        <v>7.8650000000000002</v>
      </c>
      <c r="L1343" s="35"/>
    </row>
    <row r="1344" spans="1:12" x14ac:dyDescent="0.3">
      <c r="A1344" s="19">
        <f>COUNTIFS($B$2:B1344,B1344)</f>
        <v>5</v>
      </c>
      <c r="B1344" s="20" t="s">
        <v>593</v>
      </c>
      <c r="C1344" s="21">
        <v>200603680765801</v>
      </c>
      <c r="D1344" s="20" t="s">
        <v>206</v>
      </c>
      <c r="E1344" s="22">
        <v>39.33</v>
      </c>
      <c r="F1344" s="9"/>
      <c r="G1344" s="14" t="str">
        <f t="shared" si="55"/>
        <v>O</v>
      </c>
      <c r="H1344" s="15">
        <f t="shared" si="56"/>
        <v>19.664999999999999</v>
      </c>
      <c r="L1344" s="35"/>
    </row>
    <row r="1345" spans="1:12" x14ac:dyDescent="0.3">
      <c r="A1345" s="19">
        <f>COUNTIFS($B$2:B1345,B1345)</f>
        <v>6</v>
      </c>
      <c r="B1345" s="20" t="s">
        <v>593</v>
      </c>
      <c r="C1345" s="21">
        <v>200603680765801</v>
      </c>
      <c r="D1345" s="20" t="s">
        <v>310</v>
      </c>
      <c r="E1345" s="22">
        <v>11.8</v>
      </c>
      <c r="F1345" s="9"/>
      <c r="G1345" s="14" t="str">
        <f t="shared" si="55"/>
        <v>O</v>
      </c>
      <c r="H1345" s="15">
        <f t="shared" si="56"/>
        <v>5.9</v>
      </c>
      <c r="L1345" s="35"/>
    </row>
    <row r="1346" spans="1:12" x14ac:dyDescent="0.3">
      <c r="A1346" s="23">
        <f>COUNTIFS($B$2:B1346,B1346)</f>
        <v>1</v>
      </c>
      <c r="B1346" s="20" t="s">
        <v>331</v>
      </c>
      <c r="C1346" s="21">
        <v>20060368076581</v>
      </c>
      <c r="D1346" s="20" t="s">
        <v>206</v>
      </c>
      <c r="E1346" s="22">
        <v>83.310828961707088</v>
      </c>
      <c r="F1346" s="9"/>
      <c r="G1346" s="14" t="str">
        <f t="shared" si="55"/>
        <v>O</v>
      </c>
      <c r="H1346" s="15">
        <f t="shared" si="56"/>
        <v>41.655414480853544</v>
      </c>
      <c r="L1346" s="35"/>
    </row>
    <row r="1347" spans="1:12" x14ac:dyDescent="0.3">
      <c r="A1347" s="19">
        <f>COUNTIFS($B$2:B1347,B1347)</f>
        <v>2</v>
      </c>
      <c r="B1347" s="20" t="s">
        <v>331</v>
      </c>
      <c r="C1347" s="21">
        <v>20060368076581</v>
      </c>
      <c r="D1347" s="20" t="s">
        <v>222</v>
      </c>
      <c r="E1347" s="22">
        <v>0.91866494335892923</v>
      </c>
      <c r="F1347" s="9"/>
      <c r="G1347" s="14" t="str">
        <f t="shared" si="55"/>
        <v>O</v>
      </c>
      <c r="H1347" s="15">
        <f t="shared" si="56"/>
        <v>0.45933247167946462</v>
      </c>
      <c r="L1347" s="35"/>
    </row>
    <row r="1348" spans="1:12" x14ac:dyDescent="0.3">
      <c r="A1348" s="19">
        <f>COUNTIFS($B$2:B1348,B1348)</f>
        <v>3</v>
      </c>
      <c r="B1348" s="20" t="s">
        <v>331</v>
      </c>
      <c r="C1348" s="21">
        <v>20060368076581</v>
      </c>
      <c r="D1348" s="20" t="s">
        <v>210</v>
      </c>
      <c r="E1348" s="22">
        <v>70.493778352213681</v>
      </c>
      <c r="F1348" s="9"/>
      <c r="G1348" s="14" t="str">
        <f t="shared" si="55"/>
        <v>O</v>
      </c>
      <c r="H1348" s="15">
        <f t="shared" si="56"/>
        <v>35.246889176106841</v>
      </c>
      <c r="L1348" s="35"/>
    </row>
    <row r="1349" spans="1:12" x14ac:dyDescent="0.3">
      <c r="A1349" s="19">
        <f>COUNTIFS($B$2:B1349,B1349)</f>
        <v>4</v>
      </c>
      <c r="B1349" s="20" t="s">
        <v>331</v>
      </c>
      <c r="C1349" s="21">
        <v>20060368076581</v>
      </c>
      <c r="D1349" s="20" t="s">
        <v>213</v>
      </c>
      <c r="E1349" s="22">
        <v>28.19751134088547</v>
      </c>
      <c r="F1349" s="9"/>
      <c r="G1349" s="14" t="str">
        <f t="shared" si="55"/>
        <v>O</v>
      </c>
      <c r="H1349" s="15">
        <f t="shared" si="56"/>
        <v>14.098755670442735</v>
      </c>
      <c r="L1349" s="35"/>
    </row>
    <row r="1350" spans="1:12" x14ac:dyDescent="0.3">
      <c r="A1350" s="19">
        <f>COUNTIFS($B$2:B1350,B1350)</f>
        <v>5</v>
      </c>
      <c r="B1350" s="20" t="s">
        <v>331</v>
      </c>
      <c r="C1350" s="21">
        <v>20060368076581</v>
      </c>
      <c r="D1350" s="20" t="s">
        <v>12</v>
      </c>
      <c r="E1350" s="22">
        <v>11.535345548544056</v>
      </c>
      <c r="F1350" s="9"/>
      <c r="G1350" s="14" t="str">
        <f t="shared" si="55"/>
        <v>O</v>
      </c>
      <c r="H1350" s="15">
        <f t="shared" si="56"/>
        <v>5.767672774272028</v>
      </c>
      <c r="L1350" s="35"/>
    </row>
    <row r="1351" spans="1:12" x14ac:dyDescent="0.3">
      <c r="A1351" s="19">
        <f>COUNTIFS($B$2:B1351,B1351)</f>
        <v>6</v>
      </c>
      <c r="B1351" s="20" t="s">
        <v>331</v>
      </c>
      <c r="C1351" s="21">
        <v>20060368076581</v>
      </c>
      <c r="D1351" s="20" t="s">
        <v>594</v>
      </c>
      <c r="E1351" s="22">
        <v>17.943870853290754</v>
      </c>
      <c r="F1351" s="9"/>
      <c r="G1351" s="14" t="str">
        <f t="shared" si="55"/>
        <v>O</v>
      </c>
      <c r="H1351" s="15">
        <f t="shared" si="56"/>
        <v>8.971935426645377</v>
      </c>
      <c r="L1351" s="35"/>
    </row>
    <row r="1352" spans="1:12" x14ac:dyDescent="0.3">
      <c r="A1352" s="38">
        <f>COUNTIFS($B$2:B1352,B1352)</f>
        <v>1</v>
      </c>
      <c r="B1352" s="39" t="s">
        <v>335</v>
      </c>
      <c r="C1352" s="21">
        <v>20060368076582</v>
      </c>
      <c r="D1352" s="20" t="s">
        <v>284</v>
      </c>
      <c r="E1352" s="22">
        <v>145.1</v>
      </c>
      <c r="F1352" s="9"/>
      <c r="G1352" s="14" t="str">
        <f t="shared" si="55"/>
        <v>O</v>
      </c>
      <c r="H1352" s="15">
        <f t="shared" si="56"/>
        <v>72.55</v>
      </c>
      <c r="L1352" s="35"/>
    </row>
    <row r="1353" spans="1:12" x14ac:dyDescent="0.3">
      <c r="A1353" s="38">
        <f>COUNTIFS($B$2:B1353,B1353)</f>
        <v>2</v>
      </c>
      <c r="B1353" s="39" t="s">
        <v>335</v>
      </c>
      <c r="C1353" s="21">
        <v>20060368076582</v>
      </c>
      <c r="D1353" s="20" t="s">
        <v>206</v>
      </c>
      <c r="E1353" s="22">
        <v>62.2</v>
      </c>
      <c r="F1353" s="9"/>
      <c r="G1353" s="14" t="str">
        <f t="shared" si="55"/>
        <v>O</v>
      </c>
      <c r="H1353" s="15">
        <f t="shared" si="56"/>
        <v>31.1</v>
      </c>
      <c r="L1353" s="35"/>
    </row>
    <row r="1354" spans="1:12" x14ac:dyDescent="0.3">
      <c r="A1354" s="38">
        <f>COUNTIFS($B$2:B1354,B1354)</f>
        <v>3</v>
      </c>
      <c r="B1354" s="39" t="s">
        <v>335</v>
      </c>
      <c r="C1354" s="21">
        <v>20060368076582</v>
      </c>
      <c r="D1354" s="20" t="s">
        <v>418</v>
      </c>
      <c r="E1354" s="22">
        <v>4</v>
      </c>
      <c r="F1354" s="9"/>
      <c r="G1354" s="14" t="str">
        <f t="shared" si="55"/>
        <v>O</v>
      </c>
      <c r="H1354" s="15">
        <f t="shared" si="56"/>
        <v>2</v>
      </c>
      <c r="L1354" s="35"/>
    </row>
    <row r="1355" spans="1:12" x14ac:dyDescent="0.3">
      <c r="A1355" s="38">
        <f>COUNTIFS($B$2:B1355,B1355)</f>
        <v>4</v>
      </c>
      <c r="B1355" s="39" t="s">
        <v>335</v>
      </c>
      <c r="C1355" s="21">
        <v>20060368076582</v>
      </c>
      <c r="D1355" s="20" t="s">
        <v>164</v>
      </c>
      <c r="E1355" s="22">
        <v>4</v>
      </c>
      <c r="F1355" s="9"/>
      <c r="G1355" s="14" t="str">
        <f t="shared" si="55"/>
        <v>O</v>
      </c>
      <c r="H1355" s="15">
        <f t="shared" si="56"/>
        <v>2</v>
      </c>
      <c r="L1355" s="35"/>
    </row>
    <row r="1356" spans="1:12" x14ac:dyDescent="0.3">
      <c r="A1356" s="38">
        <f>COUNTIFS($B$2:B1356,B1356)</f>
        <v>5</v>
      </c>
      <c r="B1356" s="39" t="s">
        <v>335</v>
      </c>
      <c r="C1356" s="21">
        <v>20060368076582</v>
      </c>
      <c r="D1356" s="20" t="s">
        <v>421</v>
      </c>
      <c r="E1356" s="22">
        <v>41.5</v>
      </c>
      <c r="F1356" s="9"/>
      <c r="G1356" s="14" t="str">
        <f t="shared" si="55"/>
        <v>O</v>
      </c>
      <c r="H1356" s="15">
        <f t="shared" si="56"/>
        <v>20.75</v>
      </c>
      <c r="L1356" s="35"/>
    </row>
    <row r="1357" spans="1:12" x14ac:dyDescent="0.3">
      <c r="A1357" s="38">
        <f>COUNTIFS($B$2:B1357,B1357)</f>
        <v>6</v>
      </c>
      <c r="B1357" s="39" t="s">
        <v>335</v>
      </c>
      <c r="C1357" s="21">
        <v>20060368076582</v>
      </c>
      <c r="D1357" s="20" t="s">
        <v>295</v>
      </c>
      <c r="E1357" s="22">
        <v>0.39527892216902344</v>
      </c>
      <c r="F1357" s="9"/>
      <c r="G1357" s="14" t="str">
        <f t="shared" si="55"/>
        <v>O</v>
      </c>
      <c r="H1357" s="15">
        <f t="shared" si="56"/>
        <v>0.19763946108451172</v>
      </c>
      <c r="L1357" s="35"/>
    </row>
    <row r="1358" spans="1:12" x14ac:dyDescent="0.3">
      <c r="A1358" s="38">
        <f>COUNTIFS($B$2:B1358,B1358)</f>
        <v>7</v>
      </c>
      <c r="B1358" s="39" t="s">
        <v>335</v>
      </c>
      <c r="C1358" s="21">
        <v>20060368076582</v>
      </c>
      <c r="D1358" s="20" t="s">
        <v>218</v>
      </c>
      <c r="E1358" s="22">
        <v>2.1</v>
      </c>
      <c r="F1358" s="9"/>
      <c r="G1358" s="14" t="str">
        <f t="shared" si="55"/>
        <v>O</v>
      </c>
      <c r="H1358" s="15">
        <f t="shared" si="56"/>
        <v>1.05</v>
      </c>
      <c r="L1358" s="35"/>
    </row>
    <row r="1359" spans="1:12" x14ac:dyDescent="0.3">
      <c r="A1359" s="38">
        <f>COUNTIFS($B$2:B1359,B1359)</f>
        <v>8</v>
      </c>
      <c r="B1359" s="39" t="s">
        <v>335</v>
      </c>
      <c r="C1359" s="21">
        <v>20060368076582</v>
      </c>
      <c r="D1359" s="20" t="s">
        <v>114</v>
      </c>
      <c r="E1359" s="22">
        <v>134.80000000000001</v>
      </c>
      <c r="F1359" s="9"/>
      <c r="G1359" s="14" t="str">
        <f t="shared" si="55"/>
        <v>O</v>
      </c>
      <c r="H1359" s="15">
        <f t="shared" si="56"/>
        <v>67.400000000000006</v>
      </c>
      <c r="L1359" s="35"/>
    </row>
    <row r="1360" spans="1:12" x14ac:dyDescent="0.3">
      <c r="A1360" s="38">
        <f>COUNTIFS($B$2:B1360,B1360)</f>
        <v>9</v>
      </c>
      <c r="B1360" s="39" t="s">
        <v>335</v>
      </c>
      <c r="C1360" s="21">
        <v>20060368076582</v>
      </c>
      <c r="D1360" s="20" t="s">
        <v>196</v>
      </c>
      <c r="E1360" s="22">
        <v>6.2397034596375613</v>
      </c>
      <c r="F1360" s="9"/>
      <c r="G1360" s="14" t="str">
        <f t="shared" si="55"/>
        <v>O</v>
      </c>
      <c r="H1360" s="15">
        <f t="shared" si="56"/>
        <v>3.1198517298187807</v>
      </c>
      <c r="L1360" s="35"/>
    </row>
    <row r="1361" spans="1:12" x14ac:dyDescent="0.3">
      <c r="A1361" s="38">
        <f>COUNTIFS($B$2:B1361,B1361)</f>
        <v>10</v>
      </c>
      <c r="B1361" s="39" t="s">
        <v>335</v>
      </c>
      <c r="C1361" s="21">
        <v>20060368076582</v>
      </c>
      <c r="D1361" s="20" t="s">
        <v>418</v>
      </c>
      <c r="E1361" s="22">
        <v>0.18533772652388794</v>
      </c>
      <c r="F1361" s="9"/>
      <c r="G1361" s="14" t="str">
        <f t="shared" si="55"/>
        <v>O</v>
      </c>
      <c r="H1361" s="15">
        <f t="shared" si="56"/>
        <v>9.2668863261943971E-2</v>
      </c>
      <c r="L1361" s="35"/>
    </row>
    <row r="1362" spans="1:12" x14ac:dyDescent="0.3">
      <c r="A1362" s="38">
        <f>COUNTIFS($B$2:B1362,B1362)</f>
        <v>11</v>
      </c>
      <c r="B1362" s="39" t="s">
        <v>335</v>
      </c>
      <c r="C1362" s="21">
        <v>20060368076582</v>
      </c>
      <c r="D1362" s="20" t="s">
        <v>488</v>
      </c>
      <c r="E1362" s="22">
        <v>23.476112026359143</v>
      </c>
      <c r="F1362" s="9"/>
      <c r="G1362" s="14" t="str">
        <f t="shared" si="55"/>
        <v>O</v>
      </c>
      <c r="H1362" s="15">
        <f t="shared" si="56"/>
        <v>11.738056013179571</v>
      </c>
      <c r="L1362" s="35"/>
    </row>
    <row r="1363" spans="1:12" x14ac:dyDescent="0.3">
      <c r="A1363" s="38">
        <f>COUNTIFS($B$2:B1363,B1363)</f>
        <v>12</v>
      </c>
      <c r="B1363" s="39" t="s">
        <v>335</v>
      </c>
      <c r="C1363" s="21">
        <v>20060368076582</v>
      </c>
      <c r="D1363" s="20" t="s">
        <v>595</v>
      </c>
      <c r="E1363" s="22">
        <v>9.8846787479406922E-2</v>
      </c>
      <c r="F1363" s="9"/>
      <c r="G1363" s="14" t="str">
        <f t="shared" si="55"/>
        <v>O</v>
      </c>
      <c r="H1363" s="15">
        <f t="shared" si="56"/>
        <v>4.9423393739703461E-2</v>
      </c>
      <c r="L1363" s="35"/>
    </row>
    <row r="1364" spans="1:12" x14ac:dyDescent="0.3">
      <c r="A1364" s="38">
        <f>COUNTIFS($B$2:B1364,B1364)</f>
        <v>1</v>
      </c>
      <c r="B1364" s="29" t="s">
        <v>340</v>
      </c>
      <c r="C1364" s="40">
        <v>420060368076595</v>
      </c>
      <c r="D1364" s="39" t="s">
        <v>196</v>
      </c>
      <c r="E1364" s="41">
        <v>11.53616037008481</v>
      </c>
      <c r="F1364" s="9"/>
      <c r="G1364" s="14" t="str">
        <f t="shared" si="55"/>
        <v>O</v>
      </c>
      <c r="H1364" s="15">
        <f t="shared" si="56"/>
        <v>5.7680801850424048</v>
      </c>
      <c r="L1364" s="35"/>
    </row>
    <row r="1365" spans="1:12" x14ac:dyDescent="0.3">
      <c r="A1365" s="38">
        <f>COUNTIFS($B$2:B1365,B1365)</f>
        <v>2</v>
      </c>
      <c r="B1365" s="29" t="s">
        <v>340</v>
      </c>
      <c r="C1365" s="40">
        <v>420060368076595</v>
      </c>
      <c r="D1365" s="39" t="s">
        <v>157</v>
      </c>
      <c r="E1365" s="41">
        <v>9.4618350038550467</v>
      </c>
      <c r="F1365" s="9"/>
      <c r="G1365" s="14" t="str">
        <f t="shared" si="55"/>
        <v>O</v>
      </c>
      <c r="H1365" s="15">
        <f t="shared" si="56"/>
        <v>4.7309175019275234</v>
      </c>
      <c r="L1365" s="35"/>
    </row>
    <row r="1366" spans="1:12" x14ac:dyDescent="0.3">
      <c r="A1366" s="38">
        <f>COUNTIFS($B$2:B1366,B1366)</f>
        <v>3</v>
      </c>
      <c r="B1366" s="29" t="s">
        <v>340</v>
      </c>
      <c r="C1366" s="40">
        <v>420060368076595</v>
      </c>
      <c r="D1366" s="39" t="s">
        <v>266</v>
      </c>
      <c r="E1366" s="41">
        <v>3.0932922127987661</v>
      </c>
      <c r="F1366" s="9"/>
      <c r="G1366" s="14" t="str">
        <f t="shared" si="55"/>
        <v>O</v>
      </c>
      <c r="H1366" s="15">
        <f t="shared" si="56"/>
        <v>1.546646106399383</v>
      </c>
      <c r="L1366" s="35"/>
    </row>
    <row r="1367" spans="1:12" x14ac:dyDescent="0.3">
      <c r="A1367" s="38">
        <f>COUNTIFS($B$2:B1367,B1367)</f>
        <v>4</v>
      </c>
      <c r="B1367" s="29" t="s">
        <v>340</v>
      </c>
      <c r="C1367" s="40">
        <v>420060368076595</v>
      </c>
      <c r="D1367" s="39" t="s">
        <v>206</v>
      </c>
      <c r="E1367" s="41">
        <v>16.303469545104086</v>
      </c>
      <c r="F1367" s="9"/>
      <c r="G1367" s="14" t="str">
        <f t="shared" ref="G1367:G1430" si="57">IF(D1367="","",IF(COUNTIF(I:I,D1367)&gt;0,"O","X"))</f>
        <v>O</v>
      </c>
      <c r="H1367" s="15">
        <f t="shared" si="56"/>
        <v>8.151734772552043</v>
      </c>
      <c r="L1367" s="35"/>
    </row>
    <row r="1368" spans="1:12" x14ac:dyDescent="0.3">
      <c r="A1368" s="38">
        <f>COUNTIFS($B$2:B1368,B1368)</f>
        <v>5</v>
      </c>
      <c r="B1368" s="29" t="s">
        <v>340</v>
      </c>
      <c r="C1368" s="40">
        <v>420060368076595</v>
      </c>
      <c r="D1368" s="39" t="s">
        <v>141</v>
      </c>
      <c r="E1368" s="41">
        <v>6.8052428681572854</v>
      </c>
      <c r="F1368" s="9"/>
      <c r="G1368" s="14" t="str">
        <f t="shared" si="57"/>
        <v>O</v>
      </c>
      <c r="H1368" s="15">
        <f t="shared" si="56"/>
        <v>3.4026214340786427</v>
      </c>
      <c r="L1368" s="35"/>
    </row>
    <row r="1369" spans="1:12" x14ac:dyDescent="0.3">
      <c r="A1369" s="38">
        <f>COUNTIFS($B$2:B1369,B1369)</f>
        <v>6</v>
      </c>
      <c r="B1369" s="29" t="s">
        <v>340</v>
      </c>
      <c r="C1369" s="40">
        <v>420060368076595</v>
      </c>
      <c r="D1369" s="39" t="s">
        <v>155</v>
      </c>
      <c r="E1369" s="41">
        <v>0.10371626831148804</v>
      </c>
      <c r="F1369" s="9"/>
      <c r="G1369" s="14" t="str">
        <f t="shared" si="57"/>
        <v>O</v>
      </c>
      <c r="H1369" s="15">
        <f t="shared" si="56"/>
        <v>5.1858134155744022E-2</v>
      </c>
      <c r="L1369" s="35"/>
    </row>
    <row r="1370" spans="1:12" x14ac:dyDescent="0.3">
      <c r="A1370" s="38">
        <f>COUNTIFS($B$2:B1370,B1370)</f>
        <v>7</v>
      </c>
      <c r="B1370" s="29" t="s">
        <v>340</v>
      </c>
      <c r="C1370" s="40">
        <v>420060368076595</v>
      </c>
      <c r="D1370" s="39" t="s">
        <v>214</v>
      </c>
      <c r="E1370" s="41">
        <v>0.1089230769230769</v>
      </c>
      <c r="F1370" s="9"/>
      <c r="G1370" s="14" t="str">
        <f t="shared" si="57"/>
        <v>O</v>
      </c>
      <c r="H1370" s="15">
        <f t="shared" si="56"/>
        <v>5.446153846153845E-2</v>
      </c>
      <c r="L1370" s="35"/>
    </row>
    <row r="1371" spans="1:12" x14ac:dyDescent="0.3">
      <c r="A1371" s="38">
        <f>COUNTIFS($B$2:B1371,B1371)</f>
        <v>8</v>
      </c>
      <c r="B1371" s="29" t="s">
        <v>340</v>
      </c>
      <c r="C1371" s="40">
        <v>420060368076595</v>
      </c>
      <c r="D1371" s="39" t="s">
        <v>157</v>
      </c>
      <c r="E1371" s="41">
        <v>10.276262645689886</v>
      </c>
      <c r="F1371" s="9"/>
      <c r="G1371" s="14" t="str">
        <f t="shared" si="57"/>
        <v>O</v>
      </c>
      <c r="H1371" s="15">
        <f t="shared" si="56"/>
        <v>5.1381313228449432</v>
      </c>
      <c r="L1371" s="35"/>
    </row>
    <row r="1372" spans="1:12" x14ac:dyDescent="0.3">
      <c r="A1372" s="38">
        <f>COUNTIFS($B$2:B1372,B1372)</f>
        <v>9</v>
      </c>
      <c r="B1372" s="29" t="s">
        <v>340</v>
      </c>
      <c r="C1372" s="40">
        <v>420060368076595</v>
      </c>
      <c r="D1372" s="39" t="s">
        <v>196</v>
      </c>
      <c r="E1372" s="41">
        <v>11.656114167019272</v>
      </c>
      <c r="F1372" s="9"/>
      <c r="G1372" s="14" t="str">
        <f t="shared" si="57"/>
        <v>O</v>
      </c>
      <c r="H1372" s="15">
        <f t="shared" si="56"/>
        <v>5.8280570835096359</v>
      </c>
      <c r="L1372" s="35"/>
    </row>
    <row r="1373" spans="1:12" x14ac:dyDescent="0.3">
      <c r="A1373" s="38">
        <f>COUNTIFS($B$2:B1373,B1373)</f>
        <v>10</v>
      </c>
      <c r="B1373" s="29" t="s">
        <v>340</v>
      </c>
      <c r="C1373" s="40">
        <v>420060368076595</v>
      </c>
      <c r="D1373" s="39" t="s">
        <v>266</v>
      </c>
      <c r="E1373" s="41">
        <v>3.0501980997807436</v>
      </c>
      <c r="F1373" s="9"/>
      <c r="G1373" s="14" t="str">
        <f t="shared" si="57"/>
        <v>O</v>
      </c>
      <c r="H1373" s="15">
        <f t="shared" si="56"/>
        <v>1.5250990498903718</v>
      </c>
      <c r="L1373" s="35"/>
    </row>
    <row r="1374" spans="1:12" x14ac:dyDescent="0.3">
      <c r="A1374" s="38">
        <f>COUNTIFS($B$2:B1374,B1374)</f>
        <v>11</v>
      </c>
      <c r="B1374" s="29" t="s">
        <v>340</v>
      </c>
      <c r="C1374" s="40">
        <v>420060368076595</v>
      </c>
      <c r="D1374" s="39" t="s">
        <v>206</v>
      </c>
      <c r="E1374" s="41">
        <v>13.6895795668731</v>
      </c>
      <c r="F1374" s="9"/>
      <c r="G1374" s="14" t="str">
        <f t="shared" si="57"/>
        <v>O</v>
      </c>
      <c r="H1374" s="15">
        <f t="shared" si="56"/>
        <v>6.8447897834365499</v>
      </c>
      <c r="L1374" s="35"/>
    </row>
    <row r="1375" spans="1:12" x14ac:dyDescent="0.3">
      <c r="A1375" s="38">
        <f>COUNTIFS($B$2:B1375,B1375)</f>
        <v>12</v>
      </c>
      <c r="B1375" s="29" t="s">
        <v>340</v>
      </c>
      <c r="C1375" s="40">
        <v>420060368076595</v>
      </c>
      <c r="D1375" s="39" t="s">
        <v>172</v>
      </c>
      <c r="E1375" s="41">
        <v>1.379851521329384</v>
      </c>
      <c r="F1375" s="9"/>
      <c r="G1375" s="14" t="str">
        <f t="shared" si="57"/>
        <v>O</v>
      </c>
      <c r="H1375" s="15">
        <f t="shared" si="56"/>
        <v>0.68992576066469202</v>
      </c>
      <c r="L1375" s="35"/>
    </row>
    <row r="1376" spans="1:12" x14ac:dyDescent="0.3">
      <c r="A1376" s="38">
        <f>COUNTIFS($B$2:B1376,B1376)</f>
        <v>13</v>
      </c>
      <c r="B1376" s="29" t="s">
        <v>340</v>
      </c>
      <c r="C1376" s="40">
        <v>420060368076595</v>
      </c>
      <c r="D1376" s="39" t="s">
        <v>141</v>
      </c>
      <c r="E1376" s="41">
        <v>6.1730199638419814</v>
      </c>
      <c r="F1376" s="9"/>
      <c r="G1376" s="14" t="str">
        <f t="shared" si="57"/>
        <v>O</v>
      </c>
      <c r="H1376" s="15">
        <f t="shared" si="56"/>
        <v>3.0865099819209907</v>
      </c>
      <c r="L1376" s="35"/>
    </row>
    <row r="1377" spans="1:12" x14ac:dyDescent="0.3">
      <c r="A1377" s="38">
        <f>COUNTIFS($B$2:B1377,B1377)</f>
        <v>14</v>
      </c>
      <c r="B1377" s="29" t="s">
        <v>340</v>
      </c>
      <c r="C1377" s="40">
        <v>420060368076595</v>
      </c>
      <c r="D1377" s="39" t="s">
        <v>155</v>
      </c>
      <c r="E1377" s="41">
        <v>0.10348886409970381</v>
      </c>
      <c r="F1377" s="9"/>
      <c r="G1377" s="14" t="str">
        <f t="shared" si="57"/>
        <v>O</v>
      </c>
      <c r="H1377" s="15">
        <f t="shared" si="56"/>
        <v>5.1744432049851907E-2</v>
      </c>
      <c r="L1377" s="35"/>
    </row>
    <row r="1378" spans="1:12" x14ac:dyDescent="0.3">
      <c r="A1378" s="38">
        <f>COUNTIFS($B$2:B1378,B1378)</f>
        <v>15</v>
      </c>
      <c r="B1378" s="29" t="s">
        <v>340</v>
      </c>
      <c r="C1378" s="40">
        <v>420060368076595</v>
      </c>
      <c r="D1378" s="39" t="s">
        <v>255</v>
      </c>
      <c r="E1378" s="41">
        <v>0.87148517136592663</v>
      </c>
      <c r="F1378" s="9"/>
      <c r="G1378" s="14" t="str">
        <f t="shared" si="57"/>
        <v>O</v>
      </c>
      <c r="H1378" s="15">
        <f t="shared" si="56"/>
        <v>0.43574258568296331</v>
      </c>
      <c r="L1378" s="35"/>
    </row>
    <row r="1379" spans="1:12" x14ac:dyDescent="0.3">
      <c r="A1379" s="38">
        <f>COUNTIFS($B$2:B1379,B1379)</f>
        <v>16</v>
      </c>
      <c r="B1379" s="29" t="s">
        <v>340</v>
      </c>
      <c r="C1379" s="40">
        <v>420060368076595</v>
      </c>
      <c r="D1379" s="39" t="s">
        <v>196</v>
      </c>
      <c r="E1379" s="41">
        <v>6.0543076923076917</v>
      </c>
      <c r="F1379" s="9"/>
      <c r="G1379" s="14" t="str">
        <f t="shared" si="57"/>
        <v>O</v>
      </c>
      <c r="H1379" s="15">
        <f t="shared" si="56"/>
        <v>3.0271538461538459</v>
      </c>
      <c r="L1379" s="35"/>
    </row>
    <row r="1380" spans="1:12" x14ac:dyDescent="0.3">
      <c r="A1380" s="38">
        <f>COUNTIFS($B$2:B1380,B1380)</f>
        <v>17</v>
      </c>
      <c r="B1380" s="29" t="s">
        <v>340</v>
      </c>
      <c r="C1380" s="40">
        <v>420060368076595</v>
      </c>
      <c r="D1380" s="39" t="s">
        <v>157</v>
      </c>
      <c r="E1380" s="41">
        <v>4.8561538461538447</v>
      </c>
      <c r="F1380" s="9"/>
      <c r="G1380" s="14" t="str">
        <f t="shared" si="57"/>
        <v>O</v>
      </c>
      <c r="H1380" s="15">
        <f t="shared" si="56"/>
        <v>2.4280769230769224</v>
      </c>
      <c r="L1380" s="35"/>
    </row>
    <row r="1381" spans="1:12" x14ac:dyDescent="0.3">
      <c r="A1381" s="38">
        <f>COUNTIFS($B$2:B1381,B1381)</f>
        <v>18</v>
      </c>
      <c r="B1381" s="29" t="s">
        <v>340</v>
      </c>
      <c r="C1381" s="40">
        <v>420060368076595</v>
      </c>
      <c r="D1381" s="39" t="s">
        <v>155</v>
      </c>
      <c r="E1381" s="41">
        <v>5.446153846153845E-2</v>
      </c>
      <c r="F1381" s="9"/>
      <c r="G1381" s="14" t="str">
        <f t="shared" si="57"/>
        <v>O</v>
      </c>
      <c r="H1381" s="15">
        <f t="shared" si="56"/>
        <v>2.7230769230769225E-2</v>
      </c>
      <c r="L1381" s="35"/>
    </row>
    <row r="1382" spans="1:12" x14ac:dyDescent="0.3">
      <c r="A1382" s="38">
        <f>COUNTIFS($B$2:B1382,B1382)</f>
        <v>19</v>
      </c>
      <c r="B1382" s="29" t="s">
        <v>340</v>
      </c>
      <c r="C1382" s="40">
        <v>420060368076595</v>
      </c>
      <c r="D1382" s="39" t="s">
        <v>266</v>
      </c>
      <c r="E1382" s="41">
        <v>1.2072307692307691</v>
      </c>
      <c r="F1382" s="9"/>
      <c r="G1382" s="14" t="str">
        <f t="shared" si="57"/>
        <v>O</v>
      </c>
      <c r="H1382" s="15">
        <f t="shared" si="56"/>
        <v>0.60361538461538455</v>
      </c>
      <c r="L1382" s="35"/>
    </row>
    <row r="1383" spans="1:12" x14ac:dyDescent="0.3">
      <c r="A1383" s="38">
        <f>COUNTIFS($B$2:B1383,B1383)</f>
        <v>20</v>
      </c>
      <c r="B1383" s="29" t="s">
        <v>340</v>
      </c>
      <c r="C1383" s="40">
        <v>420060368076595</v>
      </c>
      <c r="D1383" s="39" t="s">
        <v>141</v>
      </c>
      <c r="E1383" s="41">
        <v>2.9772307692307685</v>
      </c>
      <c r="F1383" s="9"/>
      <c r="G1383" s="14" t="str">
        <f t="shared" si="57"/>
        <v>O</v>
      </c>
      <c r="H1383" s="15">
        <f t="shared" si="56"/>
        <v>1.4886153846153842</v>
      </c>
      <c r="L1383" s="35"/>
    </row>
    <row r="1384" spans="1:12" x14ac:dyDescent="0.3">
      <c r="A1384" s="38">
        <f>COUNTIFS($B$2:B1384,B1384)</f>
        <v>21</v>
      </c>
      <c r="B1384" s="29" t="s">
        <v>340</v>
      </c>
      <c r="C1384" s="40">
        <v>420060368076595</v>
      </c>
      <c r="D1384" s="39" t="s">
        <v>206</v>
      </c>
      <c r="E1384" s="41">
        <v>8.096615384615383</v>
      </c>
      <c r="F1384" s="9"/>
      <c r="G1384" s="14" t="str">
        <f t="shared" si="57"/>
        <v>O</v>
      </c>
      <c r="H1384" s="15">
        <f t="shared" si="56"/>
        <v>4.0483076923076915</v>
      </c>
      <c r="L1384" s="35"/>
    </row>
    <row r="1385" spans="1:12" x14ac:dyDescent="0.3">
      <c r="A1385" s="38">
        <f>COUNTIFS($B$2:B1385,B1385)</f>
        <v>22</v>
      </c>
      <c r="B1385" s="29" t="s">
        <v>340</v>
      </c>
      <c r="C1385" s="40">
        <v>420060368076595</v>
      </c>
      <c r="D1385" s="39" t="s">
        <v>234</v>
      </c>
      <c r="E1385" s="41">
        <v>0.29953846153846153</v>
      </c>
      <c r="F1385" s="9"/>
      <c r="G1385" s="14" t="str">
        <f t="shared" si="57"/>
        <v>O</v>
      </c>
      <c r="H1385" s="15">
        <f t="shared" si="56"/>
        <v>0.14976923076923077</v>
      </c>
      <c r="L1385" s="35"/>
    </row>
    <row r="1386" spans="1:12" x14ac:dyDescent="0.3">
      <c r="A1386" s="38">
        <f>COUNTIFS($B$2:B1386,B1386)</f>
        <v>23</v>
      </c>
      <c r="B1386" s="29" t="s">
        <v>340</v>
      </c>
      <c r="C1386" s="40">
        <v>420060368076595</v>
      </c>
      <c r="D1386" s="39" t="s">
        <v>196</v>
      </c>
      <c r="E1386" s="41">
        <v>5.7816375289165309</v>
      </c>
      <c r="F1386" s="9"/>
      <c r="G1386" s="14" t="str">
        <f t="shared" si="57"/>
        <v>O</v>
      </c>
      <c r="H1386" s="15">
        <f t="shared" si="56"/>
        <v>2.8908187644582655</v>
      </c>
      <c r="L1386" s="35"/>
    </row>
    <row r="1387" spans="1:12" x14ac:dyDescent="0.3">
      <c r="A1387" s="38">
        <f>COUNTIFS($B$2:B1387,B1387)</f>
        <v>24</v>
      </c>
      <c r="B1387" s="29" t="s">
        <v>340</v>
      </c>
      <c r="C1387" s="40">
        <v>420060368076595</v>
      </c>
      <c r="D1387" s="39" t="s">
        <v>157</v>
      </c>
      <c r="E1387" s="41">
        <v>4.7613485532253783</v>
      </c>
      <c r="F1387" s="9"/>
      <c r="G1387" s="14" t="str">
        <f t="shared" si="57"/>
        <v>O</v>
      </c>
      <c r="H1387" s="15">
        <f t="shared" si="56"/>
        <v>2.3806742766126892</v>
      </c>
      <c r="L1387" s="35"/>
    </row>
    <row r="1388" spans="1:12" x14ac:dyDescent="0.3">
      <c r="A1388" s="38">
        <f>COUNTIFS($B$2:B1388,B1388)</f>
        <v>25</v>
      </c>
      <c r="B1388" s="29" t="s">
        <v>340</v>
      </c>
      <c r="C1388" s="40">
        <v>420060368076595</v>
      </c>
      <c r="D1388" s="39" t="s">
        <v>266</v>
      </c>
      <c r="E1388" s="41">
        <v>1.5304334635367287</v>
      </c>
      <c r="F1388" s="9"/>
      <c r="G1388" s="14" t="str">
        <f t="shared" si="57"/>
        <v>O</v>
      </c>
      <c r="H1388" s="15">
        <f t="shared" si="56"/>
        <v>0.76521673176836436</v>
      </c>
      <c r="L1388" s="35"/>
    </row>
    <row r="1389" spans="1:12" x14ac:dyDescent="0.3">
      <c r="A1389" s="38">
        <f>COUNTIFS($B$2:B1389,B1389)</f>
        <v>26</v>
      </c>
      <c r="B1389" s="29" t="s">
        <v>340</v>
      </c>
      <c r="C1389" s="40">
        <v>420060368076595</v>
      </c>
      <c r="D1389" s="39" t="s">
        <v>141</v>
      </c>
      <c r="E1389" s="41">
        <v>3.8260836588418208</v>
      </c>
      <c r="F1389" s="9"/>
      <c r="G1389" s="14" t="str">
        <f t="shared" si="57"/>
        <v>O</v>
      </c>
      <c r="H1389" s="15">
        <f t="shared" si="56"/>
        <v>1.9130418294209104</v>
      </c>
      <c r="L1389" s="35"/>
    </row>
    <row r="1390" spans="1:12" x14ac:dyDescent="0.3">
      <c r="A1390" s="38">
        <f>COUNTIFS($B$2:B1390,B1390)</f>
        <v>27</v>
      </c>
      <c r="B1390" s="29" t="s">
        <v>340</v>
      </c>
      <c r="C1390" s="40">
        <v>420060368076595</v>
      </c>
      <c r="D1390" s="39" t="s">
        <v>206</v>
      </c>
      <c r="E1390" s="41">
        <v>6.2917820167621059</v>
      </c>
      <c r="F1390" s="9"/>
      <c r="G1390" s="14" t="str">
        <f t="shared" si="57"/>
        <v>O</v>
      </c>
      <c r="H1390" s="15">
        <f t="shared" si="56"/>
        <v>3.145891008381053</v>
      </c>
      <c r="L1390" s="35"/>
    </row>
    <row r="1391" spans="1:12" x14ac:dyDescent="0.3">
      <c r="A1391" s="38">
        <f>COUNTIFS($B$2:B1391,B1391)</f>
        <v>28</v>
      </c>
      <c r="B1391" s="29" t="s">
        <v>340</v>
      </c>
      <c r="C1391" s="40">
        <v>420060368076595</v>
      </c>
      <c r="D1391" s="39" t="s">
        <v>175</v>
      </c>
      <c r="E1391" s="41">
        <v>1.3603853009215365</v>
      </c>
      <c r="F1391" s="9"/>
      <c r="G1391" s="14" t="str">
        <f t="shared" si="57"/>
        <v>O</v>
      </c>
      <c r="H1391" s="15">
        <f t="shared" si="56"/>
        <v>0.68019265046076827</v>
      </c>
      <c r="L1391" s="35"/>
    </row>
    <row r="1392" spans="1:12" x14ac:dyDescent="0.3">
      <c r="A1392" s="38">
        <f>COUNTIFS($B$2:B1392,B1392)</f>
        <v>29</v>
      </c>
      <c r="B1392" s="29" t="s">
        <v>340</v>
      </c>
      <c r="C1392" s="40">
        <v>420060368076595</v>
      </c>
      <c r="D1392" s="39" t="s">
        <v>155</v>
      </c>
      <c r="E1392" s="41">
        <v>4.8329477795896691E-2</v>
      </c>
      <c r="F1392" s="9"/>
      <c r="G1392" s="14" t="str">
        <f t="shared" si="57"/>
        <v>O</v>
      </c>
      <c r="H1392" s="15">
        <f t="shared" si="56"/>
        <v>2.4164738897948346E-2</v>
      </c>
      <c r="L1392" s="35"/>
    </row>
    <row r="1393" spans="1:12" x14ac:dyDescent="0.3">
      <c r="A1393" s="38">
        <f>COUNTIFS($B$2:B1393,B1393)</f>
        <v>1</v>
      </c>
      <c r="B1393" s="29" t="s">
        <v>341</v>
      </c>
      <c r="C1393" s="40">
        <v>20060368076595</v>
      </c>
      <c r="D1393" s="39" t="s">
        <v>196</v>
      </c>
      <c r="E1393" s="41">
        <v>11.53616037008481</v>
      </c>
      <c r="F1393" s="9"/>
      <c r="G1393" s="14" t="str">
        <f t="shared" si="57"/>
        <v>O</v>
      </c>
      <c r="H1393" s="15">
        <f t="shared" si="56"/>
        <v>5.7680801850424048</v>
      </c>
      <c r="L1393" s="35"/>
    </row>
    <row r="1394" spans="1:12" x14ac:dyDescent="0.3">
      <c r="A1394" s="38">
        <f>COUNTIFS($B$2:B1394,B1394)</f>
        <v>2</v>
      </c>
      <c r="B1394" s="29" t="s">
        <v>341</v>
      </c>
      <c r="C1394" s="40">
        <v>20060368076595</v>
      </c>
      <c r="D1394" s="39" t="s">
        <v>157</v>
      </c>
      <c r="E1394" s="41">
        <v>9.4618350038550467</v>
      </c>
      <c r="F1394" s="9"/>
      <c r="G1394" s="14" t="str">
        <f t="shared" si="57"/>
        <v>O</v>
      </c>
      <c r="H1394" s="15">
        <f t="shared" si="56"/>
        <v>4.7309175019275234</v>
      </c>
      <c r="L1394" s="35"/>
    </row>
    <row r="1395" spans="1:12" x14ac:dyDescent="0.3">
      <c r="A1395" s="38">
        <f>COUNTIFS($B$2:B1395,B1395)</f>
        <v>3</v>
      </c>
      <c r="B1395" s="29" t="s">
        <v>341</v>
      </c>
      <c r="C1395" s="40">
        <v>20060368076595</v>
      </c>
      <c r="D1395" s="39" t="s">
        <v>266</v>
      </c>
      <c r="E1395" s="41">
        <v>3.0932922127987661</v>
      </c>
      <c r="F1395" s="9"/>
      <c r="G1395" s="14" t="str">
        <f t="shared" si="57"/>
        <v>O</v>
      </c>
      <c r="H1395" s="15">
        <f t="shared" si="56"/>
        <v>1.546646106399383</v>
      </c>
      <c r="L1395" s="35"/>
    </row>
    <row r="1396" spans="1:12" x14ac:dyDescent="0.3">
      <c r="A1396" s="38">
        <f>COUNTIFS($B$2:B1396,B1396)</f>
        <v>4</v>
      </c>
      <c r="B1396" s="29" t="s">
        <v>341</v>
      </c>
      <c r="C1396" s="40">
        <v>20060368076595</v>
      </c>
      <c r="D1396" s="39" t="s">
        <v>206</v>
      </c>
      <c r="E1396" s="41">
        <v>16.303469545104086</v>
      </c>
      <c r="F1396" s="9"/>
      <c r="G1396" s="14" t="str">
        <f t="shared" si="57"/>
        <v>O</v>
      </c>
      <c r="H1396" s="15">
        <f t="shared" si="56"/>
        <v>8.151734772552043</v>
      </c>
      <c r="L1396" s="35"/>
    </row>
    <row r="1397" spans="1:12" x14ac:dyDescent="0.3">
      <c r="A1397" s="38">
        <f>COUNTIFS($B$2:B1397,B1397)</f>
        <v>5</v>
      </c>
      <c r="B1397" s="29" t="s">
        <v>341</v>
      </c>
      <c r="C1397" s="40">
        <v>20060368076595</v>
      </c>
      <c r="D1397" s="39" t="s">
        <v>141</v>
      </c>
      <c r="E1397" s="41">
        <v>6.8052428681572854</v>
      </c>
      <c r="F1397" s="9"/>
      <c r="G1397" s="14" t="str">
        <f t="shared" si="57"/>
        <v>O</v>
      </c>
      <c r="H1397" s="15">
        <f t="shared" ref="H1397:H1460" si="58">E1397/2</f>
        <v>3.4026214340786427</v>
      </c>
      <c r="L1397" s="35"/>
    </row>
    <row r="1398" spans="1:12" x14ac:dyDescent="0.3">
      <c r="A1398" s="38">
        <f>COUNTIFS($B$2:B1398,B1398)</f>
        <v>6</v>
      </c>
      <c r="B1398" s="29" t="s">
        <v>341</v>
      </c>
      <c r="C1398" s="40">
        <v>20060368076595</v>
      </c>
      <c r="D1398" s="39" t="s">
        <v>155</v>
      </c>
      <c r="E1398" s="41">
        <v>0.10371626831148804</v>
      </c>
      <c r="F1398" s="9"/>
      <c r="G1398" s="14" t="str">
        <f t="shared" si="57"/>
        <v>O</v>
      </c>
      <c r="H1398" s="15">
        <f t="shared" si="58"/>
        <v>5.1858134155744022E-2</v>
      </c>
      <c r="L1398" s="35"/>
    </row>
    <row r="1399" spans="1:12" x14ac:dyDescent="0.3">
      <c r="A1399" s="38">
        <f>COUNTIFS($B$2:B1399,B1399)</f>
        <v>7</v>
      </c>
      <c r="B1399" s="29" t="s">
        <v>341</v>
      </c>
      <c r="C1399" s="40">
        <v>20060368076595</v>
      </c>
      <c r="D1399" s="39" t="s">
        <v>214</v>
      </c>
      <c r="E1399" s="41">
        <v>0.1089230769230769</v>
      </c>
      <c r="F1399" s="9"/>
      <c r="G1399" s="14" t="str">
        <f t="shared" si="57"/>
        <v>O</v>
      </c>
      <c r="H1399" s="15">
        <f t="shared" si="58"/>
        <v>5.446153846153845E-2</v>
      </c>
      <c r="L1399" s="35"/>
    </row>
    <row r="1400" spans="1:12" x14ac:dyDescent="0.3">
      <c r="A1400" s="38">
        <f>COUNTIFS($B$2:B1400,B1400)</f>
        <v>8</v>
      </c>
      <c r="B1400" s="29" t="s">
        <v>341</v>
      </c>
      <c r="C1400" s="40">
        <v>20060368076595</v>
      </c>
      <c r="D1400" s="39" t="s">
        <v>157</v>
      </c>
      <c r="E1400" s="41">
        <v>10.276262645689886</v>
      </c>
      <c r="F1400" s="9"/>
      <c r="G1400" s="14" t="str">
        <f t="shared" si="57"/>
        <v>O</v>
      </c>
      <c r="H1400" s="15">
        <f t="shared" si="58"/>
        <v>5.1381313228449432</v>
      </c>
      <c r="L1400" s="35"/>
    </row>
    <row r="1401" spans="1:12" x14ac:dyDescent="0.3">
      <c r="A1401" s="38">
        <f>COUNTIFS($B$2:B1401,B1401)</f>
        <v>9</v>
      </c>
      <c r="B1401" s="29" t="s">
        <v>341</v>
      </c>
      <c r="C1401" s="40">
        <v>20060368076595</v>
      </c>
      <c r="D1401" s="39" t="s">
        <v>196</v>
      </c>
      <c r="E1401" s="41">
        <v>11.656114167019272</v>
      </c>
      <c r="F1401" s="9"/>
      <c r="G1401" s="14" t="str">
        <f t="shared" si="57"/>
        <v>O</v>
      </c>
      <c r="H1401" s="15">
        <f t="shared" si="58"/>
        <v>5.8280570835096359</v>
      </c>
      <c r="L1401" s="35"/>
    </row>
    <row r="1402" spans="1:12" x14ac:dyDescent="0.3">
      <c r="A1402" s="38">
        <f>COUNTIFS($B$2:B1402,B1402)</f>
        <v>10</v>
      </c>
      <c r="B1402" s="29" t="s">
        <v>341</v>
      </c>
      <c r="C1402" s="40">
        <v>20060368076595</v>
      </c>
      <c r="D1402" s="39" t="s">
        <v>266</v>
      </c>
      <c r="E1402" s="41">
        <v>3.0501980997807436</v>
      </c>
      <c r="F1402" s="9"/>
      <c r="G1402" s="14" t="str">
        <f t="shared" si="57"/>
        <v>O</v>
      </c>
      <c r="H1402" s="15">
        <f t="shared" si="58"/>
        <v>1.5250990498903718</v>
      </c>
      <c r="L1402" s="35"/>
    </row>
    <row r="1403" spans="1:12" x14ac:dyDescent="0.3">
      <c r="A1403" s="38">
        <f>COUNTIFS($B$2:B1403,B1403)</f>
        <v>11</v>
      </c>
      <c r="B1403" s="29" t="s">
        <v>341</v>
      </c>
      <c r="C1403" s="40">
        <v>20060368076595</v>
      </c>
      <c r="D1403" s="39" t="s">
        <v>206</v>
      </c>
      <c r="E1403" s="41">
        <v>13.6895795668731</v>
      </c>
      <c r="F1403" s="9"/>
      <c r="G1403" s="14" t="str">
        <f t="shared" si="57"/>
        <v>O</v>
      </c>
      <c r="H1403" s="15">
        <f t="shared" si="58"/>
        <v>6.8447897834365499</v>
      </c>
      <c r="L1403" s="35"/>
    </row>
    <row r="1404" spans="1:12" x14ac:dyDescent="0.3">
      <c r="A1404" s="38">
        <f>COUNTIFS($B$2:B1404,B1404)</f>
        <v>12</v>
      </c>
      <c r="B1404" s="29" t="s">
        <v>341</v>
      </c>
      <c r="C1404" s="40">
        <v>20060368076595</v>
      </c>
      <c r="D1404" s="39" t="s">
        <v>172</v>
      </c>
      <c r="E1404" s="41">
        <v>1.379851521329384</v>
      </c>
      <c r="F1404" s="9"/>
      <c r="G1404" s="14" t="str">
        <f t="shared" si="57"/>
        <v>O</v>
      </c>
      <c r="H1404" s="15">
        <f t="shared" si="58"/>
        <v>0.68992576066469202</v>
      </c>
      <c r="L1404" s="35"/>
    </row>
    <row r="1405" spans="1:12" x14ac:dyDescent="0.3">
      <c r="A1405" s="38">
        <f>COUNTIFS($B$2:B1405,B1405)</f>
        <v>13</v>
      </c>
      <c r="B1405" s="29" t="s">
        <v>341</v>
      </c>
      <c r="C1405" s="40">
        <v>20060368076595</v>
      </c>
      <c r="D1405" s="39" t="s">
        <v>141</v>
      </c>
      <c r="E1405" s="41">
        <v>6.1730199638419814</v>
      </c>
      <c r="F1405" s="9"/>
      <c r="G1405" s="14" t="str">
        <f t="shared" si="57"/>
        <v>O</v>
      </c>
      <c r="H1405" s="15">
        <f t="shared" si="58"/>
        <v>3.0865099819209907</v>
      </c>
      <c r="L1405" s="35"/>
    </row>
    <row r="1406" spans="1:12" x14ac:dyDescent="0.3">
      <c r="A1406" s="38">
        <f>COUNTIFS($B$2:B1406,B1406)</f>
        <v>14</v>
      </c>
      <c r="B1406" s="29" t="s">
        <v>341</v>
      </c>
      <c r="C1406" s="40">
        <v>20060368076595</v>
      </c>
      <c r="D1406" s="39" t="s">
        <v>155</v>
      </c>
      <c r="E1406" s="41">
        <v>0.10348886409970381</v>
      </c>
      <c r="F1406" s="9"/>
      <c r="G1406" s="14" t="str">
        <f t="shared" si="57"/>
        <v>O</v>
      </c>
      <c r="H1406" s="15">
        <f t="shared" si="58"/>
        <v>5.1744432049851907E-2</v>
      </c>
      <c r="L1406" s="35"/>
    </row>
    <row r="1407" spans="1:12" x14ac:dyDescent="0.3">
      <c r="A1407" s="38">
        <f>COUNTIFS($B$2:B1407,B1407)</f>
        <v>15</v>
      </c>
      <c r="B1407" s="29" t="s">
        <v>341</v>
      </c>
      <c r="C1407" s="40">
        <v>20060368076595</v>
      </c>
      <c r="D1407" s="39" t="s">
        <v>255</v>
      </c>
      <c r="E1407" s="41">
        <v>0.87148517136592663</v>
      </c>
      <c r="F1407" s="9"/>
      <c r="G1407" s="14" t="str">
        <f t="shared" si="57"/>
        <v>O</v>
      </c>
      <c r="H1407" s="15">
        <f t="shared" si="58"/>
        <v>0.43574258568296331</v>
      </c>
      <c r="L1407" s="35"/>
    </row>
    <row r="1408" spans="1:12" x14ac:dyDescent="0.3">
      <c r="A1408" s="38">
        <f>COUNTIFS($B$2:B1408,B1408)</f>
        <v>16</v>
      </c>
      <c r="B1408" s="29" t="s">
        <v>341</v>
      </c>
      <c r="C1408" s="40">
        <v>20060368076595</v>
      </c>
      <c r="D1408" s="39" t="s">
        <v>196</v>
      </c>
      <c r="E1408" s="41">
        <v>6.0543076923076917</v>
      </c>
      <c r="F1408" s="9"/>
      <c r="G1408" s="14" t="str">
        <f t="shared" si="57"/>
        <v>O</v>
      </c>
      <c r="H1408" s="15">
        <f t="shared" si="58"/>
        <v>3.0271538461538459</v>
      </c>
      <c r="L1408" s="35"/>
    </row>
    <row r="1409" spans="1:12" x14ac:dyDescent="0.3">
      <c r="A1409" s="38">
        <f>COUNTIFS($B$2:B1409,B1409)</f>
        <v>17</v>
      </c>
      <c r="B1409" s="29" t="s">
        <v>341</v>
      </c>
      <c r="C1409" s="40">
        <v>20060368076595</v>
      </c>
      <c r="D1409" s="39" t="s">
        <v>157</v>
      </c>
      <c r="E1409" s="41">
        <v>4.8561538461538447</v>
      </c>
      <c r="F1409" s="9"/>
      <c r="G1409" s="14" t="str">
        <f t="shared" si="57"/>
        <v>O</v>
      </c>
      <c r="H1409" s="15">
        <f t="shared" si="58"/>
        <v>2.4280769230769224</v>
      </c>
      <c r="L1409" s="35"/>
    </row>
    <row r="1410" spans="1:12" x14ac:dyDescent="0.3">
      <c r="A1410" s="38">
        <f>COUNTIFS($B$2:B1410,B1410)</f>
        <v>18</v>
      </c>
      <c r="B1410" s="29" t="s">
        <v>341</v>
      </c>
      <c r="C1410" s="40">
        <v>20060368076595</v>
      </c>
      <c r="D1410" s="39" t="s">
        <v>155</v>
      </c>
      <c r="E1410" s="41">
        <v>5.446153846153845E-2</v>
      </c>
      <c r="F1410" s="9"/>
      <c r="G1410" s="14" t="str">
        <f t="shared" si="57"/>
        <v>O</v>
      </c>
      <c r="H1410" s="15">
        <f t="shared" si="58"/>
        <v>2.7230769230769225E-2</v>
      </c>
      <c r="L1410" s="35"/>
    </row>
    <row r="1411" spans="1:12" x14ac:dyDescent="0.3">
      <c r="A1411" s="38">
        <f>COUNTIFS($B$2:B1411,B1411)</f>
        <v>19</v>
      </c>
      <c r="B1411" s="29" t="s">
        <v>341</v>
      </c>
      <c r="C1411" s="40">
        <v>20060368076595</v>
      </c>
      <c r="D1411" s="39" t="s">
        <v>266</v>
      </c>
      <c r="E1411" s="41">
        <v>1.2072307692307691</v>
      </c>
      <c r="F1411" s="9"/>
      <c r="G1411" s="14" t="str">
        <f t="shared" si="57"/>
        <v>O</v>
      </c>
      <c r="H1411" s="15">
        <f t="shared" si="58"/>
        <v>0.60361538461538455</v>
      </c>
      <c r="L1411" s="35"/>
    </row>
    <row r="1412" spans="1:12" x14ac:dyDescent="0.3">
      <c r="A1412" s="38">
        <f>COUNTIFS($B$2:B1412,B1412)</f>
        <v>20</v>
      </c>
      <c r="B1412" s="29" t="s">
        <v>341</v>
      </c>
      <c r="C1412" s="40">
        <v>20060368076595</v>
      </c>
      <c r="D1412" s="39" t="s">
        <v>141</v>
      </c>
      <c r="E1412" s="41">
        <v>2.9772307692307685</v>
      </c>
      <c r="F1412" s="9"/>
      <c r="G1412" s="14" t="str">
        <f t="shared" si="57"/>
        <v>O</v>
      </c>
      <c r="H1412" s="15">
        <f t="shared" si="58"/>
        <v>1.4886153846153842</v>
      </c>
      <c r="L1412" s="35"/>
    </row>
    <row r="1413" spans="1:12" x14ac:dyDescent="0.3">
      <c r="A1413" s="38">
        <f>COUNTIFS($B$2:B1413,B1413)</f>
        <v>21</v>
      </c>
      <c r="B1413" s="29" t="s">
        <v>341</v>
      </c>
      <c r="C1413" s="40">
        <v>20060368076595</v>
      </c>
      <c r="D1413" s="39" t="s">
        <v>206</v>
      </c>
      <c r="E1413" s="41">
        <v>8.096615384615383</v>
      </c>
      <c r="F1413" s="9"/>
      <c r="G1413" s="14" t="str">
        <f t="shared" si="57"/>
        <v>O</v>
      </c>
      <c r="H1413" s="15">
        <f t="shared" si="58"/>
        <v>4.0483076923076915</v>
      </c>
      <c r="L1413" s="35"/>
    </row>
    <row r="1414" spans="1:12" x14ac:dyDescent="0.3">
      <c r="A1414" s="38">
        <f>COUNTIFS($B$2:B1414,B1414)</f>
        <v>22</v>
      </c>
      <c r="B1414" s="29" t="s">
        <v>341</v>
      </c>
      <c r="C1414" s="40">
        <v>20060368076595</v>
      </c>
      <c r="D1414" s="39" t="s">
        <v>234</v>
      </c>
      <c r="E1414" s="41">
        <v>0.29953846153846153</v>
      </c>
      <c r="F1414" s="9"/>
      <c r="G1414" s="14" t="str">
        <f t="shared" si="57"/>
        <v>O</v>
      </c>
      <c r="H1414" s="15">
        <f t="shared" si="58"/>
        <v>0.14976923076923077</v>
      </c>
      <c r="L1414" s="35"/>
    </row>
    <row r="1415" spans="1:12" x14ac:dyDescent="0.3">
      <c r="A1415" s="38">
        <f>COUNTIFS($B$2:B1415,B1415)</f>
        <v>23</v>
      </c>
      <c r="B1415" s="29" t="s">
        <v>341</v>
      </c>
      <c r="C1415" s="40">
        <v>20060368076595</v>
      </c>
      <c r="D1415" s="39" t="s">
        <v>196</v>
      </c>
      <c r="E1415" s="41">
        <v>5.7816375289165309</v>
      </c>
      <c r="F1415" s="9"/>
      <c r="G1415" s="14" t="str">
        <f t="shared" si="57"/>
        <v>O</v>
      </c>
      <c r="H1415" s="15">
        <f t="shared" si="58"/>
        <v>2.8908187644582655</v>
      </c>
      <c r="L1415" s="35"/>
    </row>
    <row r="1416" spans="1:12" x14ac:dyDescent="0.3">
      <c r="A1416" s="38">
        <f>COUNTIFS($B$2:B1416,B1416)</f>
        <v>24</v>
      </c>
      <c r="B1416" s="29" t="s">
        <v>341</v>
      </c>
      <c r="C1416" s="40">
        <v>20060368076595</v>
      </c>
      <c r="D1416" s="39" t="s">
        <v>157</v>
      </c>
      <c r="E1416" s="41">
        <v>4.7613485532253783</v>
      </c>
      <c r="F1416" s="9"/>
      <c r="G1416" s="14" t="str">
        <f t="shared" si="57"/>
        <v>O</v>
      </c>
      <c r="H1416" s="15">
        <f t="shared" si="58"/>
        <v>2.3806742766126892</v>
      </c>
      <c r="L1416" s="35"/>
    </row>
    <row r="1417" spans="1:12" x14ac:dyDescent="0.3">
      <c r="A1417" s="38">
        <f>COUNTIFS($B$2:B1417,B1417)</f>
        <v>25</v>
      </c>
      <c r="B1417" s="29" t="s">
        <v>341</v>
      </c>
      <c r="C1417" s="40">
        <v>20060368076595</v>
      </c>
      <c r="D1417" s="39" t="s">
        <v>266</v>
      </c>
      <c r="E1417" s="41">
        <v>1.5304334635367287</v>
      </c>
      <c r="F1417" s="9"/>
      <c r="G1417" s="14" t="str">
        <f t="shared" si="57"/>
        <v>O</v>
      </c>
      <c r="H1417" s="15">
        <f t="shared" si="58"/>
        <v>0.76521673176836436</v>
      </c>
      <c r="L1417" s="35"/>
    </row>
    <row r="1418" spans="1:12" x14ac:dyDescent="0.3">
      <c r="A1418" s="38">
        <f>COUNTIFS($B$2:B1418,B1418)</f>
        <v>26</v>
      </c>
      <c r="B1418" s="29" t="s">
        <v>341</v>
      </c>
      <c r="C1418" s="40">
        <v>20060368076595</v>
      </c>
      <c r="D1418" s="39" t="s">
        <v>141</v>
      </c>
      <c r="E1418" s="41">
        <v>3.8260836588418208</v>
      </c>
      <c r="F1418" s="9"/>
      <c r="G1418" s="14" t="str">
        <f t="shared" si="57"/>
        <v>O</v>
      </c>
      <c r="H1418" s="15">
        <f t="shared" si="58"/>
        <v>1.9130418294209104</v>
      </c>
      <c r="L1418" s="35"/>
    </row>
    <row r="1419" spans="1:12" x14ac:dyDescent="0.3">
      <c r="A1419" s="38">
        <f>COUNTIFS($B$2:B1419,B1419)</f>
        <v>27</v>
      </c>
      <c r="B1419" s="29" t="s">
        <v>341</v>
      </c>
      <c r="C1419" s="40">
        <v>20060368076595</v>
      </c>
      <c r="D1419" s="39" t="s">
        <v>206</v>
      </c>
      <c r="E1419" s="41">
        <v>6.2917820167621059</v>
      </c>
      <c r="F1419" s="9"/>
      <c r="G1419" s="14" t="str">
        <f t="shared" si="57"/>
        <v>O</v>
      </c>
      <c r="H1419" s="15">
        <f t="shared" si="58"/>
        <v>3.145891008381053</v>
      </c>
      <c r="L1419" s="35"/>
    </row>
    <row r="1420" spans="1:12" x14ac:dyDescent="0.3">
      <c r="A1420" s="38">
        <f>COUNTIFS($B$2:B1420,B1420)</f>
        <v>28</v>
      </c>
      <c r="B1420" s="29" t="s">
        <v>341</v>
      </c>
      <c r="C1420" s="40">
        <v>20060368076595</v>
      </c>
      <c r="D1420" s="39" t="s">
        <v>175</v>
      </c>
      <c r="E1420" s="41">
        <v>1.3603853009215365</v>
      </c>
      <c r="F1420" s="9"/>
      <c r="G1420" s="14" t="str">
        <f t="shared" si="57"/>
        <v>O</v>
      </c>
      <c r="H1420" s="15">
        <f t="shared" si="58"/>
        <v>0.68019265046076827</v>
      </c>
      <c r="L1420" s="35"/>
    </row>
    <row r="1421" spans="1:12" x14ac:dyDescent="0.3">
      <c r="A1421" s="38">
        <f>COUNTIFS($B$2:B1421,B1421)</f>
        <v>29</v>
      </c>
      <c r="B1421" s="29" t="s">
        <v>341</v>
      </c>
      <c r="C1421" s="40">
        <v>20060368076595</v>
      </c>
      <c r="D1421" s="39" t="s">
        <v>155</v>
      </c>
      <c r="E1421" s="41">
        <v>4.8329477795896691E-2</v>
      </c>
      <c r="F1421" s="9"/>
      <c r="G1421" s="14" t="str">
        <f t="shared" si="57"/>
        <v>O</v>
      </c>
      <c r="H1421" s="15">
        <f t="shared" si="58"/>
        <v>2.4164738897948346E-2</v>
      </c>
      <c r="L1421" s="35"/>
    </row>
    <row r="1422" spans="1:12" x14ac:dyDescent="0.3">
      <c r="A1422" s="19">
        <f>COUNTIFS($B$2:B1422,B1422)</f>
        <v>1</v>
      </c>
      <c r="B1422" s="26" t="s">
        <v>342</v>
      </c>
      <c r="C1422" s="27">
        <v>20060368076596</v>
      </c>
      <c r="D1422" s="26" t="s">
        <v>284</v>
      </c>
      <c r="E1422" s="28">
        <v>74.3</v>
      </c>
      <c r="F1422" s="9"/>
      <c r="G1422" s="14" t="str">
        <f t="shared" si="57"/>
        <v>O</v>
      </c>
      <c r="H1422" s="15">
        <f t="shared" si="58"/>
        <v>37.15</v>
      </c>
      <c r="L1422" s="35"/>
    </row>
    <row r="1423" spans="1:12" x14ac:dyDescent="0.3">
      <c r="A1423" s="19">
        <f>COUNTIFS($B$2:B1423,B1423)</f>
        <v>2</v>
      </c>
      <c r="B1423" s="26" t="s">
        <v>342</v>
      </c>
      <c r="C1423" s="27">
        <v>20060368076596</v>
      </c>
      <c r="D1423" s="26" t="s">
        <v>418</v>
      </c>
      <c r="E1423" s="28">
        <v>1.2</v>
      </c>
      <c r="F1423" s="9"/>
      <c r="G1423" s="14" t="str">
        <f t="shared" si="57"/>
        <v>O</v>
      </c>
      <c r="H1423" s="15">
        <f t="shared" si="58"/>
        <v>0.6</v>
      </c>
      <c r="L1423" s="35"/>
    </row>
    <row r="1424" spans="1:12" x14ac:dyDescent="0.3">
      <c r="A1424" s="19">
        <f>COUNTIFS($B$2:B1424,B1424)</f>
        <v>3</v>
      </c>
      <c r="B1424" s="26" t="s">
        <v>342</v>
      </c>
      <c r="C1424" s="27">
        <v>20060368076596</v>
      </c>
      <c r="D1424" s="26" t="s">
        <v>528</v>
      </c>
      <c r="E1424" s="28">
        <v>39.6</v>
      </c>
      <c r="F1424" s="9"/>
      <c r="G1424" s="14" t="str">
        <f t="shared" si="57"/>
        <v>O</v>
      </c>
      <c r="H1424" s="15">
        <f t="shared" si="58"/>
        <v>19.8</v>
      </c>
      <c r="L1424" s="35"/>
    </row>
    <row r="1425" spans="1:12" x14ac:dyDescent="0.3">
      <c r="A1425" s="19">
        <f>COUNTIFS($B$2:B1425,B1425)</f>
        <v>4</v>
      </c>
      <c r="B1425" s="26" t="s">
        <v>342</v>
      </c>
      <c r="C1425" s="27">
        <v>20060368076596</v>
      </c>
      <c r="D1425" s="26" t="s">
        <v>489</v>
      </c>
      <c r="E1425" s="28">
        <v>0.7</v>
      </c>
      <c r="F1425" s="9"/>
      <c r="G1425" s="14" t="str">
        <f t="shared" si="57"/>
        <v>O</v>
      </c>
      <c r="H1425" s="15">
        <f t="shared" si="58"/>
        <v>0.35</v>
      </c>
      <c r="L1425" s="35"/>
    </row>
    <row r="1426" spans="1:12" x14ac:dyDescent="0.3">
      <c r="A1426" s="19">
        <f>COUNTIFS($B$2:B1426,B1426)</f>
        <v>5</v>
      </c>
      <c r="B1426" s="26" t="s">
        <v>342</v>
      </c>
      <c r="C1426" s="27">
        <v>20060368076596</v>
      </c>
      <c r="D1426" s="26" t="s">
        <v>554</v>
      </c>
      <c r="E1426" s="28">
        <v>9.6999999999999993</v>
      </c>
      <c r="F1426" s="9"/>
      <c r="G1426" s="14" t="str">
        <f t="shared" si="57"/>
        <v>O</v>
      </c>
      <c r="H1426" s="15">
        <f t="shared" si="58"/>
        <v>4.8499999999999996</v>
      </c>
      <c r="L1426" s="35"/>
    </row>
    <row r="1427" spans="1:12" x14ac:dyDescent="0.3">
      <c r="A1427" s="19">
        <f>COUNTIFS($B$2:B1427,B1427)</f>
        <v>6</v>
      </c>
      <c r="B1427" s="26" t="s">
        <v>342</v>
      </c>
      <c r="C1427" s="27">
        <v>20060368076596</v>
      </c>
      <c r="D1427" s="26" t="s">
        <v>511</v>
      </c>
      <c r="E1427" s="28">
        <v>6.1</v>
      </c>
      <c r="F1427" s="9"/>
      <c r="G1427" s="14" t="str">
        <f t="shared" si="57"/>
        <v>O</v>
      </c>
      <c r="H1427" s="15">
        <f t="shared" si="58"/>
        <v>3.05</v>
      </c>
      <c r="L1427" s="35"/>
    </row>
    <row r="1428" spans="1:12" x14ac:dyDescent="0.3">
      <c r="A1428" s="19">
        <f>COUNTIFS($B$2:B1428,B1428)</f>
        <v>7</v>
      </c>
      <c r="B1428" s="26" t="s">
        <v>342</v>
      </c>
      <c r="C1428" s="27">
        <v>20060368076596</v>
      </c>
      <c r="D1428" s="26" t="s">
        <v>424</v>
      </c>
      <c r="E1428" s="28">
        <v>5.0999999999999996</v>
      </c>
      <c r="F1428" s="9"/>
      <c r="G1428" s="14" t="str">
        <f t="shared" si="57"/>
        <v>O</v>
      </c>
      <c r="H1428" s="15">
        <f t="shared" si="58"/>
        <v>2.5499999999999998</v>
      </c>
      <c r="L1428" s="35"/>
    </row>
    <row r="1429" spans="1:12" x14ac:dyDescent="0.3">
      <c r="A1429" s="19">
        <f>COUNTIFS($B$2:B1429,B1429)</f>
        <v>8</v>
      </c>
      <c r="B1429" s="26" t="s">
        <v>342</v>
      </c>
      <c r="C1429" s="27">
        <v>20060368076596</v>
      </c>
      <c r="D1429" s="26" t="s">
        <v>261</v>
      </c>
      <c r="E1429" s="28">
        <v>12.2</v>
      </c>
      <c r="F1429" s="9"/>
      <c r="G1429" s="14" t="str">
        <f t="shared" si="57"/>
        <v>O</v>
      </c>
      <c r="H1429" s="15">
        <f t="shared" si="58"/>
        <v>6.1</v>
      </c>
      <c r="L1429" s="35"/>
    </row>
    <row r="1430" spans="1:12" x14ac:dyDescent="0.3">
      <c r="A1430" s="19">
        <f>COUNTIFS($B$2:B1430,B1430)</f>
        <v>9</v>
      </c>
      <c r="B1430" s="26" t="s">
        <v>342</v>
      </c>
      <c r="C1430" s="27">
        <v>20060368076596</v>
      </c>
      <c r="D1430" s="26" t="s">
        <v>558</v>
      </c>
      <c r="E1430" s="28">
        <v>3</v>
      </c>
      <c r="F1430" s="9"/>
      <c r="G1430" s="14" t="str">
        <f t="shared" si="57"/>
        <v>O</v>
      </c>
      <c r="H1430" s="15">
        <f t="shared" si="58"/>
        <v>1.5</v>
      </c>
      <c r="L1430" s="35"/>
    </row>
    <row r="1431" spans="1:12" x14ac:dyDescent="0.3">
      <c r="A1431" s="38">
        <f>COUNTIFS($B$2:B1431,B1431)</f>
        <v>1</v>
      </c>
      <c r="B1431" s="39" t="s">
        <v>344</v>
      </c>
      <c r="C1431" s="43">
        <v>20060368076598</v>
      </c>
      <c r="D1431" s="39" t="s">
        <v>82</v>
      </c>
      <c r="E1431" s="41">
        <v>226.14125390262424</v>
      </c>
      <c r="F1431" s="9"/>
      <c r="G1431" s="14" t="str">
        <f t="shared" ref="G1431:G1494" si="59">IF(D1431="","",IF(COUNTIF(I:I,D1431)&gt;0,"O","X"))</f>
        <v>O</v>
      </c>
      <c r="H1431" s="15">
        <f t="shared" si="58"/>
        <v>113.07062695131212</v>
      </c>
      <c r="L1431" s="35"/>
    </row>
    <row r="1432" spans="1:12" x14ac:dyDescent="0.3">
      <c r="A1432" s="38">
        <f>COUNTIFS($B$2:B1432,B1432)</f>
        <v>2</v>
      </c>
      <c r="B1432" s="39" t="s">
        <v>344</v>
      </c>
      <c r="C1432" s="43">
        <v>20060368076598</v>
      </c>
      <c r="D1432" s="39" t="s">
        <v>92</v>
      </c>
      <c r="E1432" s="41">
        <v>56.535313475656061</v>
      </c>
      <c r="F1432" s="9"/>
      <c r="G1432" s="14" t="str">
        <f t="shared" si="59"/>
        <v>O</v>
      </c>
      <c r="H1432" s="15">
        <f t="shared" si="58"/>
        <v>28.26765673782803</v>
      </c>
      <c r="L1432" s="35"/>
    </row>
    <row r="1433" spans="1:12" x14ac:dyDescent="0.3">
      <c r="A1433" s="38">
        <f>COUNTIFS($B$2:B1433,B1433)</f>
        <v>3</v>
      </c>
      <c r="B1433" s="39" t="s">
        <v>344</v>
      </c>
      <c r="C1433" s="43">
        <v>20060368076598</v>
      </c>
      <c r="D1433" s="39" t="s">
        <v>424</v>
      </c>
      <c r="E1433" s="41">
        <v>2.8267656737828029</v>
      </c>
      <c r="F1433" s="9"/>
      <c r="G1433" s="14" t="str">
        <f t="shared" si="59"/>
        <v>O</v>
      </c>
      <c r="H1433" s="15">
        <f t="shared" si="58"/>
        <v>1.4133828368914014</v>
      </c>
      <c r="L1433" s="35"/>
    </row>
    <row r="1434" spans="1:12" x14ac:dyDescent="0.3">
      <c r="A1434" s="38">
        <f>COUNTIFS($B$2:B1434,B1434)</f>
        <v>4</v>
      </c>
      <c r="B1434" s="39" t="s">
        <v>344</v>
      </c>
      <c r="C1434" s="43">
        <v>20060368076598</v>
      </c>
      <c r="D1434" s="39" t="s">
        <v>418</v>
      </c>
      <c r="E1434" s="41">
        <v>2.8833009872584592</v>
      </c>
      <c r="F1434" s="9"/>
      <c r="G1434" s="14" t="str">
        <f t="shared" si="59"/>
        <v>O</v>
      </c>
      <c r="H1434" s="15">
        <f t="shared" si="58"/>
        <v>1.4416504936292296</v>
      </c>
      <c r="L1434" s="35"/>
    </row>
    <row r="1435" spans="1:12" x14ac:dyDescent="0.3">
      <c r="A1435" s="38">
        <f>COUNTIFS($B$2:B1435,B1435)</f>
        <v>5</v>
      </c>
      <c r="B1435" s="39" t="s">
        <v>344</v>
      </c>
      <c r="C1435" s="43">
        <v>20060368076598</v>
      </c>
      <c r="D1435" s="39" t="s">
        <v>489</v>
      </c>
      <c r="E1435" s="41">
        <v>6.5957865721598736</v>
      </c>
      <c r="F1435" s="9"/>
      <c r="G1435" s="14" t="str">
        <f t="shared" si="59"/>
        <v>O</v>
      </c>
      <c r="H1435" s="15">
        <f t="shared" si="58"/>
        <v>3.2978932860799368</v>
      </c>
      <c r="L1435" s="35"/>
    </row>
    <row r="1436" spans="1:12" x14ac:dyDescent="0.3">
      <c r="A1436" s="38">
        <f>COUNTIFS($B$2:B1436,B1436)</f>
        <v>6</v>
      </c>
      <c r="B1436" s="39" t="s">
        <v>344</v>
      </c>
      <c r="C1436" s="43">
        <v>20060368076598</v>
      </c>
      <c r="D1436" s="39" t="s">
        <v>535</v>
      </c>
      <c r="E1436" s="41">
        <v>47.112761229713385</v>
      </c>
      <c r="F1436" s="9"/>
      <c r="G1436" s="14" t="str">
        <f t="shared" si="59"/>
        <v>O</v>
      </c>
      <c r="H1436" s="15">
        <f t="shared" si="58"/>
        <v>23.556380614856693</v>
      </c>
      <c r="L1436" s="35"/>
    </row>
    <row r="1437" spans="1:12" x14ac:dyDescent="0.3">
      <c r="A1437" s="38">
        <f>COUNTIFS($B$2:B1437,B1437)</f>
        <v>7</v>
      </c>
      <c r="B1437" s="39" t="s">
        <v>344</v>
      </c>
      <c r="C1437" s="43">
        <v>20060368076598</v>
      </c>
      <c r="D1437" s="39" t="s">
        <v>295</v>
      </c>
      <c r="E1437" s="41">
        <v>2.7136950468314915E-2</v>
      </c>
      <c r="F1437" s="9"/>
      <c r="G1437" s="14" t="str">
        <f t="shared" si="59"/>
        <v>O</v>
      </c>
      <c r="H1437" s="15">
        <f t="shared" si="58"/>
        <v>1.3568475234157457E-2</v>
      </c>
      <c r="L1437" s="35"/>
    </row>
    <row r="1438" spans="1:12" x14ac:dyDescent="0.3">
      <c r="A1438" s="38">
        <f>COUNTIFS($B$2:B1438,B1438)</f>
        <v>8</v>
      </c>
      <c r="B1438" s="39" t="s">
        <v>344</v>
      </c>
      <c r="C1438" s="43">
        <v>20060368076598</v>
      </c>
      <c r="D1438" s="39" t="s">
        <v>114</v>
      </c>
      <c r="E1438" s="41">
        <v>207.29614941073888</v>
      </c>
      <c r="F1438" s="9"/>
      <c r="G1438" s="14" t="str">
        <f t="shared" si="59"/>
        <v>O</v>
      </c>
      <c r="H1438" s="15">
        <f t="shared" si="58"/>
        <v>103.64807470536944</v>
      </c>
      <c r="L1438" s="35"/>
    </row>
    <row r="1439" spans="1:12" x14ac:dyDescent="0.3">
      <c r="A1439" s="38">
        <f>COUNTIFS($B$2:B1439,B1439)</f>
        <v>9</v>
      </c>
      <c r="B1439" s="39" t="s">
        <v>344</v>
      </c>
      <c r="C1439" s="43">
        <v>20060368076598</v>
      </c>
      <c r="D1439" s="39" t="s">
        <v>558</v>
      </c>
      <c r="E1439" s="41">
        <v>22.614125390262423</v>
      </c>
      <c r="F1439" s="9"/>
      <c r="G1439" s="14" t="str">
        <f t="shared" si="59"/>
        <v>O</v>
      </c>
      <c r="H1439" s="15">
        <f t="shared" si="58"/>
        <v>11.307062695131211</v>
      </c>
      <c r="L1439" s="35"/>
    </row>
    <row r="1440" spans="1:12" x14ac:dyDescent="0.3">
      <c r="A1440" s="38">
        <f>COUNTIFS($B$2:B1440,B1440)</f>
        <v>10</v>
      </c>
      <c r="B1440" s="39" t="s">
        <v>344</v>
      </c>
      <c r="C1440" s="43">
        <v>20060368076598</v>
      </c>
      <c r="D1440" s="39" t="s">
        <v>565</v>
      </c>
      <c r="E1440" s="41">
        <v>32.978932860799368</v>
      </c>
      <c r="F1440" s="9"/>
      <c r="G1440" s="14" t="str">
        <f t="shared" si="59"/>
        <v>O</v>
      </c>
      <c r="H1440" s="15">
        <f t="shared" si="58"/>
        <v>16.489466430399684</v>
      </c>
      <c r="L1440" s="35"/>
    </row>
    <row r="1441" spans="1:12" x14ac:dyDescent="0.3">
      <c r="A1441" s="38">
        <f>COUNTIFS($B$2:B1441,B1441)</f>
        <v>11</v>
      </c>
      <c r="B1441" s="39" t="s">
        <v>344</v>
      </c>
      <c r="C1441" s="43">
        <v>20060368076598</v>
      </c>
      <c r="D1441" s="39" t="s">
        <v>596</v>
      </c>
      <c r="E1441" s="41">
        <v>14.133828368914015</v>
      </c>
      <c r="F1441" s="9"/>
      <c r="G1441" s="14" t="str">
        <f t="shared" si="59"/>
        <v>O</v>
      </c>
      <c r="H1441" s="15">
        <f t="shared" si="58"/>
        <v>7.0669141844570076</v>
      </c>
      <c r="L1441" s="35"/>
    </row>
    <row r="1442" spans="1:12" x14ac:dyDescent="0.3">
      <c r="A1442" s="38">
        <f>COUNTIFS($B$2:B1442,B1442)</f>
        <v>12</v>
      </c>
      <c r="B1442" s="39" t="s">
        <v>344</v>
      </c>
      <c r="C1442" s="43">
        <v>20060368076598</v>
      </c>
      <c r="D1442" s="39" t="s">
        <v>564</v>
      </c>
      <c r="E1442" s="41">
        <v>13.191573144319747</v>
      </c>
      <c r="F1442" s="9"/>
      <c r="G1442" s="14" t="str">
        <f t="shared" si="59"/>
        <v>O</v>
      </c>
      <c r="H1442" s="15">
        <f t="shared" si="58"/>
        <v>6.5957865721598736</v>
      </c>
      <c r="L1442" s="35"/>
    </row>
    <row r="1443" spans="1:12" x14ac:dyDescent="0.3">
      <c r="A1443" s="38">
        <f>COUNTIFS($B$2:B1443,B1443)</f>
        <v>13</v>
      </c>
      <c r="B1443" s="39" t="s">
        <v>344</v>
      </c>
      <c r="C1443" s="43">
        <v>20060368076598</v>
      </c>
      <c r="D1443" s="39" t="s">
        <v>505</v>
      </c>
      <c r="E1443" s="41">
        <v>37.690208983770709</v>
      </c>
      <c r="F1443" s="9"/>
      <c r="G1443" s="14" t="str">
        <f t="shared" si="59"/>
        <v>O</v>
      </c>
      <c r="H1443" s="15">
        <f t="shared" si="58"/>
        <v>18.845104491885355</v>
      </c>
      <c r="L1443" s="35"/>
    </row>
    <row r="1444" spans="1:12" x14ac:dyDescent="0.3">
      <c r="A1444" s="38">
        <f>COUNTIFS($B$2:B1444,B1444)</f>
        <v>1</v>
      </c>
      <c r="B1444" s="39" t="s">
        <v>346</v>
      </c>
      <c r="C1444" s="43">
        <v>20060368076602</v>
      </c>
      <c r="D1444" s="39" t="s">
        <v>463</v>
      </c>
      <c r="E1444" s="41">
        <v>241.57892337845843</v>
      </c>
      <c r="F1444" s="9"/>
      <c r="G1444" s="14" t="str">
        <f t="shared" si="59"/>
        <v>O</v>
      </c>
      <c r="H1444" s="15">
        <f t="shared" si="58"/>
        <v>120.78946168922921</v>
      </c>
      <c r="L1444" s="35"/>
    </row>
    <row r="1445" spans="1:12" x14ac:dyDescent="0.3">
      <c r="A1445" s="38">
        <f>COUNTIFS($B$2:B1445,B1445)</f>
        <v>2</v>
      </c>
      <c r="B1445" s="39" t="s">
        <v>346</v>
      </c>
      <c r="C1445" s="43">
        <v>20060368076602</v>
      </c>
      <c r="D1445" s="39" t="s">
        <v>418</v>
      </c>
      <c r="E1445" s="41">
        <v>4.5658416518528648</v>
      </c>
      <c r="F1445" s="9"/>
      <c r="G1445" s="14" t="str">
        <f t="shared" si="59"/>
        <v>O</v>
      </c>
      <c r="H1445" s="15">
        <f t="shared" si="58"/>
        <v>2.2829208259264324</v>
      </c>
      <c r="L1445" s="35"/>
    </row>
    <row r="1446" spans="1:12" x14ac:dyDescent="0.3">
      <c r="A1446" s="38">
        <f>COUNTIFS($B$2:B1446,B1446)</f>
        <v>3</v>
      </c>
      <c r="B1446" s="39" t="s">
        <v>346</v>
      </c>
      <c r="C1446" s="43">
        <v>20060368076602</v>
      </c>
      <c r="D1446" s="39" t="s">
        <v>164</v>
      </c>
      <c r="E1446" s="41">
        <v>2.4157892337845843</v>
      </c>
      <c r="F1446" s="9"/>
      <c r="G1446" s="14" t="str">
        <f t="shared" si="59"/>
        <v>O</v>
      </c>
      <c r="H1446" s="15">
        <f t="shared" si="58"/>
        <v>1.2078946168922922</v>
      </c>
      <c r="L1446" s="35"/>
    </row>
    <row r="1447" spans="1:12" x14ac:dyDescent="0.3">
      <c r="A1447" s="38">
        <f>COUNTIFS($B$2:B1447,B1447)</f>
        <v>4</v>
      </c>
      <c r="B1447" s="39" t="s">
        <v>346</v>
      </c>
      <c r="C1447" s="43">
        <v>20060368076602</v>
      </c>
      <c r="D1447" s="39" t="s">
        <v>487</v>
      </c>
      <c r="E1447" s="41">
        <v>9.6631569351383373</v>
      </c>
      <c r="F1447" s="9"/>
      <c r="G1447" s="14" t="str">
        <f t="shared" si="59"/>
        <v>O</v>
      </c>
      <c r="H1447" s="15">
        <f t="shared" si="58"/>
        <v>4.8315784675691686</v>
      </c>
      <c r="L1447" s="35"/>
    </row>
    <row r="1448" spans="1:12" x14ac:dyDescent="0.3">
      <c r="A1448" s="38">
        <f>COUNTIFS($B$2:B1448,B1448)</f>
        <v>5</v>
      </c>
      <c r="B1448" s="39" t="s">
        <v>346</v>
      </c>
      <c r="C1448" s="43">
        <v>20060368076602</v>
      </c>
      <c r="D1448" s="39" t="s">
        <v>114</v>
      </c>
      <c r="E1448" s="41">
        <v>96.631569351383376</v>
      </c>
      <c r="F1448" s="9"/>
      <c r="G1448" s="14" t="str">
        <f t="shared" si="59"/>
        <v>O</v>
      </c>
      <c r="H1448" s="15">
        <f t="shared" si="58"/>
        <v>48.315784675691688</v>
      </c>
      <c r="L1448" s="35"/>
    </row>
    <row r="1449" spans="1:12" x14ac:dyDescent="0.3">
      <c r="A1449" s="38">
        <f>COUNTIFS($B$2:B1449,B1449)</f>
        <v>6</v>
      </c>
      <c r="B1449" s="39" t="s">
        <v>346</v>
      </c>
      <c r="C1449" s="43">
        <v>20060368076602</v>
      </c>
      <c r="D1449" s="39" t="s">
        <v>559</v>
      </c>
      <c r="E1449" s="41">
        <v>72.473677013537525</v>
      </c>
      <c r="F1449" s="9"/>
      <c r="G1449" s="14" t="str">
        <f t="shared" si="59"/>
        <v>O</v>
      </c>
      <c r="H1449" s="15">
        <f t="shared" si="58"/>
        <v>36.236838506768763</v>
      </c>
      <c r="L1449" s="35"/>
    </row>
    <row r="1450" spans="1:12" x14ac:dyDescent="0.3">
      <c r="A1450" s="38">
        <f>COUNTIFS($B$2:B1450,B1450)</f>
        <v>7</v>
      </c>
      <c r="B1450" s="39" t="s">
        <v>346</v>
      </c>
      <c r="C1450" s="43">
        <v>20060368076602</v>
      </c>
      <c r="D1450" s="39" t="s">
        <v>424</v>
      </c>
      <c r="E1450" s="41">
        <v>1.2078946168922922</v>
      </c>
      <c r="F1450" s="9"/>
      <c r="G1450" s="14" t="str">
        <f t="shared" si="59"/>
        <v>O</v>
      </c>
      <c r="H1450" s="15">
        <f t="shared" si="58"/>
        <v>0.60394730844614608</v>
      </c>
      <c r="L1450" s="35"/>
    </row>
    <row r="1451" spans="1:12" x14ac:dyDescent="0.3">
      <c r="A1451" s="38">
        <f>COUNTIFS($B$2:B1451,B1451)</f>
        <v>8</v>
      </c>
      <c r="B1451" s="39" t="s">
        <v>346</v>
      </c>
      <c r="C1451" s="43">
        <v>20060368076602</v>
      </c>
      <c r="D1451" s="39" t="s">
        <v>597</v>
      </c>
      <c r="E1451" s="41">
        <v>12.078946168922922</v>
      </c>
      <c r="F1451" s="9"/>
      <c r="G1451" s="14" t="str">
        <f t="shared" si="59"/>
        <v>O</v>
      </c>
      <c r="H1451" s="15">
        <f t="shared" si="58"/>
        <v>6.039473084461461</v>
      </c>
      <c r="L1451" s="35"/>
    </row>
    <row r="1452" spans="1:12" x14ac:dyDescent="0.3">
      <c r="A1452" s="38">
        <f>COUNTIFS($B$2:B1452,B1452)</f>
        <v>9</v>
      </c>
      <c r="B1452" s="39" t="s">
        <v>346</v>
      </c>
      <c r="C1452" s="43">
        <v>20060368076602</v>
      </c>
      <c r="D1452" s="39" t="s">
        <v>535</v>
      </c>
      <c r="E1452" s="41">
        <v>72.473677013537525</v>
      </c>
      <c r="F1452" s="9"/>
      <c r="G1452" s="14" t="str">
        <f t="shared" si="59"/>
        <v>O</v>
      </c>
      <c r="H1452" s="15">
        <f t="shared" si="58"/>
        <v>36.236838506768763</v>
      </c>
      <c r="L1452" s="35"/>
    </row>
    <row r="1453" spans="1:12" x14ac:dyDescent="0.3">
      <c r="A1453" s="38">
        <f>COUNTIFS($B$2:B1453,B1453)</f>
        <v>10</v>
      </c>
      <c r="B1453" s="39" t="s">
        <v>346</v>
      </c>
      <c r="C1453" s="43">
        <v>20060368076602</v>
      </c>
      <c r="D1453" s="39" t="s">
        <v>565</v>
      </c>
      <c r="E1453" s="41">
        <v>7.2473677013537525</v>
      </c>
      <c r="F1453" s="9"/>
      <c r="G1453" s="14" t="str">
        <f t="shared" si="59"/>
        <v>O</v>
      </c>
      <c r="H1453" s="15">
        <f t="shared" si="58"/>
        <v>3.6236838506768763</v>
      </c>
      <c r="L1453" s="35"/>
    </row>
    <row r="1454" spans="1:12" x14ac:dyDescent="0.3">
      <c r="A1454" s="38">
        <f>COUNTIFS($B$2:B1454,B1454)</f>
        <v>11</v>
      </c>
      <c r="B1454" s="39" t="s">
        <v>346</v>
      </c>
      <c r="C1454" s="43">
        <v>20060368076602</v>
      </c>
      <c r="D1454" s="39" t="s">
        <v>564</v>
      </c>
      <c r="E1454" s="41">
        <v>9.6631569351383373</v>
      </c>
      <c r="F1454" s="9"/>
      <c r="G1454" s="14" t="str">
        <f t="shared" si="59"/>
        <v>O</v>
      </c>
      <c r="H1454" s="15">
        <f t="shared" si="58"/>
        <v>4.8315784675691686</v>
      </c>
      <c r="L1454" s="35"/>
    </row>
    <row r="1455" spans="1:12" x14ac:dyDescent="0.3">
      <c r="A1455" s="38">
        <f>COUNTIFS($B$2:B1455,B1455)</f>
        <v>12</v>
      </c>
      <c r="B1455" s="39" t="s">
        <v>346</v>
      </c>
      <c r="C1455" s="43">
        <v>20060368076602</v>
      </c>
      <c r="D1455" s="39" t="s">
        <v>114</v>
      </c>
      <c r="E1455" s="41">
        <v>43.484999999999999</v>
      </c>
      <c r="F1455" s="9"/>
      <c r="G1455" s="14" t="str">
        <f t="shared" si="59"/>
        <v>O</v>
      </c>
      <c r="H1455" s="15">
        <f t="shared" si="58"/>
        <v>21.7425</v>
      </c>
      <c r="L1455" s="35"/>
    </row>
    <row r="1456" spans="1:12" x14ac:dyDescent="0.3">
      <c r="A1456" s="38">
        <f>COUNTIFS($B$2:B1456,B1456)</f>
        <v>13</v>
      </c>
      <c r="B1456" s="39" t="s">
        <v>346</v>
      </c>
      <c r="C1456" s="43">
        <v>20060368076602</v>
      </c>
      <c r="D1456" s="39" t="s">
        <v>295</v>
      </c>
      <c r="E1456" s="41">
        <v>3.4787364966498008E-2</v>
      </c>
      <c r="F1456" s="9"/>
      <c r="G1456" s="14" t="str">
        <f t="shared" si="59"/>
        <v>O</v>
      </c>
      <c r="H1456" s="15">
        <f t="shared" si="58"/>
        <v>1.7393682483249004E-2</v>
      </c>
      <c r="L1456" s="35"/>
    </row>
    <row r="1457" spans="1:12" x14ac:dyDescent="0.3">
      <c r="A1457" s="31">
        <f>COUNTIFS($B$2:B1457,B1457)</f>
        <v>1</v>
      </c>
      <c r="B1457" s="26" t="s">
        <v>348</v>
      </c>
      <c r="C1457" s="27">
        <v>20060368076609</v>
      </c>
      <c r="D1457" s="26" t="s">
        <v>598</v>
      </c>
      <c r="E1457" s="26">
        <v>88.8</v>
      </c>
      <c r="F1457" s="9"/>
      <c r="G1457" s="14" t="str">
        <f t="shared" si="59"/>
        <v>O</v>
      </c>
      <c r="H1457" s="15">
        <f t="shared" si="58"/>
        <v>44.4</v>
      </c>
      <c r="L1457" s="35"/>
    </row>
    <row r="1458" spans="1:12" x14ac:dyDescent="0.3">
      <c r="A1458" s="31">
        <f>COUNTIFS($B$2:B1458,B1458)</f>
        <v>2</v>
      </c>
      <c r="B1458" s="26" t="s">
        <v>348</v>
      </c>
      <c r="C1458" s="27">
        <v>20060368076609</v>
      </c>
      <c r="D1458" s="26" t="s">
        <v>159</v>
      </c>
      <c r="E1458" s="28">
        <v>29.1</v>
      </c>
      <c r="F1458" s="9"/>
      <c r="G1458" s="14" t="str">
        <f t="shared" si="59"/>
        <v>O</v>
      </c>
      <c r="H1458" s="15">
        <f t="shared" si="58"/>
        <v>14.55</v>
      </c>
      <c r="L1458" s="35"/>
    </row>
    <row r="1459" spans="1:12" x14ac:dyDescent="0.3">
      <c r="A1459" s="31">
        <f>COUNTIFS($B$2:B1459,B1459)</f>
        <v>3</v>
      </c>
      <c r="B1459" s="26" t="s">
        <v>348</v>
      </c>
      <c r="C1459" s="27">
        <v>20060368076609</v>
      </c>
      <c r="D1459" s="26" t="s">
        <v>54</v>
      </c>
      <c r="E1459" s="28">
        <v>11.1</v>
      </c>
      <c r="F1459" s="9"/>
      <c r="G1459" s="14" t="str">
        <f t="shared" si="59"/>
        <v>O</v>
      </c>
      <c r="H1459" s="15">
        <f t="shared" si="58"/>
        <v>5.55</v>
      </c>
      <c r="L1459" s="35"/>
    </row>
    <row r="1460" spans="1:12" x14ac:dyDescent="0.3">
      <c r="A1460" s="31">
        <f>COUNTIFS($B$2:B1460,B1460)</f>
        <v>4</v>
      </c>
      <c r="B1460" s="26" t="s">
        <v>348</v>
      </c>
      <c r="C1460" s="27">
        <v>20060368076609</v>
      </c>
      <c r="D1460" s="26" t="s">
        <v>531</v>
      </c>
      <c r="E1460" s="26">
        <v>40.200000000000003</v>
      </c>
      <c r="F1460" s="9"/>
      <c r="G1460" s="14" t="str">
        <f t="shared" si="59"/>
        <v>O</v>
      </c>
      <c r="H1460" s="15">
        <f t="shared" si="58"/>
        <v>20.100000000000001</v>
      </c>
      <c r="L1460" s="35"/>
    </row>
    <row r="1461" spans="1:12" x14ac:dyDescent="0.3">
      <c r="A1461" s="31">
        <f>COUNTIFS($B$2:B1461,B1461)</f>
        <v>5</v>
      </c>
      <c r="B1461" s="26" t="s">
        <v>348</v>
      </c>
      <c r="C1461" s="27">
        <v>20060368076609</v>
      </c>
      <c r="D1461" s="26" t="s">
        <v>599</v>
      </c>
      <c r="E1461" s="28">
        <v>5.5</v>
      </c>
      <c r="F1461" s="9"/>
      <c r="G1461" s="14" t="str">
        <f t="shared" si="59"/>
        <v>O</v>
      </c>
      <c r="H1461" s="15">
        <f t="shared" ref="H1461:H1524" si="60">E1461/2</f>
        <v>2.75</v>
      </c>
      <c r="L1461" s="35"/>
    </row>
    <row r="1462" spans="1:12" x14ac:dyDescent="0.3">
      <c r="A1462" s="31">
        <f>COUNTIFS($B$2:B1462,B1462)</f>
        <v>6</v>
      </c>
      <c r="B1462" s="26" t="s">
        <v>348</v>
      </c>
      <c r="C1462" s="27">
        <v>20060368076609</v>
      </c>
      <c r="D1462" s="26" t="s">
        <v>600</v>
      </c>
      <c r="E1462" s="28">
        <v>1.4</v>
      </c>
      <c r="F1462" s="9"/>
      <c r="G1462" s="14" t="str">
        <f t="shared" si="59"/>
        <v>O</v>
      </c>
      <c r="H1462" s="15">
        <f t="shared" si="60"/>
        <v>0.7</v>
      </c>
      <c r="L1462" s="35"/>
    </row>
    <row r="1463" spans="1:12" x14ac:dyDescent="0.3">
      <c r="A1463" s="31">
        <f>COUNTIFS($B$2:B1463,B1463)</f>
        <v>7</v>
      </c>
      <c r="B1463" s="26" t="s">
        <v>348</v>
      </c>
      <c r="C1463" s="27">
        <v>20060368076609</v>
      </c>
      <c r="D1463" s="26" t="s">
        <v>490</v>
      </c>
      <c r="E1463" s="28">
        <v>13.9</v>
      </c>
      <c r="F1463" s="9"/>
      <c r="G1463" s="14" t="str">
        <f t="shared" si="59"/>
        <v>O</v>
      </c>
      <c r="H1463" s="15">
        <f t="shared" si="60"/>
        <v>6.95</v>
      </c>
      <c r="L1463" s="35"/>
    </row>
    <row r="1464" spans="1:12" x14ac:dyDescent="0.3">
      <c r="A1464" s="31">
        <f>COUNTIFS($B$2:B1464,B1464)</f>
        <v>8</v>
      </c>
      <c r="B1464" s="26" t="s">
        <v>348</v>
      </c>
      <c r="C1464" s="27">
        <v>20060368076609</v>
      </c>
      <c r="D1464" s="26" t="s">
        <v>601</v>
      </c>
      <c r="E1464" s="28">
        <v>17.8</v>
      </c>
      <c r="F1464" s="9"/>
      <c r="G1464" s="14" t="str">
        <f t="shared" si="59"/>
        <v>O</v>
      </c>
      <c r="H1464" s="15">
        <f t="shared" si="60"/>
        <v>8.9</v>
      </c>
      <c r="L1464" s="35"/>
    </row>
    <row r="1465" spans="1:12" x14ac:dyDescent="0.3">
      <c r="A1465" s="31">
        <f>COUNTIFS($B$2:B1465,B1465)</f>
        <v>9</v>
      </c>
      <c r="B1465" s="26" t="s">
        <v>348</v>
      </c>
      <c r="C1465" s="27">
        <v>20060368076609</v>
      </c>
      <c r="D1465" s="26" t="s">
        <v>157</v>
      </c>
      <c r="E1465" s="28">
        <v>2.2000000000000002</v>
      </c>
      <c r="F1465" s="9"/>
      <c r="G1465" s="14" t="str">
        <f t="shared" si="59"/>
        <v>O</v>
      </c>
      <c r="H1465" s="15">
        <f t="shared" si="60"/>
        <v>1.1000000000000001</v>
      </c>
      <c r="L1465" s="35"/>
    </row>
    <row r="1466" spans="1:12" x14ac:dyDescent="0.3">
      <c r="A1466" s="19">
        <f>COUNTIFS($B$2:B1466,B1466)</f>
        <v>1</v>
      </c>
      <c r="B1466" s="20" t="s">
        <v>350</v>
      </c>
      <c r="C1466" s="21">
        <v>20060368076609</v>
      </c>
      <c r="D1466" s="20" t="s">
        <v>598</v>
      </c>
      <c r="E1466" s="22">
        <v>98.102189781021892</v>
      </c>
      <c r="F1466" s="9"/>
      <c r="G1466" s="14" t="str">
        <f t="shared" si="59"/>
        <v>O</v>
      </c>
      <c r="H1466" s="15">
        <f t="shared" si="60"/>
        <v>49.051094890510946</v>
      </c>
      <c r="L1466" s="35"/>
    </row>
    <row r="1467" spans="1:12" x14ac:dyDescent="0.3">
      <c r="A1467" s="19">
        <f>COUNTIFS($B$2:B1467,B1467)</f>
        <v>2</v>
      </c>
      <c r="B1467" s="20" t="s">
        <v>350</v>
      </c>
      <c r="C1467" s="21">
        <v>20060368076609</v>
      </c>
      <c r="D1467" s="20" t="s">
        <v>159</v>
      </c>
      <c r="E1467" s="22">
        <v>32.189781021897808</v>
      </c>
      <c r="F1467" s="9"/>
      <c r="G1467" s="14" t="str">
        <f t="shared" si="59"/>
        <v>O</v>
      </c>
      <c r="H1467" s="15">
        <f t="shared" si="60"/>
        <v>16.094890510948904</v>
      </c>
      <c r="L1467" s="35"/>
    </row>
    <row r="1468" spans="1:12" x14ac:dyDescent="0.3">
      <c r="A1468" s="19">
        <f>COUNTIFS($B$2:B1468,B1468)</f>
        <v>3</v>
      </c>
      <c r="B1468" s="20" t="s">
        <v>350</v>
      </c>
      <c r="C1468" s="21">
        <v>20060368076609</v>
      </c>
      <c r="D1468" s="20" t="s">
        <v>54</v>
      </c>
      <c r="E1468" s="22">
        <v>12.262773722627736</v>
      </c>
      <c r="F1468" s="9"/>
      <c r="G1468" s="14" t="str">
        <f t="shared" si="59"/>
        <v>O</v>
      </c>
      <c r="H1468" s="15">
        <f t="shared" si="60"/>
        <v>6.1313868613138682</v>
      </c>
      <c r="L1468" s="35"/>
    </row>
    <row r="1469" spans="1:12" x14ac:dyDescent="0.3">
      <c r="A1469" s="19">
        <f>COUNTIFS($B$2:B1469,B1469)</f>
        <v>4</v>
      </c>
      <c r="B1469" s="20" t="s">
        <v>350</v>
      </c>
      <c r="C1469" s="21">
        <v>20060368076609</v>
      </c>
      <c r="D1469" s="20" t="s">
        <v>531</v>
      </c>
      <c r="E1469" s="22">
        <v>44.452554744525543</v>
      </c>
      <c r="F1469" s="9"/>
      <c r="G1469" s="14" t="str">
        <f t="shared" si="59"/>
        <v>O</v>
      </c>
      <c r="H1469" s="15">
        <f t="shared" si="60"/>
        <v>22.226277372262771</v>
      </c>
      <c r="L1469" s="35"/>
    </row>
    <row r="1470" spans="1:12" x14ac:dyDescent="0.3">
      <c r="A1470" s="19">
        <f>COUNTIFS($B$2:B1470,B1470)</f>
        <v>5</v>
      </c>
      <c r="B1470" s="20" t="s">
        <v>350</v>
      </c>
      <c r="C1470" s="21">
        <v>20060368076609</v>
      </c>
      <c r="D1470" s="20" t="s">
        <v>599</v>
      </c>
      <c r="E1470" s="22">
        <v>6.1313868613138682</v>
      </c>
      <c r="F1470" s="9"/>
      <c r="G1470" s="14" t="str">
        <f t="shared" si="59"/>
        <v>O</v>
      </c>
      <c r="H1470" s="15">
        <f t="shared" si="60"/>
        <v>3.0656934306569341</v>
      </c>
      <c r="L1470" s="35"/>
    </row>
    <row r="1471" spans="1:12" x14ac:dyDescent="0.3">
      <c r="A1471" s="19">
        <f>COUNTIFS($B$2:B1471,B1471)</f>
        <v>6</v>
      </c>
      <c r="B1471" s="20" t="s">
        <v>350</v>
      </c>
      <c r="C1471" s="21">
        <v>20060368076609</v>
      </c>
      <c r="D1471" s="20" t="s">
        <v>600</v>
      </c>
      <c r="E1471" s="22">
        <v>1.5328467153284671</v>
      </c>
      <c r="F1471" s="9"/>
      <c r="G1471" s="14" t="str">
        <f t="shared" si="59"/>
        <v>O</v>
      </c>
      <c r="H1471" s="15">
        <f t="shared" si="60"/>
        <v>0.76642335766423353</v>
      </c>
      <c r="L1471" s="35"/>
    </row>
    <row r="1472" spans="1:12" x14ac:dyDescent="0.3">
      <c r="A1472" s="19">
        <f>COUNTIFS($B$2:B1472,B1472)</f>
        <v>7</v>
      </c>
      <c r="B1472" s="20" t="s">
        <v>350</v>
      </c>
      <c r="C1472" s="21">
        <v>20060368076609</v>
      </c>
      <c r="D1472" s="20" t="s">
        <v>490</v>
      </c>
      <c r="E1472" s="22">
        <v>15.328467153284668</v>
      </c>
      <c r="F1472" s="9"/>
      <c r="G1472" s="14" t="str">
        <f t="shared" si="59"/>
        <v>O</v>
      </c>
      <c r="H1472" s="15">
        <f t="shared" si="60"/>
        <v>7.6642335766423342</v>
      </c>
      <c r="L1472" s="35"/>
    </row>
    <row r="1473" spans="1:12" x14ac:dyDescent="0.3">
      <c r="A1473" s="31">
        <f>COUNTIFS($B$2:B1473,B1473)</f>
        <v>1</v>
      </c>
      <c r="B1473" s="26" t="s">
        <v>352</v>
      </c>
      <c r="C1473" s="27">
        <v>20060368076610</v>
      </c>
      <c r="D1473" s="26" t="s">
        <v>86</v>
      </c>
      <c r="E1473" s="28">
        <v>88.8</v>
      </c>
      <c r="F1473" s="9"/>
      <c r="G1473" s="14" t="str">
        <f t="shared" si="59"/>
        <v>O</v>
      </c>
      <c r="H1473" s="15">
        <f t="shared" si="60"/>
        <v>44.4</v>
      </c>
      <c r="L1473" s="35"/>
    </row>
    <row r="1474" spans="1:12" x14ac:dyDescent="0.3">
      <c r="A1474" s="31">
        <f>COUNTIFS($B$2:B1474,B1474)</f>
        <v>2</v>
      </c>
      <c r="B1474" s="26" t="s">
        <v>352</v>
      </c>
      <c r="C1474" s="27">
        <v>20060368076610</v>
      </c>
      <c r="D1474" s="26" t="s">
        <v>159</v>
      </c>
      <c r="E1474" s="28">
        <v>29.1</v>
      </c>
      <c r="F1474" s="9"/>
      <c r="G1474" s="14" t="str">
        <f t="shared" si="59"/>
        <v>O</v>
      </c>
      <c r="H1474" s="15">
        <f t="shared" si="60"/>
        <v>14.55</v>
      </c>
      <c r="L1474" s="35"/>
    </row>
    <row r="1475" spans="1:12" x14ac:dyDescent="0.3">
      <c r="A1475" s="31">
        <f>COUNTIFS($B$2:B1475,B1475)</f>
        <v>3</v>
      </c>
      <c r="B1475" s="26" t="s">
        <v>352</v>
      </c>
      <c r="C1475" s="27">
        <v>20060368076610</v>
      </c>
      <c r="D1475" s="26" t="s">
        <v>54</v>
      </c>
      <c r="E1475" s="28">
        <v>11.1</v>
      </c>
      <c r="F1475" s="9"/>
      <c r="G1475" s="14" t="str">
        <f t="shared" si="59"/>
        <v>O</v>
      </c>
      <c r="H1475" s="15">
        <f t="shared" si="60"/>
        <v>5.55</v>
      </c>
      <c r="L1475" s="35"/>
    </row>
    <row r="1476" spans="1:12" x14ac:dyDescent="0.3">
      <c r="A1476" s="31">
        <f>COUNTIFS($B$2:B1476,B1476)</f>
        <v>4</v>
      </c>
      <c r="B1476" s="26" t="s">
        <v>352</v>
      </c>
      <c r="C1476" s="27">
        <v>20060368076610</v>
      </c>
      <c r="D1476" s="26" t="s">
        <v>162</v>
      </c>
      <c r="E1476" s="28">
        <v>40.200000000000003</v>
      </c>
      <c r="F1476" s="9"/>
      <c r="G1476" s="14" t="str">
        <f t="shared" si="59"/>
        <v>O</v>
      </c>
      <c r="H1476" s="15">
        <f t="shared" si="60"/>
        <v>20.100000000000001</v>
      </c>
      <c r="L1476" s="35"/>
    </row>
    <row r="1477" spans="1:12" x14ac:dyDescent="0.3">
      <c r="A1477" s="31">
        <f>COUNTIFS($B$2:B1477,B1477)</f>
        <v>5</v>
      </c>
      <c r="B1477" s="26" t="s">
        <v>352</v>
      </c>
      <c r="C1477" s="27">
        <v>20060368076610</v>
      </c>
      <c r="D1477" s="26" t="s">
        <v>126</v>
      </c>
      <c r="E1477" s="28">
        <v>5.5</v>
      </c>
      <c r="F1477" s="9"/>
      <c r="G1477" s="14" t="str">
        <f t="shared" si="59"/>
        <v>O</v>
      </c>
      <c r="H1477" s="15">
        <f t="shared" si="60"/>
        <v>2.75</v>
      </c>
      <c r="L1477" s="35"/>
    </row>
    <row r="1478" spans="1:12" x14ac:dyDescent="0.3">
      <c r="A1478" s="31">
        <f>COUNTIFS($B$2:B1478,B1478)</f>
        <v>6</v>
      </c>
      <c r="B1478" s="26" t="s">
        <v>352</v>
      </c>
      <c r="C1478" s="27">
        <v>20060368076610</v>
      </c>
      <c r="D1478" s="26" t="s">
        <v>600</v>
      </c>
      <c r="E1478" s="28">
        <v>1.4</v>
      </c>
      <c r="F1478" s="9"/>
      <c r="G1478" s="14" t="str">
        <f t="shared" si="59"/>
        <v>O</v>
      </c>
      <c r="H1478" s="15">
        <f t="shared" si="60"/>
        <v>0.7</v>
      </c>
      <c r="L1478" s="35"/>
    </row>
    <row r="1479" spans="1:12" x14ac:dyDescent="0.3">
      <c r="A1479" s="31">
        <f>COUNTIFS($B$2:B1479,B1479)</f>
        <v>7</v>
      </c>
      <c r="B1479" s="26" t="s">
        <v>352</v>
      </c>
      <c r="C1479" s="27">
        <v>20060368076610</v>
      </c>
      <c r="D1479" s="26" t="s">
        <v>116</v>
      </c>
      <c r="E1479" s="28">
        <v>13.9</v>
      </c>
      <c r="F1479" s="9"/>
      <c r="G1479" s="14" t="str">
        <f t="shared" si="59"/>
        <v>O</v>
      </c>
      <c r="H1479" s="15">
        <f t="shared" si="60"/>
        <v>6.95</v>
      </c>
      <c r="L1479" s="35"/>
    </row>
    <row r="1480" spans="1:12" x14ac:dyDescent="0.3">
      <c r="A1480" s="31">
        <f>COUNTIFS($B$2:B1480,B1480)</f>
        <v>8</v>
      </c>
      <c r="B1480" s="26" t="s">
        <v>352</v>
      </c>
      <c r="C1480" s="27">
        <v>20060368076610</v>
      </c>
      <c r="D1480" s="44" t="s">
        <v>316</v>
      </c>
      <c r="E1480" s="28">
        <v>6.7</v>
      </c>
      <c r="F1480" s="9"/>
      <c r="G1480" s="14" t="str">
        <f t="shared" si="59"/>
        <v>O</v>
      </c>
      <c r="H1480" s="15">
        <f t="shared" si="60"/>
        <v>3.35</v>
      </c>
      <c r="L1480" s="35"/>
    </row>
    <row r="1481" spans="1:12" x14ac:dyDescent="0.3">
      <c r="A1481" s="31">
        <f>COUNTIFS($B$2:B1481,B1481)</f>
        <v>9</v>
      </c>
      <c r="B1481" s="26" t="s">
        <v>352</v>
      </c>
      <c r="C1481" s="27">
        <v>20060368076610</v>
      </c>
      <c r="D1481" s="26" t="s">
        <v>157</v>
      </c>
      <c r="E1481" s="28">
        <v>3.3</v>
      </c>
      <c r="F1481" s="9"/>
      <c r="G1481" s="14" t="str">
        <f t="shared" si="59"/>
        <v>O</v>
      </c>
      <c r="H1481" s="15">
        <f t="shared" si="60"/>
        <v>1.65</v>
      </c>
      <c r="L1481" s="35"/>
    </row>
    <row r="1482" spans="1:12" x14ac:dyDescent="0.3">
      <c r="A1482" s="31">
        <f>COUNTIFS($B$2:B1482,B1482)</f>
        <v>10</v>
      </c>
      <c r="B1482" s="26" t="s">
        <v>352</v>
      </c>
      <c r="C1482" s="27">
        <v>20060368076610</v>
      </c>
      <c r="D1482" s="26" t="s">
        <v>602</v>
      </c>
      <c r="E1482" s="28">
        <v>10</v>
      </c>
      <c r="F1482" s="9"/>
      <c r="G1482" s="14" t="str">
        <f t="shared" si="59"/>
        <v>O</v>
      </c>
      <c r="H1482" s="15">
        <f t="shared" si="60"/>
        <v>5</v>
      </c>
      <c r="L1482" s="35"/>
    </row>
    <row r="1483" spans="1:12" x14ac:dyDescent="0.3">
      <c r="A1483" s="38">
        <f>COUNTIFS($B$2:B1483,B1483)</f>
        <v>1</v>
      </c>
      <c r="B1483" s="39" t="s">
        <v>355</v>
      </c>
      <c r="C1483" s="40">
        <v>20060368076611</v>
      </c>
      <c r="D1483" s="39" t="s">
        <v>272</v>
      </c>
      <c r="E1483" s="41">
        <v>70</v>
      </c>
      <c r="F1483" s="9"/>
      <c r="G1483" s="14" t="str">
        <f t="shared" si="59"/>
        <v>O</v>
      </c>
      <c r="H1483" s="15">
        <f t="shared" si="60"/>
        <v>35</v>
      </c>
      <c r="L1483" s="35"/>
    </row>
    <row r="1484" spans="1:12" x14ac:dyDescent="0.3">
      <c r="A1484" s="38">
        <f>COUNTIFS($B$2:B1484,B1484)</f>
        <v>2</v>
      </c>
      <c r="B1484" s="39" t="s">
        <v>355</v>
      </c>
      <c r="C1484" s="40">
        <v>20060368076611</v>
      </c>
      <c r="D1484" s="39" t="s">
        <v>41</v>
      </c>
      <c r="E1484" s="41">
        <v>30.821274196579587</v>
      </c>
      <c r="F1484" s="9"/>
      <c r="G1484" s="14" t="str">
        <f t="shared" si="59"/>
        <v>O</v>
      </c>
      <c r="H1484" s="15">
        <f t="shared" si="60"/>
        <v>15.410637098289794</v>
      </c>
      <c r="L1484" s="35"/>
    </row>
    <row r="1485" spans="1:12" x14ac:dyDescent="0.3">
      <c r="A1485" s="38">
        <f>COUNTIFS($B$2:B1485,B1485)</f>
        <v>3</v>
      </c>
      <c r="B1485" s="39" t="s">
        <v>355</v>
      </c>
      <c r="C1485" s="40">
        <v>20060368076611</v>
      </c>
      <c r="D1485" s="39" t="s">
        <v>418</v>
      </c>
      <c r="E1485" s="41">
        <v>2.7739146776921633</v>
      </c>
      <c r="F1485" s="9"/>
      <c r="G1485" s="14" t="str">
        <f t="shared" si="59"/>
        <v>O</v>
      </c>
      <c r="H1485" s="15">
        <f t="shared" si="60"/>
        <v>1.3869573388460816</v>
      </c>
      <c r="L1485" s="35"/>
    </row>
    <row r="1486" spans="1:12" x14ac:dyDescent="0.3">
      <c r="A1486" s="38">
        <f>COUNTIFS($B$2:B1486,B1486)</f>
        <v>4</v>
      </c>
      <c r="B1486" s="39" t="s">
        <v>355</v>
      </c>
      <c r="C1486" s="40">
        <v>20060368076611</v>
      </c>
      <c r="D1486" s="39" t="s">
        <v>463</v>
      </c>
      <c r="E1486" s="41">
        <v>128.19999999999999</v>
      </c>
      <c r="F1486" s="9"/>
      <c r="G1486" s="14" t="str">
        <f t="shared" si="59"/>
        <v>O</v>
      </c>
      <c r="H1486" s="15">
        <f t="shared" si="60"/>
        <v>64.099999999999994</v>
      </c>
      <c r="L1486" s="35"/>
    </row>
    <row r="1487" spans="1:12" x14ac:dyDescent="0.3">
      <c r="A1487" s="38">
        <f>COUNTIFS($B$2:B1487,B1487)</f>
        <v>5</v>
      </c>
      <c r="B1487" s="39" t="s">
        <v>355</v>
      </c>
      <c r="C1487" s="40">
        <v>20060368076611</v>
      </c>
      <c r="D1487" s="39" t="s">
        <v>172</v>
      </c>
      <c r="E1487" s="41">
        <v>7.8</v>
      </c>
      <c r="F1487" s="9"/>
      <c r="G1487" s="14" t="str">
        <f t="shared" si="59"/>
        <v>O</v>
      </c>
      <c r="H1487" s="15">
        <f t="shared" si="60"/>
        <v>3.9</v>
      </c>
      <c r="L1487" s="35"/>
    </row>
    <row r="1488" spans="1:12" x14ac:dyDescent="0.3">
      <c r="A1488" s="38">
        <f>COUNTIFS($B$2:B1488,B1488)</f>
        <v>6</v>
      </c>
      <c r="B1488" s="39" t="s">
        <v>355</v>
      </c>
      <c r="C1488" s="40">
        <v>20060368076611</v>
      </c>
      <c r="D1488" s="39" t="s">
        <v>535</v>
      </c>
      <c r="E1488" s="41">
        <v>66</v>
      </c>
      <c r="F1488" s="9"/>
      <c r="G1488" s="14" t="str">
        <f t="shared" si="59"/>
        <v>O</v>
      </c>
      <c r="H1488" s="15">
        <f t="shared" si="60"/>
        <v>33</v>
      </c>
      <c r="L1488" s="35"/>
    </row>
    <row r="1489" spans="1:12" x14ac:dyDescent="0.3">
      <c r="A1489" s="38">
        <f>COUNTIFS($B$2:B1489,B1489)</f>
        <v>7</v>
      </c>
      <c r="B1489" s="39" t="s">
        <v>355</v>
      </c>
      <c r="C1489" s="40">
        <v>20060368076611</v>
      </c>
      <c r="D1489" s="39" t="s">
        <v>528</v>
      </c>
      <c r="E1489" s="41">
        <v>97.1</v>
      </c>
      <c r="F1489" s="9"/>
      <c r="G1489" s="14" t="str">
        <f t="shared" si="59"/>
        <v>O</v>
      </c>
      <c r="H1489" s="15">
        <f t="shared" si="60"/>
        <v>48.55</v>
      </c>
      <c r="L1489" s="35"/>
    </row>
    <row r="1490" spans="1:12" x14ac:dyDescent="0.3">
      <c r="A1490" s="38">
        <f>COUNTIFS($B$2:B1490,B1490)</f>
        <v>8</v>
      </c>
      <c r="B1490" s="39" t="s">
        <v>355</v>
      </c>
      <c r="C1490" s="40">
        <v>20060368076611</v>
      </c>
      <c r="D1490" s="39" t="s">
        <v>164</v>
      </c>
      <c r="E1490" s="41">
        <v>5.4</v>
      </c>
      <c r="F1490" s="9"/>
      <c r="G1490" s="14" t="str">
        <f t="shared" si="59"/>
        <v>O</v>
      </c>
      <c r="H1490" s="15">
        <f t="shared" si="60"/>
        <v>2.7</v>
      </c>
      <c r="L1490" s="35"/>
    </row>
    <row r="1491" spans="1:12" x14ac:dyDescent="0.3">
      <c r="A1491" s="19">
        <f>COUNTIFS($B$2:B1491,B1491)</f>
        <v>1</v>
      </c>
      <c r="B1491" s="26" t="s">
        <v>357</v>
      </c>
      <c r="C1491" s="27">
        <v>20060368076625</v>
      </c>
      <c r="D1491" s="26" t="s">
        <v>284</v>
      </c>
      <c r="E1491" s="28">
        <v>61.7</v>
      </c>
      <c r="F1491" s="9"/>
      <c r="G1491" s="14" t="str">
        <f t="shared" si="59"/>
        <v>O</v>
      </c>
      <c r="H1491" s="15">
        <f t="shared" si="60"/>
        <v>30.85</v>
      </c>
      <c r="L1491" s="35"/>
    </row>
    <row r="1492" spans="1:12" x14ac:dyDescent="0.3">
      <c r="A1492" s="19">
        <f>COUNTIFS($B$2:B1492,B1492)</f>
        <v>2</v>
      </c>
      <c r="B1492" s="26" t="s">
        <v>357</v>
      </c>
      <c r="C1492" s="27">
        <v>20060368076625</v>
      </c>
      <c r="D1492" s="26" t="s">
        <v>418</v>
      </c>
      <c r="E1492" s="28">
        <v>1.2</v>
      </c>
      <c r="F1492" s="9"/>
      <c r="G1492" s="14" t="str">
        <f t="shared" si="59"/>
        <v>O</v>
      </c>
      <c r="H1492" s="15">
        <f t="shared" si="60"/>
        <v>0.6</v>
      </c>
      <c r="L1492" s="35"/>
    </row>
    <row r="1493" spans="1:12" x14ac:dyDescent="0.3">
      <c r="A1493" s="19">
        <f>COUNTIFS($B$2:B1493,B1493)</f>
        <v>3</v>
      </c>
      <c r="B1493" s="26" t="s">
        <v>357</v>
      </c>
      <c r="C1493" s="27">
        <v>20060368076625</v>
      </c>
      <c r="D1493" s="26" t="s">
        <v>528</v>
      </c>
      <c r="E1493" s="28">
        <v>45.6</v>
      </c>
      <c r="F1493" s="9"/>
      <c r="G1493" s="14" t="str">
        <f t="shared" si="59"/>
        <v>O</v>
      </c>
      <c r="H1493" s="15">
        <f t="shared" si="60"/>
        <v>22.8</v>
      </c>
      <c r="L1493" s="35"/>
    </row>
    <row r="1494" spans="1:12" x14ac:dyDescent="0.3">
      <c r="A1494" s="19">
        <f>COUNTIFS($B$2:B1494,B1494)</f>
        <v>4</v>
      </c>
      <c r="B1494" s="26" t="s">
        <v>357</v>
      </c>
      <c r="C1494" s="27">
        <v>20060368076625</v>
      </c>
      <c r="D1494" s="26" t="s">
        <v>489</v>
      </c>
      <c r="E1494" s="28">
        <v>0.7</v>
      </c>
      <c r="F1494" s="9"/>
      <c r="G1494" s="14" t="str">
        <f t="shared" si="59"/>
        <v>O</v>
      </c>
      <c r="H1494" s="15">
        <f t="shared" si="60"/>
        <v>0.35</v>
      </c>
      <c r="L1494" s="35"/>
    </row>
    <row r="1495" spans="1:12" x14ac:dyDescent="0.3">
      <c r="A1495" s="19">
        <f>COUNTIFS($B$2:B1495,B1495)</f>
        <v>5</v>
      </c>
      <c r="B1495" s="26" t="s">
        <v>357</v>
      </c>
      <c r="C1495" s="27">
        <v>20060368076625</v>
      </c>
      <c r="D1495" s="26" t="s">
        <v>554</v>
      </c>
      <c r="E1495" s="28">
        <v>9.3000000000000007</v>
      </c>
      <c r="F1495" s="9"/>
      <c r="G1495" s="14" t="str">
        <f t="shared" ref="G1495:G1558" si="61">IF(D1495="","",IF(COUNTIF(I:I,D1495)&gt;0,"O","X"))</f>
        <v>O</v>
      </c>
      <c r="H1495" s="15">
        <f t="shared" si="60"/>
        <v>4.6500000000000004</v>
      </c>
      <c r="L1495" s="35"/>
    </row>
    <row r="1496" spans="1:12" x14ac:dyDescent="0.3">
      <c r="A1496" s="19">
        <f>COUNTIFS($B$2:B1496,B1496)</f>
        <v>6</v>
      </c>
      <c r="B1496" s="26" t="s">
        <v>357</v>
      </c>
      <c r="C1496" s="27">
        <v>20060368076625</v>
      </c>
      <c r="D1496" s="26" t="s">
        <v>511</v>
      </c>
      <c r="E1496" s="28">
        <v>5.8</v>
      </c>
      <c r="F1496" s="9"/>
      <c r="G1496" s="14" t="str">
        <f t="shared" si="61"/>
        <v>O</v>
      </c>
      <c r="H1496" s="15">
        <f t="shared" si="60"/>
        <v>2.9</v>
      </c>
      <c r="L1496" s="35"/>
    </row>
    <row r="1497" spans="1:12" x14ac:dyDescent="0.3">
      <c r="A1497" s="19">
        <f>COUNTIFS($B$2:B1497,B1497)</f>
        <v>7</v>
      </c>
      <c r="B1497" s="26" t="s">
        <v>357</v>
      </c>
      <c r="C1497" s="27">
        <v>20060368076625</v>
      </c>
      <c r="D1497" s="26" t="s">
        <v>424</v>
      </c>
      <c r="E1497" s="28">
        <v>4.9000000000000004</v>
      </c>
      <c r="F1497" s="9"/>
      <c r="G1497" s="14" t="str">
        <f t="shared" si="61"/>
        <v>O</v>
      </c>
      <c r="H1497" s="15">
        <f t="shared" si="60"/>
        <v>2.4500000000000002</v>
      </c>
      <c r="L1497" s="35"/>
    </row>
    <row r="1498" spans="1:12" x14ac:dyDescent="0.3">
      <c r="A1498" s="19">
        <f>COUNTIFS($B$2:B1498,B1498)</f>
        <v>8</v>
      </c>
      <c r="B1498" s="26" t="s">
        <v>357</v>
      </c>
      <c r="C1498" s="27">
        <v>20060368076625</v>
      </c>
      <c r="D1498" s="26" t="s">
        <v>172</v>
      </c>
      <c r="E1498" s="28">
        <v>8.8000000000000007</v>
      </c>
      <c r="F1498" s="9"/>
      <c r="G1498" s="14" t="str">
        <f t="shared" si="61"/>
        <v>O</v>
      </c>
      <c r="H1498" s="15">
        <f t="shared" si="60"/>
        <v>4.4000000000000004</v>
      </c>
      <c r="L1498" s="35"/>
    </row>
    <row r="1499" spans="1:12" x14ac:dyDescent="0.3">
      <c r="A1499" s="19">
        <f>COUNTIFS($B$2:B1499,B1499)</f>
        <v>9</v>
      </c>
      <c r="B1499" s="26" t="s">
        <v>357</v>
      </c>
      <c r="C1499" s="27">
        <v>20060368076625</v>
      </c>
      <c r="D1499" s="26" t="s">
        <v>41</v>
      </c>
      <c r="E1499" s="28">
        <v>14</v>
      </c>
      <c r="F1499" s="9"/>
      <c r="G1499" s="14" t="str">
        <f t="shared" si="61"/>
        <v>O</v>
      </c>
      <c r="H1499" s="15">
        <f t="shared" si="60"/>
        <v>7</v>
      </c>
      <c r="L1499" s="35"/>
    </row>
    <row r="1500" spans="1:12" x14ac:dyDescent="0.3">
      <c r="A1500" s="19">
        <f>COUNTIFS($B$2:B1500,B1500)</f>
        <v>10</v>
      </c>
      <c r="B1500" s="26" t="s">
        <v>357</v>
      </c>
      <c r="C1500" s="27">
        <v>20060368076625</v>
      </c>
      <c r="D1500" s="26" t="s">
        <v>558</v>
      </c>
      <c r="E1500" s="28">
        <v>2.9</v>
      </c>
      <c r="F1500" s="9"/>
      <c r="G1500" s="14" t="str">
        <f t="shared" si="61"/>
        <v>O</v>
      </c>
      <c r="H1500" s="15">
        <f t="shared" si="60"/>
        <v>1.45</v>
      </c>
      <c r="L1500" s="35"/>
    </row>
    <row r="1501" spans="1:12" x14ac:dyDescent="0.3">
      <c r="A1501" s="19">
        <f>COUNTIFS($B$2:B1501,B1501)</f>
        <v>1</v>
      </c>
      <c r="B1501" s="26" t="s">
        <v>358</v>
      </c>
      <c r="C1501" s="27">
        <v>20060368076626</v>
      </c>
      <c r="D1501" s="26" t="s">
        <v>284</v>
      </c>
      <c r="E1501" s="28">
        <v>185.10000000000002</v>
      </c>
      <c r="F1501" s="9"/>
      <c r="G1501" s="14" t="str">
        <f t="shared" si="61"/>
        <v>O</v>
      </c>
      <c r="H1501" s="15">
        <f t="shared" si="60"/>
        <v>92.550000000000011</v>
      </c>
      <c r="L1501" s="35"/>
    </row>
    <row r="1502" spans="1:12" x14ac:dyDescent="0.3">
      <c r="A1502" s="19">
        <f>COUNTIFS($B$2:B1502,B1502)</f>
        <v>2</v>
      </c>
      <c r="B1502" s="26" t="s">
        <v>358</v>
      </c>
      <c r="C1502" s="27">
        <v>20060368076626</v>
      </c>
      <c r="D1502" s="26" t="s">
        <v>418</v>
      </c>
      <c r="E1502" s="28">
        <v>3.5999999999999996</v>
      </c>
      <c r="F1502" s="9"/>
      <c r="G1502" s="14" t="str">
        <f t="shared" si="61"/>
        <v>O</v>
      </c>
      <c r="H1502" s="15">
        <f t="shared" si="60"/>
        <v>1.7999999999999998</v>
      </c>
      <c r="L1502" s="35"/>
    </row>
    <row r="1503" spans="1:12" x14ac:dyDescent="0.3">
      <c r="A1503" s="19">
        <f>COUNTIFS($B$2:B1503,B1503)</f>
        <v>3</v>
      </c>
      <c r="B1503" s="26" t="s">
        <v>358</v>
      </c>
      <c r="C1503" s="27">
        <v>20060368076626</v>
      </c>
      <c r="D1503" s="26" t="s">
        <v>528</v>
      </c>
      <c r="E1503" s="28">
        <v>136.80000000000001</v>
      </c>
      <c r="F1503" s="9"/>
      <c r="G1503" s="14" t="str">
        <f t="shared" si="61"/>
        <v>O</v>
      </c>
      <c r="H1503" s="15">
        <f t="shared" si="60"/>
        <v>68.400000000000006</v>
      </c>
      <c r="L1503" s="35"/>
    </row>
    <row r="1504" spans="1:12" x14ac:dyDescent="0.3">
      <c r="A1504" s="19">
        <f>COUNTIFS($B$2:B1504,B1504)</f>
        <v>4</v>
      </c>
      <c r="B1504" s="26" t="s">
        <v>358</v>
      </c>
      <c r="C1504" s="27">
        <v>20060368076626</v>
      </c>
      <c r="D1504" s="26" t="s">
        <v>489</v>
      </c>
      <c r="E1504" s="28">
        <v>2.0999999999999996</v>
      </c>
      <c r="F1504" s="9"/>
      <c r="G1504" s="14" t="str">
        <f t="shared" si="61"/>
        <v>O</v>
      </c>
      <c r="H1504" s="15">
        <f t="shared" si="60"/>
        <v>1.0499999999999998</v>
      </c>
      <c r="L1504" s="35"/>
    </row>
    <row r="1505" spans="1:12" x14ac:dyDescent="0.3">
      <c r="A1505" s="19">
        <f>COUNTIFS($B$2:B1505,B1505)</f>
        <v>5</v>
      </c>
      <c r="B1505" s="26" t="s">
        <v>358</v>
      </c>
      <c r="C1505" s="27">
        <v>20060368076626</v>
      </c>
      <c r="D1505" s="26" t="s">
        <v>554</v>
      </c>
      <c r="E1505" s="28">
        <v>27.900000000000002</v>
      </c>
      <c r="F1505" s="9"/>
      <c r="G1505" s="14" t="str">
        <f t="shared" si="61"/>
        <v>O</v>
      </c>
      <c r="H1505" s="15">
        <f t="shared" si="60"/>
        <v>13.950000000000001</v>
      </c>
      <c r="L1505" s="35"/>
    </row>
    <row r="1506" spans="1:12" x14ac:dyDescent="0.3">
      <c r="A1506" s="19">
        <f>COUNTIFS($B$2:B1506,B1506)</f>
        <v>6</v>
      </c>
      <c r="B1506" s="26" t="s">
        <v>358</v>
      </c>
      <c r="C1506" s="27">
        <v>20060368076626</v>
      </c>
      <c r="D1506" s="26" t="s">
        <v>511</v>
      </c>
      <c r="E1506" s="28">
        <v>17.399999999999999</v>
      </c>
      <c r="F1506" s="9"/>
      <c r="G1506" s="14" t="str">
        <f t="shared" si="61"/>
        <v>O</v>
      </c>
      <c r="H1506" s="15">
        <f t="shared" si="60"/>
        <v>8.6999999999999993</v>
      </c>
      <c r="L1506" s="35"/>
    </row>
    <row r="1507" spans="1:12" x14ac:dyDescent="0.3">
      <c r="A1507" s="19">
        <f>COUNTIFS($B$2:B1507,B1507)</f>
        <v>7</v>
      </c>
      <c r="B1507" s="26" t="s">
        <v>358</v>
      </c>
      <c r="C1507" s="27">
        <v>20060368076626</v>
      </c>
      <c r="D1507" s="26" t="s">
        <v>424</v>
      </c>
      <c r="E1507" s="28">
        <v>14.700000000000001</v>
      </c>
      <c r="F1507" s="9"/>
      <c r="G1507" s="14" t="str">
        <f t="shared" si="61"/>
        <v>O</v>
      </c>
      <c r="H1507" s="15">
        <f t="shared" si="60"/>
        <v>7.3500000000000005</v>
      </c>
      <c r="L1507" s="35"/>
    </row>
    <row r="1508" spans="1:12" x14ac:dyDescent="0.3">
      <c r="A1508" s="19">
        <f>COUNTIFS($B$2:B1508,B1508)</f>
        <v>8</v>
      </c>
      <c r="B1508" s="26" t="s">
        <v>358</v>
      </c>
      <c r="C1508" s="27">
        <v>20060368076626</v>
      </c>
      <c r="D1508" s="26" t="s">
        <v>172</v>
      </c>
      <c r="E1508" s="28">
        <v>26.400000000000002</v>
      </c>
      <c r="F1508" s="9"/>
      <c r="G1508" s="14" t="str">
        <f t="shared" si="61"/>
        <v>O</v>
      </c>
      <c r="H1508" s="15">
        <f t="shared" si="60"/>
        <v>13.200000000000001</v>
      </c>
      <c r="L1508" s="35"/>
    </row>
    <row r="1509" spans="1:12" x14ac:dyDescent="0.3">
      <c r="A1509" s="19">
        <f>COUNTIFS($B$2:B1509,B1509)</f>
        <v>9</v>
      </c>
      <c r="B1509" s="26" t="s">
        <v>358</v>
      </c>
      <c r="C1509" s="27">
        <v>20060368076626</v>
      </c>
      <c r="D1509" s="26" t="s">
        <v>41</v>
      </c>
      <c r="E1509" s="28">
        <v>42</v>
      </c>
      <c r="F1509" s="9"/>
      <c r="G1509" s="14" t="str">
        <f t="shared" si="61"/>
        <v>O</v>
      </c>
      <c r="H1509" s="15">
        <f t="shared" si="60"/>
        <v>21</v>
      </c>
      <c r="L1509" s="35"/>
    </row>
    <row r="1510" spans="1:12" x14ac:dyDescent="0.3">
      <c r="A1510" s="19">
        <f>COUNTIFS($B$2:B1510,B1510)</f>
        <v>10</v>
      </c>
      <c r="B1510" s="26" t="s">
        <v>358</v>
      </c>
      <c r="C1510" s="27">
        <v>20060368076626</v>
      </c>
      <c r="D1510" s="26" t="s">
        <v>558</v>
      </c>
      <c r="E1510" s="28">
        <v>8.6999999999999993</v>
      </c>
      <c r="F1510" s="9"/>
      <c r="G1510" s="14" t="str">
        <f t="shared" si="61"/>
        <v>O</v>
      </c>
      <c r="H1510" s="15">
        <f t="shared" si="60"/>
        <v>4.3499999999999996</v>
      </c>
      <c r="L1510" s="35"/>
    </row>
    <row r="1511" spans="1:12" x14ac:dyDescent="0.3">
      <c r="A1511" s="23">
        <f>COUNTIFS($B$2:B1511,B1511)</f>
        <v>1</v>
      </c>
      <c r="B1511" s="45" t="s">
        <v>359</v>
      </c>
      <c r="C1511" s="46">
        <v>20060368076646</v>
      </c>
      <c r="D1511" s="45" t="s">
        <v>210</v>
      </c>
      <c r="E1511" s="47">
        <v>27.16</v>
      </c>
      <c r="F1511" s="9"/>
      <c r="G1511" s="14" t="str">
        <f t="shared" si="61"/>
        <v>O</v>
      </c>
      <c r="H1511" s="15">
        <f t="shared" si="60"/>
        <v>13.58</v>
      </c>
      <c r="L1511" s="35"/>
    </row>
    <row r="1512" spans="1:12" x14ac:dyDescent="0.3">
      <c r="A1512" s="23">
        <f>COUNTIFS($B$2:B1512,B1512)</f>
        <v>2</v>
      </c>
      <c r="B1512" s="45" t="s">
        <v>359</v>
      </c>
      <c r="C1512" s="46">
        <v>20060368076646</v>
      </c>
      <c r="D1512" s="45" t="s">
        <v>213</v>
      </c>
      <c r="E1512" s="47">
        <v>49.56</v>
      </c>
      <c r="F1512" s="9"/>
      <c r="G1512" s="14" t="str">
        <f t="shared" si="61"/>
        <v>O</v>
      </c>
      <c r="H1512" s="15">
        <f t="shared" si="60"/>
        <v>24.78</v>
      </c>
      <c r="L1512" s="35"/>
    </row>
    <row r="1513" spans="1:12" x14ac:dyDescent="0.3">
      <c r="A1513" s="23">
        <f>COUNTIFS($B$2:B1513,B1513)</f>
        <v>3</v>
      </c>
      <c r="B1513" s="45" t="s">
        <v>359</v>
      </c>
      <c r="C1513" s="46">
        <v>20060368076646</v>
      </c>
      <c r="D1513" s="45" t="s">
        <v>222</v>
      </c>
      <c r="E1513" s="47">
        <v>0.27</v>
      </c>
      <c r="F1513" s="9"/>
      <c r="G1513" s="14" t="str">
        <f t="shared" si="61"/>
        <v>O</v>
      </c>
      <c r="H1513" s="15">
        <f t="shared" si="60"/>
        <v>0.13500000000000001</v>
      </c>
      <c r="L1513" s="35"/>
    </row>
    <row r="1514" spans="1:12" x14ac:dyDescent="0.3">
      <c r="A1514" s="23">
        <f>COUNTIFS($B$2:B1514,B1514)</f>
        <v>4</v>
      </c>
      <c r="B1514" s="45" t="s">
        <v>359</v>
      </c>
      <c r="C1514" s="46">
        <v>20060368076646</v>
      </c>
      <c r="D1514" s="45" t="s">
        <v>263</v>
      </c>
      <c r="E1514" s="47">
        <v>16.97</v>
      </c>
      <c r="F1514" s="9"/>
      <c r="G1514" s="14" t="str">
        <f t="shared" si="61"/>
        <v>O</v>
      </c>
      <c r="H1514" s="15">
        <f t="shared" si="60"/>
        <v>8.4849999999999994</v>
      </c>
      <c r="L1514" s="35"/>
    </row>
    <row r="1515" spans="1:12" x14ac:dyDescent="0.3">
      <c r="A1515" s="23">
        <f>COUNTIFS($B$2:B1515,B1515)</f>
        <v>5</v>
      </c>
      <c r="B1515" s="45" t="s">
        <v>359</v>
      </c>
      <c r="C1515" s="46">
        <v>20060368076646</v>
      </c>
      <c r="D1515" s="45" t="s">
        <v>114</v>
      </c>
      <c r="E1515" s="47">
        <v>3.39</v>
      </c>
      <c r="F1515" s="9"/>
      <c r="G1515" s="14" t="str">
        <f t="shared" si="61"/>
        <v>O</v>
      </c>
      <c r="H1515" s="15">
        <f t="shared" si="60"/>
        <v>1.6950000000000001</v>
      </c>
      <c r="L1515" s="35"/>
    </row>
    <row r="1516" spans="1:12" x14ac:dyDescent="0.3">
      <c r="A1516" s="23">
        <f>COUNTIFS($B$2:B1516,B1516)</f>
        <v>6</v>
      </c>
      <c r="B1516" s="45" t="s">
        <v>359</v>
      </c>
      <c r="C1516" s="46">
        <v>20060368076646</v>
      </c>
      <c r="D1516" s="45" t="s">
        <v>206</v>
      </c>
      <c r="E1516" s="47">
        <v>56.35</v>
      </c>
      <c r="F1516" s="9"/>
      <c r="G1516" s="14" t="str">
        <f t="shared" si="61"/>
        <v>O</v>
      </c>
      <c r="H1516" s="15">
        <f t="shared" si="60"/>
        <v>28.175000000000001</v>
      </c>
      <c r="L1516" s="35"/>
    </row>
    <row r="1517" spans="1:12" x14ac:dyDescent="0.3">
      <c r="A1517" s="23">
        <f>COUNTIFS($B$2:B1517,B1517)</f>
        <v>7</v>
      </c>
      <c r="B1517" s="45" t="s">
        <v>359</v>
      </c>
      <c r="C1517" s="46">
        <v>20060368076646</v>
      </c>
      <c r="D1517" s="45" t="s">
        <v>548</v>
      </c>
      <c r="E1517" s="47">
        <v>0.27</v>
      </c>
      <c r="F1517" s="9"/>
      <c r="G1517" s="14" t="str">
        <f t="shared" si="61"/>
        <v>O</v>
      </c>
      <c r="H1517" s="15">
        <f t="shared" si="60"/>
        <v>0.13500000000000001</v>
      </c>
      <c r="L1517" s="35"/>
    </row>
    <row r="1518" spans="1:12" x14ac:dyDescent="0.3">
      <c r="A1518" s="23">
        <f>COUNTIFS($B$2:B1518,B1518)</f>
        <v>8</v>
      </c>
      <c r="B1518" s="45" t="s">
        <v>359</v>
      </c>
      <c r="C1518" s="46">
        <v>20060368076646</v>
      </c>
      <c r="D1518" s="45" t="s">
        <v>280</v>
      </c>
      <c r="E1518" s="47">
        <v>61.79</v>
      </c>
      <c r="F1518" s="9"/>
      <c r="G1518" s="14" t="str">
        <f t="shared" si="61"/>
        <v>O</v>
      </c>
      <c r="H1518" s="15">
        <f t="shared" si="60"/>
        <v>30.895</v>
      </c>
      <c r="L1518" s="35"/>
    </row>
    <row r="1519" spans="1:12" x14ac:dyDescent="0.3">
      <c r="A1519" s="23">
        <f>COUNTIFS($B$2:B1519,B1519)</f>
        <v>1</v>
      </c>
      <c r="B1519" s="45" t="s">
        <v>603</v>
      </c>
      <c r="C1519" s="46">
        <v>20060368076646</v>
      </c>
      <c r="D1519" s="45" t="s">
        <v>210</v>
      </c>
      <c r="E1519" s="47">
        <v>15.08</v>
      </c>
      <c r="F1519" s="9"/>
      <c r="G1519" s="14" t="str">
        <f t="shared" si="61"/>
        <v>O</v>
      </c>
      <c r="H1519" s="15">
        <f t="shared" si="60"/>
        <v>7.54</v>
      </c>
      <c r="L1519" s="35"/>
    </row>
    <row r="1520" spans="1:12" x14ac:dyDescent="0.3">
      <c r="A1520" s="23">
        <f>COUNTIFS($B$2:B1520,B1520)</f>
        <v>2</v>
      </c>
      <c r="B1520" s="45" t="s">
        <v>603</v>
      </c>
      <c r="C1520" s="46">
        <v>20060368076646</v>
      </c>
      <c r="D1520" s="45" t="s">
        <v>213</v>
      </c>
      <c r="E1520" s="47">
        <v>27.53</v>
      </c>
      <c r="F1520" s="9"/>
      <c r="G1520" s="14" t="str">
        <f t="shared" si="61"/>
        <v>O</v>
      </c>
      <c r="H1520" s="15">
        <f t="shared" si="60"/>
        <v>13.765000000000001</v>
      </c>
      <c r="L1520" s="35"/>
    </row>
    <row r="1521" spans="1:12" x14ac:dyDescent="0.3">
      <c r="A1521" s="23">
        <f>COUNTIFS($B$2:B1521,B1521)</f>
        <v>3</v>
      </c>
      <c r="B1521" s="45" t="s">
        <v>603</v>
      </c>
      <c r="C1521" s="46">
        <v>20060368076646</v>
      </c>
      <c r="D1521" s="45" t="s">
        <v>222</v>
      </c>
      <c r="E1521" s="47">
        <v>0.15</v>
      </c>
      <c r="F1521" s="9"/>
      <c r="G1521" s="14" t="str">
        <f t="shared" si="61"/>
        <v>O</v>
      </c>
      <c r="H1521" s="15">
        <f t="shared" si="60"/>
        <v>7.4999999999999997E-2</v>
      </c>
      <c r="L1521" s="35"/>
    </row>
    <row r="1522" spans="1:12" x14ac:dyDescent="0.3">
      <c r="A1522" s="23">
        <f>COUNTIFS($B$2:B1522,B1522)</f>
        <v>4</v>
      </c>
      <c r="B1522" s="45" t="s">
        <v>603</v>
      </c>
      <c r="C1522" s="46">
        <v>20060368076646</v>
      </c>
      <c r="D1522" s="45" t="s">
        <v>263</v>
      </c>
      <c r="E1522" s="47">
        <v>9.43</v>
      </c>
      <c r="F1522" s="9"/>
      <c r="G1522" s="14" t="str">
        <f t="shared" si="61"/>
        <v>O</v>
      </c>
      <c r="H1522" s="15">
        <f t="shared" si="60"/>
        <v>4.7149999999999999</v>
      </c>
      <c r="L1522" s="35"/>
    </row>
    <row r="1523" spans="1:12" x14ac:dyDescent="0.3">
      <c r="A1523" s="23">
        <f>COUNTIFS($B$2:B1523,B1523)</f>
        <v>5</v>
      </c>
      <c r="B1523" s="45" t="s">
        <v>603</v>
      </c>
      <c r="C1523" s="46">
        <v>20060368076646</v>
      </c>
      <c r="D1523" s="45" t="s">
        <v>114</v>
      </c>
      <c r="E1523" s="47">
        <v>1.88</v>
      </c>
      <c r="F1523" s="9"/>
      <c r="G1523" s="14" t="str">
        <f t="shared" si="61"/>
        <v>O</v>
      </c>
      <c r="H1523" s="15">
        <f t="shared" si="60"/>
        <v>0.94</v>
      </c>
      <c r="L1523" s="35"/>
    </row>
    <row r="1524" spans="1:12" x14ac:dyDescent="0.3">
      <c r="A1524" s="23">
        <f>COUNTIFS($B$2:B1524,B1524)</f>
        <v>6</v>
      </c>
      <c r="B1524" s="45" t="s">
        <v>603</v>
      </c>
      <c r="C1524" s="46">
        <v>20060368076646</v>
      </c>
      <c r="D1524" s="45" t="s">
        <v>206</v>
      </c>
      <c r="E1524" s="47">
        <v>31.31</v>
      </c>
      <c r="F1524" s="9"/>
      <c r="G1524" s="14" t="str">
        <f t="shared" si="61"/>
        <v>O</v>
      </c>
      <c r="H1524" s="15">
        <f t="shared" si="60"/>
        <v>15.654999999999999</v>
      </c>
      <c r="L1524" s="35"/>
    </row>
    <row r="1525" spans="1:12" x14ac:dyDescent="0.3">
      <c r="A1525" s="23">
        <f>COUNTIFS($B$2:B1525,B1525)</f>
        <v>7</v>
      </c>
      <c r="B1525" s="45" t="s">
        <v>603</v>
      </c>
      <c r="C1525" s="46">
        <v>20060368076646</v>
      </c>
      <c r="D1525" s="45" t="s">
        <v>548</v>
      </c>
      <c r="E1525" s="47">
        <v>0.15</v>
      </c>
      <c r="F1525" s="9"/>
      <c r="G1525" s="14" t="str">
        <f t="shared" si="61"/>
        <v>O</v>
      </c>
      <c r="H1525" s="15">
        <f t="shared" ref="H1525:H1588" si="62">E1525/2</f>
        <v>7.4999999999999997E-2</v>
      </c>
      <c r="L1525" s="35"/>
    </row>
    <row r="1526" spans="1:12" x14ac:dyDescent="0.3">
      <c r="A1526" s="23">
        <v>8</v>
      </c>
      <c r="B1526" s="45" t="s">
        <v>603</v>
      </c>
      <c r="C1526" s="46">
        <v>20060368076646</v>
      </c>
      <c r="D1526" s="45" t="s">
        <v>280</v>
      </c>
      <c r="E1526" s="47">
        <v>34.32</v>
      </c>
      <c r="F1526" s="9"/>
      <c r="G1526" s="14" t="str">
        <f t="shared" si="61"/>
        <v>O</v>
      </c>
      <c r="H1526" s="15">
        <f t="shared" si="62"/>
        <v>17.16</v>
      </c>
      <c r="L1526" s="35"/>
    </row>
    <row r="1527" spans="1:12" x14ac:dyDescent="0.3">
      <c r="A1527" s="19">
        <v>1</v>
      </c>
      <c r="B1527" s="20" t="s">
        <v>604</v>
      </c>
      <c r="C1527" s="21">
        <v>20060368076741</v>
      </c>
      <c r="D1527" s="20" t="s">
        <v>210</v>
      </c>
      <c r="E1527" s="22">
        <v>15.08</v>
      </c>
      <c r="F1527" s="9"/>
      <c r="G1527" s="14" t="str">
        <f t="shared" si="61"/>
        <v>O</v>
      </c>
      <c r="H1527" s="15">
        <f t="shared" si="62"/>
        <v>7.54</v>
      </c>
      <c r="L1527" s="35"/>
    </row>
    <row r="1528" spans="1:12" x14ac:dyDescent="0.3">
      <c r="A1528" s="19">
        <v>2</v>
      </c>
      <c r="B1528" s="20" t="s">
        <v>604</v>
      </c>
      <c r="C1528" s="21">
        <v>20060368076741</v>
      </c>
      <c r="D1528" s="20" t="s">
        <v>213</v>
      </c>
      <c r="E1528" s="22">
        <v>27.53</v>
      </c>
      <c r="F1528" s="9"/>
      <c r="G1528" s="14" t="str">
        <f t="shared" si="61"/>
        <v>O</v>
      </c>
      <c r="H1528" s="15">
        <f t="shared" si="62"/>
        <v>13.765000000000001</v>
      </c>
      <c r="L1528" s="35"/>
    </row>
    <row r="1529" spans="1:12" x14ac:dyDescent="0.3">
      <c r="A1529" s="19">
        <v>3</v>
      </c>
      <c r="B1529" s="20" t="s">
        <v>604</v>
      </c>
      <c r="C1529" s="21">
        <v>20060368076741</v>
      </c>
      <c r="D1529" s="20" t="s">
        <v>222</v>
      </c>
      <c r="E1529" s="22">
        <v>0.15</v>
      </c>
      <c r="F1529" s="9"/>
      <c r="G1529" s="14" t="str">
        <f t="shared" si="61"/>
        <v>O</v>
      </c>
      <c r="H1529" s="15">
        <f t="shared" si="62"/>
        <v>7.4999999999999997E-2</v>
      </c>
      <c r="L1529" s="35"/>
    </row>
    <row r="1530" spans="1:12" x14ac:dyDescent="0.3">
      <c r="A1530" s="19">
        <v>4</v>
      </c>
      <c r="B1530" s="20" t="s">
        <v>604</v>
      </c>
      <c r="C1530" s="21">
        <v>20060368076741</v>
      </c>
      <c r="D1530" s="20" t="s">
        <v>263</v>
      </c>
      <c r="E1530" s="22">
        <v>9.43</v>
      </c>
      <c r="F1530" s="9"/>
      <c r="G1530" s="14" t="str">
        <f t="shared" si="61"/>
        <v>O</v>
      </c>
      <c r="H1530" s="15">
        <f t="shared" si="62"/>
        <v>4.7149999999999999</v>
      </c>
      <c r="L1530" s="35"/>
    </row>
    <row r="1531" spans="1:12" x14ac:dyDescent="0.3">
      <c r="A1531" s="19">
        <v>5</v>
      </c>
      <c r="B1531" s="20" t="s">
        <v>604</v>
      </c>
      <c r="C1531" s="21">
        <v>20060368076741</v>
      </c>
      <c r="D1531" s="20" t="s">
        <v>114</v>
      </c>
      <c r="E1531" s="22">
        <v>1.88</v>
      </c>
      <c r="F1531" s="9"/>
      <c r="G1531" s="14" t="str">
        <f t="shared" si="61"/>
        <v>O</v>
      </c>
      <c r="H1531" s="15">
        <f t="shared" si="62"/>
        <v>0.94</v>
      </c>
      <c r="L1531" s="35"/>
    </row>
    <row r="1532" spans="1:12" x14ac:dyDescent="0.3">
      <c r="A1532" s="19">
        <v>6</v>
      </c>
      <c r="B1532" s="20" t="s">
        <v>604</v>
      </c>
      <c r="C1532" s="21">
        <v>20060368076741</v>
      </c>
      <c r="D1532" s="20" t="s">
        <v>206</v>
      </c>
      <c r="E1532" s="22">
        <v>31.31</v>
      </c>
      <c r="F1532" s="9"/>
      <c r="G1532" s="14" t="str">
        <f t="shared" si="61"/>
        <v>O</v>
      </c>
      <c r="H1532" s="15">
        <f t="shared" si="62"/>
        <v>15.654999999999999</v>
      </c>
      <c r="L1532" s="35"/>
    </row>
    <row r="1533" spans="1:12" x14ac:dyDescent="0.3">
      <c r="A1533" s="19">
        <v>7</v>
      </c>
      <c r="B1533" s="20" t="s">
        <v>604</v>
      </c>
      <c r="C1533" s="21">
        <v>20060368076741</v>
      </c>
      <c r="D1533" s="20" t="s">
        <v>548</v>
      </c>
      <c r="E1533" s="22">
        <v>0.15</v>
      </c>
      <c r="F1533" s="9"/>
      <c r="G1533" s="14" t="str">
        <f t="shared" si="61"/>
        <v>O</v>
      </c>
      <c r="H1533" s="15">
        <f t="shared" si="62"/>
        <v>7.4999999999999997E-2</v>
      </c>
      <c r="L1533" s="35"/>
    </row>
    <row r="1534" spans="1:12" x14ac:dyDescent="0.3">
      <c r="A1534" s="19">
        <v>8</v>
      </c>
      <c r="B1534" s="20" t="s">
        <v>604</v>
      </c>
      <c r="C1534" s="21">
        <v>20060368076741</v>
      </c>
      <c r="D1534" s="20" t="s">
        <v>280</v>
      </c>
      <c r="E1534" s="22">
        <v>34.32</v>
      </c>
      <c r="F1534" s="9"/>
      <c r="G1534" s="14" t="str">
        <f t="shared" si="61"/>
        <v>O</v>
      </c>
      <c r="H1534" s="15">
        <f t="shared" si="62"/>
        <v>17.16</v>
      </c>
      <c r="L1534" s="35"/>
    </row>
    <row r="1535" spans="1:12" x14ac:dyDescent="0.3">
      <c r="A1535" s="23">
        <f>COUNTIFS($B$2:B1535,B1535)</f>
        <v>1</v>
      </c>
      <c r="B1535" s="45" t="s">
        <v>363</v>
      </c>
      <c r="C1535" s="46">
        <v>20060368076647</v>
      </c>
      <c r="D1535" s="45" t="s">
        <v>210</v>
      </c>
      <c r="E1535" s="47">
        <v>27.76</v>
      </c>
      <c r="F1535" s="9"/>
      <c r="G1535" s="14" t="str">
        <f t="shared" si="61"/>
        <v>O</v>
      </c>
      <c r="H1535" s="15">
        <f t="shared" si="62"/>
        <v>13.88</v>
      </c>
      <c r="L1535" s="35"/>
    </row>
    <row r="1536" spans="1:12" x14ac:dyDescent="0.3">
      <c r="A1536" s="23">
        <f>COUNTIFS($B$2:B1536,B1536)</f>
        <v>2</v>
      </c>
      <c r="B1536" s="45" t="s">
        <v>363</v>
      </c>
      <c r="C1536" s="46">
        <v>20060368076647</v>
      </c>
      <c r="D1536" s="45" t="s">
        <v>213</v>
      </c>
      <c r="E1536" s="47">
        <v>50.67</v>
      </c>
      <c r="F1536" s="9"/>
      <c r="G1536" s="14" t="str">
        <f t="shared" si="61"/>
        <v>O</v>
      </c>
      <c r="H1536" s="15">
        <f t="shared" si="62"/>
        <v>25.335000000000001</v>
      </c>
      <c r="L1536" s="35"/>
    </row>
    <row r="1537" spans="1:12" x14ac:dyDescent="0.3">
      <c r="A1537" s="23">
        <f>COUNTIFS($B$2:B1537,B1537)</f>
        <v>3</v>
      </c>
      <c r="B1537" s="45" t="s">
        <v>363</v>
      </c>
      <c r="C1537" s="46">
        <v>20060368076647</v>
      </c>
      <c r="D1537" s="45" t="s">
        <v>263</v>
      </c>
      <c r="E1537" s="47">
        <v>17.350000000000001</v>
      </c>
      <c r="F1537" s="9"/>
      <c r="G1537" s="14" t="str">
        <f t="shared" si="61"/>
        <v>O</v>
      </c>
      <c r="H1537" s="15">
        <f t="shared" si="62"/>
        <v>8.6750000000000007</v>
      </c>
      <c r="L1537" s="35"/>
    </row>
    <row r="1538" spans="1:12" x14ac:dyDescent="0.3">
      <c r="A1538" s="23">
        <f>COUNTIFS($B$2:B1538,B1538)</f>
        <v>4</v>
      </c>
      <c r="B1538" s="45" t="s">
        <v>363</v>
      </c>
      <c r="C1538" s="46">
        <v>20060368076647</v>
      </c>
      <c r="D1538" s="45" t="s">
        <v>547</v>
      </c>
      <c r="E1538" s="47">
        <v>51.36</v>
      </c>
      <c r="F1538" s="9"/>
      <c r="G1538" s="14" t="str">
        <f t="shared" si="61"/>
        <v>O</v>
      </c>
      <c r="H1538" s="15">
        <f t="shared" si="62"/>
        <v>25.68</v>
      </c>
      <c r="L1538" s="35"/>
    </row>
    <row r="1539" spans="1:12" x14ac:dyDescent="0.3">
      <c r="A1539" s="23">
        <f>COUNTIFS($B$2:B1539,B1539)</f>
        <v>5</v>
      </c>
      <c r="B1539" s="45" t="s">
        <v>363</v>
      </c>
      <c r="C1539" s="46">
        <v>20060368076647</v>
      </c>
      <c r="D1539" s="45" t="s">
        <v>222</v>
      </c>
      <c r="E1539" s="47">
        <v>0.41</v>
      </c>
      <c r="F1539" s="9"/>
      <c r="G1539" s="14" t="str">
        <f t="shared" si="61"/>
        <v>O</v>
      </c>
      <c r="H1539" s="15">
        <f t="shared" si="62"/>
        <v>0.20499999999999999</v>
      </c>
      <c r="L1539" s="35"/>
    </row>
    <row r="1540" spans="1:12" x14ac:dyDescent="0.3">
      <c r="A1540" s="23">
        <f>COUNTIFS($B$2:B1540,B1540)</f>
        <v>6</v>
      </c>
      <c r="B1540" s="45" t="s">
        <v>363</v>
      </c>
      <c r="C1540" s="46">
        <v>20060368076647</v>
      </c>
      <c r="D1540" s="45" t="s">
        <v>132</v>
      </c>
      <c r="E1540" s="47">
        <v>1.38</v>
      </c>
      <c r="F1540" s="9"/>
      <c r="G1540" s="14" t="str">
        <f t="shared" si="61"/>
        <v>O</v>
      </c>
      <c r="H1540" s="15">
        <f t="shared" si="62"/>
        <v>0.69</v>
      </c>
      <c r="L1540" s="35"/>
    </row>
    <row r="1541" spans="1:12" x14ac:dyDescent="0.3">
      <c r="A1541" s="23">
        <f>COUNTIFS($B$2:B1541,B1541)</f>
        <v>7</v>
      </c>
      <c r="B1541" s="45" t="s">
        <v>363</v>
      </c>
      <c r="C1541" s="46">
        <v>20060368076647</v>
      </c>
      <c r="D1541" s="45" t="s">
        <v>548</v>
      </c>
      <c r="E1541" s="47">
        <v>0.27</v>
      </c>
      <c r="F1541" s="9"/>
      <c r="G1541" s="14" t="str">
        <f t="shared" si="61"/>
        <v>O</v>
      </c>
      <c r="H1541" s="15">
        <f t="shared" si="62"/>
        <v>0.13500000000000001</v>
      </c>
      <c r="L1541" s="35"/>
    </row>
    <row r="1542" spans="1:12" x14ac:dyDescent="0.3">
      <c r="A1542" s="23">
        <f>COUNTIFS($B$2:B1542,B1542)</f>
        <v>8</v>
      </c>
      <c r="B1542" s="45" t="s">
        <v>363</v>
      </c>
      <c r="C1542" s="46">
        <v>20060368076647</v>
      </c>
      <c r="D1542" s="45" t="s">
        <v>549</v>
      </c>
      <c r="E1542" s="47">
        <v>63.16</v>
      </c>
      <c r="F1542" s="9"/>
      <c r="G1542" s="14" t="str">
        <f t="shared" si="61"/>
        <v>O</v>
      </c>
      <c r="H1542" s="15">
        <f t="shared" si="62"/>
        <v>31.58</v>
      </c>
      <c r="L1542" s="35"/>
    </row>
    <row r="1543" spans="1:12" x14ac:dyDescent="0.3">
      <c r="A1543" s="23">
        <f>COUNTIFS($B$2:B1543,B1543)</f>
        <v>9</v>
      </c>
      <c r="B1543" s="45" t="s">
        <v>363</v>
      </c>
      <c r="C1543" s="46">
        <v>20060368076647</v>
      </c>
      <c r="D1543" s="45" t="s">
        <v>114</v>
      </c>
      <c r="E1543" s="47">
        <v>3.47</v>
      </c>
      <c r="F1543" s="9"/>
      <c r="G1543" s="14" t="str">
        <f t="shared" si="61"/>
        <v>O</v>
      </c>
      <c r="H1543" s="15">
        <f t="shared" si="62"/>
        <v>1.7350000000000001</v>
      </c>
      <c r="L1543" s="35"/>
    </row>
    <row r="1544" spans="1:12" x14ac:dyDescent="0.3">
      <c r="A1544" s="23">
        <f>COUNTIFS($B$2:B1544,B1544)</f>
        <v>1</v>
      </c>
      <c r="B1544" s="45" t="s">
        <v>605</v>
      </c>
      <c r="C1544" s="46">
        <v>20060368076647</v>
      </c>
      <c r="D1544" s="45" t="s">
        <v>210</v>
      </c>
      <c r="E1544" s="47">
        <v>15.42</v>
      </c>
      <c r="F1544" s="9"/>
      <c r="G1544" s="14" t="str">
        <f t="shared" si="61"/>
        <v>O</v>
      </c>
      <c r="H1544" s="15">
        <f t="shared" si="62"/>
        <v>7.71</v>
      </c>
      <c r="L1544" s="35"/>
    </row>
    <row r="1545" spans="1:12" x14ac:dyDescent="0.3">
      <c r="A1545" s="23">
        <f>COUNTIFS($B$2:B1545,B1545)</f>
        <v>2</v>
      </c>
      <c r="B1545" s="45" t="s">
        <v>605</v>
      </c>
      <c r="C1545" s="46">
        <v>20060368076647</v>
      </c>
      <c r="D1545" s="45" t="s">
        <v>213</v>
      </c>
      <c r="E1545" s="47">
        <v>28.15</v>
      </c>
      <c r="F1545" s="9"/>
      <c r="G1545" s="14" t="str">
        <f t="shared" si="61"/>
        <v>O</v>
      </c>
      <c r="H1545" s="15">
        <f t="shared" si="62"/>
        <v>14.074999999999999</v>
      </c>
      <c r="L1545" s="35"/>
    </row>
    <row r="1546" spans="1:12" x14ac:dyDescent="0.3">
      <c r="A1546" s="23">
        <f>COUNTIFS($B$2:B1546,B1546)</f>
        <v>3</v>
      </c>
      <c r="B1546" s="45" t="s">
        <v>605</v>
      </c>
      <c r="C1546" s="46">
        <v>20060368076647</v>
      </c>
      <c r="D1546" s="45" t="s">
        <v>263</v>
      </c>
      <c r="E1546" s="47">
        <v>9.64</v>
      </c>
      <c r="F1546" s="9"/>
      <c r="G1546" s="14" t="str">
        <f t="shared" si="61"/>
        <v>O</v>
      </c>
      <c r="H1546" s="15">
        <f t="shared" si="62"/>
        <v>4.82</v>
      </c>
      <c r="L1546" s="35"/>
    </row>
    <row r="1547" spans="1:12" x14ac:dyDescent="0.3">
      <c r="A1547" s="23">
        <f>COUNTIFS($B$2:B1547,B1547)</f>
        <v>4</v>
      </c>
      <c r="B1547" s="45" t="s">
        <v>605</v>
      </c>
      <c r="C1547" s="46">
        <v>20060368076647</v>
      </c>
      <c r="D1547" s="45" t="s">
        <v>547</v>
      </c>
      <c r="E1547" s="47">
        <v>28.53</v>
      </c>
      <c r="F1547" s="9"/>
      <c r="G1547" s="14" t="str">
        <f t="shared" si="61"/>
        <v>O</v>
      </c>
      <c r="H1547" s="15">
        <f t="shared" si="62"/>
        <v>14.265000000000001</v>
      </c>
      <c r="L1547" s="35"/>
    </row>
    <row r="1548" spans="1:12" x14ac:dyDescent="0.3">
      <c r="A1548" s="23">
        <f>COUNTIFS($B$2:B1548,B1548)</f>
        <v>5</v>
      </c>
      <c r="B1548" s="45" t="s">
        <v>605</v>
      </c>
      <c r="C1548" s="46">
        <v>20060368076647</v>
      </c>
      <c r="D1548" s="45" t="s">
        <v>222</v>
      </c>
      <c r="E1548" s="47">
        <v>0.23</v>
      </c>
      <c r="F1548" s="9"/>
      <c r="G1548" s="14" t="str">
        <f t="shared" si="61"/>
        <v>O</v>
      </c>
      <c r="H1548" s="15">
        <f t="shared" si="62"/>
        <v>0.115</v>
      </c>
      <c r="L1548" s="35"/>
    </row>
    <row r="1549" spans="1:12" x14ac:dyDescent="0.3">
      <c r="A1549" s="23">
        <f>COUNTIFS($B$2:B1549,B1549)</f>
        <v>6</v>
      </c>
      <c r="B1549" s="45" t="s">
        <v>605</v>
      </c>
      <c r="C1549" s="46">
        <v>20060368076647</v>
      </c>
      <c r="D1549" s="45" t="s">
        <v>132</v>
      </c>
      <c r="E1549" s="47">
        <v>0.77</v>
      </c>
      <c r="F1549" s="9"/>
      <c r="G1549" s="14" t="str">
        <f t="shared" si="61"/>
        <v>O</v>
      </c>
      <c r="H1549" s="15">
        <f t="shared" si="62"/>
        <v>0.38500000000000001</v>
      </c>
      <c r="L1549" s="35"/>
    </row>
    <row r="1550" spans="1:12" x14ac:dyDescent="0.3">
      <c r="A1550" s="23">
        <f>COUNTIFS($B$2:B1550,B1550)</f>
        <v>7</v>
      </c>
      <c r="B1550" s="45" t="s">
        <v>605</v>
      </c>
      <c r="C1550" s="46">
        <v>20060368076647</v>
      </c>
      <c r="D1550" s="45" t="s">
        <v>548</v>
      </c>
      <c r="E1550" s="47">
        <v>0.15</v>
      </c>
      <c r="F1550" s="9"/>
      <c r="G1550" s="14" t="str">
        <f t="shared" si="61"/>
        <v>O</v>
      </c>
      <c r="H1550" s="15">
        <f t="shared" si="62"/>
        <v>7.4999999999999997E-2</v>
      </c>
      <c r="L1550" s="35"/>
    </row>
    <row r="1551" spans="1:12" x14ac:dyDescent="0.3">
      <c r="A1551" s="23">
        <f>COUNTIFS($B$2:B1551,B1551)</f>
        <v>8</v>
      </c>
      <c r="B1551" s="45" t="s">
        <v>605</v>
      </c>
      <c r="C1551" s="46">
        <v>20060368076647</v>
      </c>
      <c r="D1551" s="45" t="s">
        <v>549</v>
      </c>
      <c r="E1551" s="47">
        <v>35.090000000000003</v>
      </c>
      <c r="F1551" s="9"/>
      <c r="G1551" s="14" t="str">
        <f t="shared" si="61"/>
        <v>O</v>
      </c>
      <c r="H1551" s="15">
        <f t="shared" si="62"/>
        <v>17.545000000000002</v>
      </c>
      <c r="L1551" s="35"/>
    </row>
    <row r="1552" spans="1:12" x14ac:dyDescent="0.3">
      <c r="A1552" s="23">
        <f>COUNTIFS($B$2:B1552,B1552)</f>
        <v>9</v>
      </c>
      <c r="B1552" s="45" t="s">
        <v>605</v>
      </c>
      <c r="C1552" s="46">
        <v>20060368076647</v>
      </c>
      <c r="D1552" s="45" t="s">
        <v>114</v>
      </c>
      <c r="E1552" s="47">
        <v>1.92</v>
      </c>
      <c r="F1552" s="9"/>
      <c r="G1552" s="14" t="str">
        <f t="shared" si="61"/>
        <v>O</v>
      </c>
      <c r="H1552" s="15">
        <f t="shared" si="62"/>
        <v>0.96</v>
      </c>
      <c r="L1552" s="35"/>
    </row>
    <row r="1553" spans="1:12" x14ac:dyDescent="0.3">
      <c r="A1553" s="23">
        <f>COUNTIFS($B$2:B1553,B1553)</f>
        <v>1</v>
      </c>
      <c r="B1553" s="45" t="s">
        <v>606</v>
      </c>
      <c r="C1553" s="46">
        <v>20060368076648</v>
      </c>
      <c r="D1553" s="45" t="s">
        <v>210</v>
      </c>
      <c r="E1553" s="47">
        <v>28.58</v>
      </c>
      <c r="F1553" s="9"/>
      <c r="G1553" s="14" t="str">
        <f t="shared" si="61"/>
        <v>O</v>
      </c>
      <c r="H1553" s="15">
        <f t="shared" si="62"/>
        <v>14.29</v>
      </c>
      <c r="L1553" s="35"/>
    </row>
    <row r="1554" spans="1:12" x14ac:dyDescent="0.3">
      <c r="A1554" s="23">
        <f>COUNTIFS($B$2:B1554,B1554)</f>
        <v>2</v>
      </c>
      <c r="B1554" s="45" t="s">
        <v>606</v>
      </c>
      <c r="C1554" s="46">
        <v>20060368076648</v>
      </c>
      <c r="D1554" s="45" t="s">
        <v>157</v>
      </c>
      <c r="E1554" s="47">
        <v>24.5</v>
      </c>
      <c r="F1554" s="9"/>
      <c r="G1554" s="14" t="str">
        <f t="shared" si="61"/>
        <v>O</v>
      </c>
      <c r="H1554" s="15">
        <f t="shared" si="62"/>
        <v>12.25</v>
      </c>
      <c r="L1554" s="35"/>
    </row>
    <row r="1555" spans="1:12" x14ac:dyDescent="0.3">
      <c r="A1555" s="23">
        <f>COUNTIFS($B$2:B1555,B1555)</f>
        <v>3</v>
      </c>
      <c r="B1555" s="45" t="s">
        <v>606</v>
      </c>
      <c r="C1555" s="46">
        <v>20060368076648</v>
      </c>
      <c r="D1555" s="45" t="s">
        <v>263</v>
      </c>
      <c r="E1555" s="47">
        <v>4.9000000000000004</v>
      </c>
      <c r="F1555" s="9"/>
      <c r="G1555" s="14" t="str">
        <f t="shared" si="61"/>
        <v>O</v>
      </c>
      <c r="H1555" s="15">
        <f t="shared" si="62"/>
        <v>2.4500000000000002</v>
      </c>
      <c r="L1555" s="35"/>
    </row>
    <row r="1556" spans="1:12" x14ac:dyDescent="0.3">
      <c r="A1556" s="23">
        <f>COUNTIFS($B$2:B1556,B1556)</f>
        <v>4</v>
      </c>
      <c r="B1556" s="45" t="s">
        <v>606</v>
      </c>
      <c r="C1556" s="46">
        <v>20060368076648</v>
      </c>
      <c r="D1556" s="45" t="s">
        <v>21</v>
      </c>
      <c r="E1556" s="47">
        <v>5.72</v>
      </c>
      <c r="F1556" s="9"/>
      <c r="G1556" s="14" t="str">
        <f t="shared" si="61"/>
        <v>O</v>
      </c>
      <c r="H1556" s="15">
        <f t="shared" si="62"/>
        <v>2.86</v>
      </c>
      <c r="L1556" s="35"/>
    </row>
    <row r="1557" spans="1:12" x14ac:dyDescent="0.3">
      <c r="A1557" s="23">
        <f>COUNTIFS($B$2:B1557,B1557)</f>
        <v>5</v>
      </c>
      <c r="B1557" s="45" t="s">
        <v>606</v>
      </c>
      <c r="C1557" s="46">
        <v>20060368076648</v>
      </c>
      <c r="D1557" s="45" t="s">
        <v>206</v>
      </c>
      <c r="E1557" s="47">
        <v>40.83</v>
      </c>
      <c r="F1557" s="9"/>
      <c r="G1557" s="14" t="str">
        <f t="shared" si="61"/>
        <v>O</v>
      </c>
      <c r="H1557" s="15">
        <f t="shared" si="62"/>
        <v>20.414999999999999</v>
      </c>
      <c r="L1557" s="35"/>
    </row>
    <row r="1558" spans="1:12" x14ac:dyDescent="0.3">
      <c r="A1558" s="23">
        <f>COUNTIFS($B$2:B1558,B1558)</f>
        <v>6</v>
      </c>
      <c r="B1558" s="45" t="s">
        <v>606</v>
      </c>
      <c r="C1558" s="46">
        <v>20060368076648</v>
      </c>
      <c r="D1558" s="45" t="s">
        <v>185</v>
      </c>
      <c r="E1558" s="47">
        <v>4.2</v>
      </c>
      <c r="F1558" s="9"/>
      <c r="G1558" s="14" t="str">
        <f t="shared" si="61"/>
        <v>O</v>
      </c>
      <c r="H1558" s="15">
        <f t="shared" si="62"/>
        <v>2.1</v>
      </c>
      <c r="L1558" s="35"/>
    </row>
    <row r="1559" spans="1:12" x14ac:dyDescent="0.3">
      <c r="A1559" s="23">
        <f>COUNTIFS($B$2:B1559,B1559)</f>
        <v>7</v>
      </c>
      <c r="B1559" s="45" t="s">
        <v>606</v>
      </c>
      <c r="C1559" s="46">
        <v>20060368076648</v>
      </c>
      <c r="D1559" s="45" t="s">
        <v>222</v>
      </c>
      <c r="E1559" s="47">
        <v>0.31</v>
      </c>
      <c r="F1559" s="9"/>
      <c r="G1559" s="14" t="str">
        <f t="shared" ref="G1559:G1614" si="63">IF(D1559="","",IF(COUNTIF(I:I,D1559)&gt;0,"O","X"))</f>
        <v>O</v>
      </c>
      <c r="H1559" s="15">
        <f t="shared" si="62"/>
        <v>0.155</v>
      </c>
      <c r="L1559" s="35"/>
    </row>
    <row r="1560" spans="1:12" x14ac:dyDescent="0.3">
      <c r="A1560" s="23">
        <f>COUNTIFS($B$2:B1560,B1560)</f>
        <v>8</v>
      </c>
      <c r="B1560" s="45" t="s">
        <v>606</v>
      </c>
      <c r="C1560" s="46">
        <v>20060368076648</v>
      </c>
      <c r="D1560" s="45" t="s">
        <v>41</v>
      </c>
      <c r="E1560" s="47">
        <v>3.36</v>
      </c>
      <c r="F1560" s="9"/>
      <c r="G1560" s="14" t="str">
        <f t="shared" si="63"/>
        <v>O</v>
      </c>
      <c r="H1560" s="15">
        <f t="shared" si="62"/>
        <v>1.68</v>
      </c>
      <c r="L1560" s="35"/>
    </row>
    <row r="1561" spans="1:12" x14ac:dyDescent="0.3">
      <c r="A1561" s="23">
        <f>COUNTIFS($B$2:B1561,B1561)</f>
        <v>9</v>
      </c>
      <c r="B1561" s="45" t="s">
        <v>606</v>
      </c>
      <c r="C1561" s="46">
        <v>20060368076648</v>
      </c>
      <c r="D1561" s="45" t="s">
        <v>21</v>
      </c>
      <c r="E1561" s="47">
        <v>5.6</v>
      </c>
      <c r="F1561" s="9"/>
      <c r="G1561" s="14" t="str">
        <f t="shared" si="63"/>
        <v>O</v>
      </c>
      <c r="H1561" s="15">
        <f t="shared" si="62"/>
        <v>2.8</v>
      </c>
      <c r="L1561" s="35"/>
    </row>
    <row r="1562" spans="1:12" x14ac:dyDescent="0.3">
      <c r="A1562" s="23">
        <f>COUNTIFS($B$2:B1562,B1562)</f>
        <v>1</v>
      </c>
      <c r="B1562" s="45" t="s">
        <v>369</v>
      </c>
      <c r="C1562" s="46">
        <v>20060368076648</v>
      </c>
      <c r="D1562" s="45" t="s">
        <v>210</v>
      </c>
      <c r="E1562" s="47">
        <v>51.45</v>
      </c>
      <c r="F1562" s="9"/>
      <c r="G1562" s="14" t="str">
        <f t="shared" si="63"/>
        <v>O</v>
      </c>
      <c r="H1562" s="15">
        <f t="shared" si="62"/>
        <v>25.725000000000001</v>
      </c>
      <c r="L1562" s="35"/>
    </row>
    <row r="1563" spans="1:12" x14ac:dyDescent="0.3">
      <c r="A1563" s="23">
        <f>COUNTIFS($B$2:B1563,B1563)</f>
        <v>2</v>
      </c>
      <c r="B1563" s="45" t="s">
        <v>369</v>
      </c>
      <c r="C1563" s="46">
        <v>20060368076648</v>
      </c>
      <c r="D1563" s="45" t="s">
        <v>157</v>
      </c>
      <c r="E1563" s="47">
        <v>44.1</v>
      </c>
      <c r="F1563" s="9"/>
      <c r="G1563" s="14" t="str">
        <f t="shared" si="63"/>
        <v>O</v>
      </c>
      <c r="H1563" s="15">
        <f t="shared" si="62"/>
        <v>22.05</v>
      </c>
      <c r="L1563" s="35"/>
    </row>
    <row r="1564" spans="1:12" x14ac:dyDescent="0.3">
      <c r="A1564" s="23">
        <f>COUNTIFS($B$2:B1564,B1564)</f>
        <v>3</v>
      </c>
      <c r="B1564" s="45" t="s">
        <v>369</v>
      </c>
      <c r="C1564" s="46">
        <v>20060368076648</v>
      </c>
      <c r="D1564" s="45" t="s">
        <v>263</v>
      </c>
      <c r="E1564" s="47">
        <v>8.82</v>
      </c>
      <c r="F1564" s="9"/>
      <c r="G1564" s="14" t="str">
        <f t="shared" si="63"/>
        <v>O</v>
      </c>
      <c r="H1564" s="15">
        <f t="shared" si="62"/>
        <v>4.41</v>
      </c>
      <c r="L1564" s="35"/>
    </row>
    <row r="1565" spans="1:12" x14ac:dyDescent="0.3">
      <c r="A1565" s="23">
        <f>COUNTIFS($B$2:B1565,B1565)</f>
        <v>4</v>
      </c>
      <c r="B1565" s="45" t="s">
        <v>369</v>
      </c>
      <c r="C1565" s="46">
        <v>20060368076648</v>
      </c>
      <c r="D1565" s="45" t="s">
        <v>21</v>
      </c>
      <c r="E1565" s="47">
        <v>10.29</v>
      </c>
      <c r="F1565" s="9"/>
      <c r="G1565" s="14" t="str">
        <f t="shared" si="63"/>
        <v>O</v>
      </c>
      <c r="H1565" s="15">
        <f t="shared" si="62"/>
        <v>5.1449999999999996</v>
      </c>
      <c r="L1565" s="35"/>
    </row>
    <row r="1566" spans="1:12" x14ac:dyDescent="0.3">
      <c r="A1566" s="23">
        <f>COUNTIFS($B$2:B1566,B1566)</f>
        <v>5</v>
      </c>
      <c r="B1566" s="45" t="s">
        <v>369</v>
      </c>
      <c r="C1566" s="46">
        <v>20060368076648</v>
      </c>
      <c r="D1566" s="45" t="s">
        <v>206</v>
      </c>
      <c r="E1566" s="47">
        <v>73.5</v>
      </c>
      <c r="F1566" s="9"/>
      <c r="G1566" s="14" t="str">
        <f t="shared" si="63"/>
        <v>O</v>
      </c>
      <c r="H1566" s="15">
        <f t="shared" si="62"/>
        <v>36.75</v>
      </c>
      <c r="L1566" s="35"/>
    </row>
    <row r="1567" spans="1:12" x14ac:dyDescent="0.3">
      <c r="A1567" s="23">
        <f>COUNTIFS($B$2:B1567,B1567)</f>
        <v>6</v>
      </c>
      <c r="B1567" s="45" t="s">
        <v>369</v>
      </c>
      <c r="C1567" s="46">
        <v>20060368076648</v>
      </c>
      <c r="D1567" s="45" t="s">
        <v>185</v>
      </c>
      <c r="E1567" s="47">
        <v>7.56</v>
      </c>
      <c r="F1567" s="9"/>
      <c r="G1567" s="14" t="str">
        <f t="shared" si="63"/>
        <v>O</v>
      </c>
      <c r="H1567" s="15">
        <f t="shared" si="62"/>
        <v>3.78</v>
      </c>
      <c r="L1567" s="35"/>
    </row>
    <row r="1568" spans="1:12" x14ac:dyDescent="0.3">
      <c r="A1568" s="23">
        <f>COUNTIFS($B$2:B1568,B1568)</f>
        <v>7</v>
      </c>
      <c r="B1568" s="45" t="s">
        <v>369</v>
      </c>
      <c r="C1568" s="46">
        <v>20060368076648</v>
      </c>
      <c r="D1568" s="45" t="s">
        <v>222</v>
      </c>
      <c r="E1568" s="47">
        <v>0.55000000000000004</v>
      </c>
      <c r="F1568" s="9"/>
      <c r="G1568" s="14" t="str">
        <f t="shared" si="63"/>
        <v>O</v>
      </c>
      <c r="H1568" s="15">
        <f t="shared" si="62"/>
        <v>0.27500000000000002</v>
      </c>
      <c r="L1568" s="35"/>
    </row>
    <row r="1569" spans="1:12" x14ac:dyDescent="0.3">
      <c r="A1569" s="23">
        <f>COUNTIFS($B$2:B1569,B1569)</f>
        <v>8</v>
      </c>
      <c r="B1569" s="45" t="s">
        <v>369</v>
      </c>
      <c r="C1569" s="46">
        <v>20060368076648</v>
      </c>
      <c r="D1569" s="45" t="s">
        <v>41</v>
      </c>
      <c r="E1569" s="47">
        <v>6.05</v>
      </c>
      <c r="F1569" s="9"/>
      <c r="G1569" s="14" t="str">
        <f t="shared" si="63"/>
        <v>O</v>
      </c>
      <c r="H1569" s="15">
        <f t="shared" si="62"/>
        <v>3.0249999999999999</v>
      </c>
      <c r="L1569" s="35"/>
    </row>
    <row r="1570" spans="1:12" x14ac:dyDescent="0.3">
      <c r="A1570" s="23">
        <f>COUNTIFS($B$2:B1570,B1570)</f>
        <v>9</v>
      </c>
      <c r="B1570" s="45" t="s">
        <v>369</v>
      </c>
      <c r="C1570" s="46">
        <v>20060368076648</v>
      </c>
      <c r="D1570" s="45" t="s">
        <v>21</v>
      </c>
      <c r="E1570" s="47">
        <v>10.08</v>
      </c>
      <c r="F1570" s="9"/>
      <c r="G1570" s="14" t="str">
        <f t="shared" si="63"/>
        <v>O</v>
      </c>
      <c r="H1570" s="15">
        <f t="shared" si="62"/>
        <v>5.04</v>
      </c>
      <c r="L1570" s="35"/>
    </row>
    <row r="1571" spans="1:12" x14ac:dyDescent="0.3">
      <c r="A1571" s="23">
        <f>COUNTIFS($B$2:B1571,B1571)</f>
        <v>1</v>
      </c>
      <c r="B1571" s="45" t="s">
        <v>607</v>
      </c>
      <c r="C1571" s="46">
        <v>20060368076649</v>
      </c>
      <c r="D1571" s="45" t="s">
        <v>210</v>
      </c>
      <c r="E1571" s="47">
        <v>28.58</v>
      </c>
      <c r="F1571" s="9"/>
      <c r="G1571" s="14" t="str">
        <f t="shared" si="63"/>
        <v>O</v>
      </c>
      <c r="H1571" s="15">
        <f t="shared" si="62"/>
        <v>14.29</v>
      </c>
      <c r="L1571" s="35"/>
    </row>
    <row r="1572" spans="1:12" x14ac:dyDescent="0.3">
      <c r="A1572" s="23">
        <f>COUNTIFS($B$2:B1572,B1572)</f>
        <v>2</v>
      </c>
      <c r="B1572" s="45" t="s">
        <v>607</v>
      </c>
      <c r="C1572" s="46">
        <v>20060368076649</v>
      </c>
      <c r="D1572" s="45" t="s">
        <v>157</v>
      </c>
      <c r="E1572" s="47">
        <v>24.5</v>
      </c>
      <c r="F1572" s="9"/>
      <c r="G1572" s="14" t="str">
        <f t="shared" si="63"/>
        <v>O</v>
      </c>
      <c r="H1572" s="15">
        <f t="shared" si="62"/>
        <v>12.25</v>
      </c>
      <c r="L1572" s="35"/>
    </row>
    <row r="1573" spans="1:12" x14ac:dyDescent="0.3">
      <c r="A1573" s="23">
        <f>COUNTIFS($B$2:B1573,B1573)</f>
        <v>3</v>
      </c>
      <c r="B1573" s="45" t="s">
        <v>607</v>
      </c>
      <c r="C1573" s="46">
        <v>20060368076649</v>
      </c>
      <c r="D1573" s="45" t="s">
        <v>263</v>
      </c>
      <c r="E1573" s="47">
        <v>4.9000000000000004</v>
      </c>
      <c r="F1573" s="9"/>
      <c r="G1573" s="14" t="str">
        <f t="shared" si="63"/>
        <v>O</v>
      </c>
      <c r="H1573" s="15">
        <f t="shared" si="62"/>
        <v>2.4500000000000002</v>
      </c>
      <c r="L1573" s="35"/>
    </row>
    <row r="1574" spans="1:12" x14ac:dyDescent="0.3">
      <c r="A1574" s="23">
        <f>COUNTIFS($B$2:B1574,B1574)</f>
        <v>4</v>
      </c>
      <c r="B1574" s="45" t="s">
        <v>607</v>
      </c>
      <c r="C1574" s="46">
        <v>20060368076649</v>
      </c>
      <c r="D1574" s="45" t="s">
        <v>21</v>
      </c>
      <c r="E1574" s="47">
        <v>5.72</v>
      </c>
      <c r="F1574" s="9"/>
      <c r="G1574" s="14" t="str">
        <f t="shared" si="63"/>
        <v>O</v>
      </c>
      <c r="H1574" s="15">
        <f t="shared" si="62"/>
        <v>2.86</v>
      </c>
      <c r="L1574" s="35"/>
    </row>
    <row r="1575" spans="1:12" x14ac:dyDescent="0.3">
      <c r="A1575" s="23">
        <f>COUNTIFS($B$2:B1575,B1575)</f>
        <v>5</v>
      </c>
      <c r="B1575" s="45" t="s">
        <v>607</v>
      </c>
      <c r="C1575" s="46">
        <v>20060368076649</v>
      </c>
      <c r="D1575" s="45" t="s">
        <v>206</v>
      </c>
      <c r="E1575" s="47">
        <v>40.83</v>
      </c>
      <c r="F1575" s="9"/>
      <c r="G1575" s="14" t="str">
        <f t="shared" si="63"/>
        <v>O</v>
      </c>
      <c r="H1575" s="15">
        <f t="shared" si="62"/>
        <v>20.414999999999999</v>
      </c>
      <c r="L1575" s="35"/>
    </row>
    <row r="1576" spans="1:12" x14ac:dyDescent="0.3">
      <c r="A1576" s="23">
        <f>COUNTIFS($B$2:B1576,B1576)</f>
        <v>6</v>
      </c>
      <c r="B1576" s="45" t="s">
        <v>607</v>
      </c>
      <c r="C1576" s="46">
        <v>20060368076649</v>
      </c>
      <c r="D1576" s="45" t="s">
        <v>66</v>
      </c>
      <c r="E1576" s="47">
        <v>4.2</v>
      </c>
      <c r="F1576" s="9"/>
      <c r="G1576" s="14" t="str">
        <f t="shared" si="63"/>
        <v>O</v>
      </c>
      <c r="H1576" s="15">
        <f t="shared" si="62"/>
        <v>2.1</v>
      </c>
      <c r="L1576" s="35"/>
    </row>
    <row r="1577" spans="1:12" x14ac:dyDescent="0.3">
      <c r="A1577" s="23">
        <f>COUNTIFS($B$2:B1577,B1577)</f>
        <v>7</v>
      </c>
      <c r="B1577" s="45" t="s">
        <v>607</v>
      </c>
      <c r="C1577" s="46">
        <v>20060368076649</v>
      </c>
      <c r="D1577" s="45" t="s">
        <v>222</v>
      </c>
      <c r="E1577" s="47">
        <v>0.31</v>
      </c>
      <c r="F1577" s="9"/>
      <c r="G1577" s="14" t="str">
        <f t="shared" si="63"/>
        <v>O</v>
      </c>
      <c r="H1577" s="15">
        <f t="shared" si="62"/>
        <v>0.155</v>
      </c>
      <c r="L1577" s="35"/>
    </row>
    <row r="1578" spans="1:12" x14ac:dyDescent="0.3">
      <c r="A1578" s="23">
        <f>COUNTIFS($B$2:B1578,B1578)</f>
        <v>8</v>
      </c>
      <c r="B1578" s="45" t="s">
        <v>607</v>
      </c>
      <c r="C1578" s="46">
        <v>20060368076649</v>
      </c>
      <c r="D1578" s="45" t="s">
        <v>41</v>
      </c>
      <c r="E1578" s="47">
        <v>3.36</v>
      </c>
      <c r="F1578" s="9"/>
      <c r="G1578" s="14" t="str">
        <f t="shared" si="63"/>
        <v>O</v>
      </c>
      <c r="H1578" s="15">
        <f t="shared" si="62"/>
        <v>1.68</v>
      </c>
      <c r="L1578" s="35"/>
    </row>
    <row r="1579" spans="1:12" x14ac:dyDescent="0.3">
      <c r="A1579" s="23">
        <f>COUNTIFS($B$2:B1579,B1579)</f>
        <v>9</v>
      </c>
      <c r="B1579" s="45" t="s">
        <v>607</v>
      </c>
      <c r="C1579" s="46">
        <v>20060368076649</v>
      </c>
      <c r="D1579" s="45" t="s">
        <v>21</v>
      </c>
      <c r="E1579" s="47">
        <v>5.6</v>
      </c>
      <c r="F1579" s="9"/>
      <c r="G1579" s="14" t="str">
        <f t="shared" si="63"/>
        <v>O</v>
      </c>
      <c r="H1579" s="15">
        <f t="shared" si="62"/>
        <v>2.8</v>
      </c>
      <c r="L1579" s="35"/>
    </row>
    <row r="1580" spans="1:12" x14ac:dyDescent="0.3">
      <c r="A1580" s="23">
        <f>COUNTIFS($B$2:B1580,B1580)</f>
        <v>1</v>
      </c>
      <c r="B1580" s="45" t="s">
        <v>372</v>
      </c>
      <c r="C1580" s="46">
        <v>20060368076649</v>
      </c>
      <c r="D1580" s="45" t="s">
        <v>210</v>
      </c>
      <c r="E1580" s="47">
        <v>51.45</v>
      </c>
      <c r="F1580" s="9"/>
      <c r="G1580" s="14" t="str">
        <f t="shared" si="63"/>
        <v>O</v>
      </c>
      <c r="H1580" s="15">
        <f t="shared" si="62"/>
        <v>25.725000000000001</v>
      </c>
      <c r="L1580" s="35"/>
    </row>
    <row r="1581" spans="1:12" x14ac:dyDescent="0.3">
      <c r="A1581" s="23">
        <f>COUNTIFS($B$2:B1581,B1581)</f>
        <v>2</v>
      </c>
      <c r="B1581" s="45" t="s">
        <v>372</v>
      </c>
      <c r="C1581" s="46">
        <v>20060368076649</v>
      </c>
      <c r="D1581" s="45" t="s">
        <v>157</v>
      </c>
      <c r="E1581" s="47">
        <v>44.1</v>
      </c>
      <c r="F1581" s="9"/>
      <c r="G1581" s="14" t="str">
        <f t="shared" si="63"/>
        <v>O</v>
      </c>
      <c r="H1581" s="15">
        <f t="shared" si="62"/>
        <v>22.05</v>
      </c>
      <c r="L1581" s="35"/>
    </row>
    <row r="1582" spans="1:12" x14ac:dyDescent="0.3">
      <c r="A1582" s="23">
        <f>COUNTIFS($B$2:B1582,B1582)</f>
        <v>3</v>
      </c>
      <c r="B1582" s="45" t="s">
        <v>372</v>
      </c>
      <c r="C1582" s="46">
        <v>20060368076649</v>
      </c>
      <c r="D1582" s="45" t="s">
        <v>263</v>
      </c>
      <c r="E1582" s="47">
        <v>8.82</v>
      </c>
      <c r="F1582" s="9"/>
      <c r="G1582" s="14" t="str">
        <f t="shared" si="63"/>
        <v>O</v>
      </c>
      <c r="H1582" s="15">
        <f t="shared" si="62"/>
        <v>4.41</v>
      </c>
      <c r="L1582" s="35"/>
    </row>
    <row r="1583" spans="1:12" x14ac:dyDescent="0.3">
      <c r="A1583" s="23">
        <f>COUNTIFS($B$2:B1583,B1583)</f>
        <v>4</v>
      </c>
      <c r="B1583" s="45" t="s">
        <v>372</v>
      </c>
      <c r="C1583" s="46">
        <v>20060368076649</v>
      </c>
      <c r="D1583" s="45" t="s">
        <v>21</v>
      </c>
      <c r="E1583" s="47">
        <v>10.29</v>
      </c>
      <c r="F1583" s="9"/>
      <c r="G1583" s="14" t="str">
        <f t="shared" si="63"/>
        <v>O</v>
      </c>
      <c r="H1583" s="15">
        <f t="shared" si="62"/>
        <v>5.1449999999999996</v>
      </c>
      <c r="L1583" s="35"/>
    </row>
    <row r="1584" spans="1:12" x14ac:dyDescent="0.3">
      <c r="A1584" s="23">
        <f>COUNTIFS($B$2:B1584,B1584)</f>
        <v>5</v>
      </c>
      <c r="B1584" s="45" t="s">
        <v>372</v>
      </c>
      <c r="C1584" s="46">
        <v>20060368076649</v>
      </c>
      <c r="D1584" s="45" t="s">
        <v>206</v>
      </c>
      <c r="E1584" s="47">
        <v>73.5</v>
      </c>
      <c r="F1584" s="9"/>
      <c r="G1584" s="14" t="str">
        <f t="shared" si="63"/>
        <v>O</v>
      </c>
      <c r="H1584" s="15">
        <f t="shared" si="62"/>
        <v>36.75</v>
      </c>
      <c r="L1584" s="35"/>
    </row>
    <row r="1585" spans="1:12" x14ac:dyDescent="0.3">
      <c r="A1585" s="23">
        <f>COUNTIFS($B$2:B1585,B1585)</f>
        <v>6</v>
      </c>
      <c r="B1585" s="45" t="s">
        <v>372</v>
      </c>
      <c r="C1585" s="46">
        <v>20060368076649</v>
      </c>
      <c r="D1585" s="45" t="s">
        <v>66</v>
      </c>
      <c r="E1585" s="47">
        <v>7.56</v>
      </c>
      <c r="F1585" s="9"/>
      <c r="G1585" s="14" t="str">
        <f t="shared" si="63"/>
        <v>O</v>
      </c>
      <c r="H1585" s="15">
        <f t="shared" si="62"/>
        <v>3.78</v>
      </c>
      <c r="L1585" s="35"/>
    </row>
    <row r="1586" spans="1:12" x14ac:dyDescent="0.3">
      <c r="A1586" s="23">
        <f>COUNTIFS($B$2:B1586,B1586)</f>
        <v>7</v>
      </c>
      <c r="B1586" s="45" t="s">
        <v>372</v>
      </c>
      <c r="C1586" s="46">
        <v>20060368076649</v>
      </c>
      <c r="D1586" s="45" t="s">
        <v>222</v>
      </c>
      <c r="E1586" s="47">
        <v>0.55000000000000004</v>
      </c>
      <c r="F1586" s="9"/>
      <c r="G1586" s="14" t="str">
        <f t="shared" si="63"/>
        <v>O</v>
      </c>
      <c r="H1586" s="15">
        <f t="shared" si="62"/>
        <v>0.27500000000000002</v>
      </c>
      <c r="L1586" s="35"/>
    </row>
    <row r="1587" spans="1:12" x14ac:dyDescent="0.3">
      <c r="A1587" s="23">
        <f>COUNTIFS($B$2:B1587,B1587)</f>
        <v>8</v>
      </c>
      <c r="B1587" s="45" t="s">
        <v>372</v>
      </c>
      <c r="C1587" s="46">
        <v>20060368076649</v>
      </c>
      <c r="D1587" s="45" t="s">
        <v>41</v>
      </c>
      <c r="E1587" s="47">
        <v>6.05</v>
      </c>
      <c r="F1587" s="9"/>
      <c r="G1587" s="14" t="str">
        <f t="shared" si="63"/>
        <v>O</v>
      </c>
      <c r="H1587" s="15">
        <f t="shared" si="62"/>
        <v>3.0249999999999999</v>
      </c>
      <c r="L1587" s="35"/>
    </row>
    <row r="1588" spans="1:12" x14ac:dyDescent="0.3">
      <c r="A1588" s="23">
        <f>COUNTIFS($B$2:B1588,B1588)</f>
        <v>9</v>
      </c>
      <c r="B1588" s="45" t="s">
        <v>372</v>
      </c>
      <c r="C1588" s="46">
        <v>20060368076649</v>
      </c>
      <c r="D1588" s="45" t="s">
        <v>21</v>
      </c>
      <c r="E1588" s="47">
        <v>10.08</v>
      </c>
      <c r="F1588" s="9"/>
      <c r="G1588" s="14" t="str">
        <f t="shared" si="63"/>
        <v>O</v>
      </c>
      <c r="H1588" s="15">
        <f t="shared" si="62"/>
        <v>5.04</v>
      </c>
      <c r="L1588" s="35"/>
    </row>
    <row r="1589" spans="1:12" x14ac:dyDescent="0.3">
      <c r="A1589" s="23">
        <f>COUNTIFS($B$2:B1589,B1589)</f>
        <v>1</v>
      </c>
      <c r="B1589" s="45" t="s">
        <v>608</v>
      </c>
      <c r="C1589" s="46">
        <v>20060368076650</v>
      </c>
      <c r="D1589" s="45" t="s">
        <v>210</v>
      </c>
      <c r="E1589" s="47">
        <v>27.21</v>
      </c>
      <c r="F1589" s="9"/>
      <c r="G1589" s="14" t="str">
        <f t="shared" si="63"/>
        <v>O</v>
      </c>
      <c r="H1589" s="15">
        <f t="shared" ref="H1589:H1652" si="64">E1589/2</f>
        <v>13.605</v>
      </c>
      <c r="L1589" s="35"/>
    </row>
    <row r="1590" spans="1:12" x14ac:dyDescent="0.3">
      <c r="A1590" s="23">
        <f>COUNTIFS($B$2:B1590,B1590)</f>
        <v>2</v>
      </c>
      <c r="B1590" s="45" t="s">
        <v>608</v>
      </c>
      <c r="C1590" s="46">
        <v>20060368076650</v>
      </c>
      <c r="D1590" s="45" t="s">
        <v>157</v>
      </c>
      <c r="E1590" s="47">
        <v>23.32</v>
      </c>
      <c r="F1590" s="9"/>
      <c r="G1590" s="14" t="str">
        <f t="shared" si="63"/>
        <v>O</v>
      </c>
      <c r="H1590" s="15">
        <f t="shared" si="64"/>
        <v>11.66</v>
      </c>
      <c r="L1590" s="35"/>
    </row>
    <row r="1591" spans="1:12" x14ac:dyDescent="0.3">
      <c r="A1591" s="23">
        <f>COUNTIFS($B$2:B1591,B1591)</f>
        <v>3</v>
      </c>
      <c r="B1591" s="45" t="s">
        <v>608</v>
      </c>
      <c r="C1591" s="46">
        <v>20060368076650</v>
      </c>
      <c r="D1591" s="45" t="s">
        <v>263</v>
      </c>
      <c r="E1591" s="47">
        <v>4.66</v>
      </c>
      <c r="F1591" s="9"/>
      <c r="G1591" s="14" t="str">
        <f t="shared" si="63"/>
        <v>O</v>
      </c>
      <c r="H1591" s="15">
        <f t="shared" si="64"/>
        <v>2.33</v>
      </c>
      <c r="L1591" s="35"/>
    </row>
    <row r="1592" spans="1:12" x14ac:dyDescent="0.3">
      <c r="A1592" s="23">
        <f>COUNTIFS($B$2:B1592,B1592)</f>
        <v>4</v>
      </c>
      <c r="B1592" s="45" t="s">
        <v>608</v>
      </c>
      <c r="C1592" s="46">
        <v>20060368076650</v>
      </c>
      <c r="D1592" s="45" t="s">
        <v>255</v>
      </c>
      <c r="E1592" s="47">
        <v>5.44</v>
      </c>
      <c r="F1592" s="9"/>
      <c r="G1592" s="14" t="str">
        <f t="shared" si="63"/>
        <v>O</v>
      </c>
      <c r="H1592" s="15">
        <f t="shared" si="64"/>
        <v>2.72</v>
      </c>
      <c r="L1592" s="35"/>
    </row>
    <row r="1593" spans="1:12" x14ac:dyDescent="0.3">
      <c r="A1593" s="23">
        <f>COUNTIFS($B$2:B1593,B1593)</f>
        <v>5</v>
      </c>
      <c r="B1593" s="45" t="s">
        <v>608</v>
      </c>
      <c r="C1593" s="46">
        <v>20060368076650</v>
      </c>
      <c r="D1593" s="45" t="s">
        <v>206</v>
      </c>
      <c r="E1593" s="47">
        <v>38.869999999999997</v>
      </c>
      <c r="F1593" s="9"/>
      <c r="G1593" s="14" t="str">
        <f t="shared" si="63"/>
        <v>O</v>
      </c>
      <c r="H1593" s="15">
        <f t="shared" si="64"/>
        <v>19.434999999999999</v>
      </c>
      <c r="L1593" s="35"/>
    </row>
    <row r="1594" spans="1:12" x14ac:dyDescent="0.3">
      <c r="A1594" s="23">
        <f>COUNTIFS($B$2:B1594,B1594)</f>
        <v>6</v>
      </c>
      <c r="B1594" s="45" t="s">
        <v>608</v>
      </c>
      <c r="C1594" s="46">
        <v>20060368076650</v>
      </c>
      <c r="D1594" s="45" t="s">
        <v>172</v>
      </c>
      <c r="E1594" s="47">
        <v>0.89</v>
      </c>
      <c r="F1594" s="9"/>
      <c r="G1594" s="14" t="str">
        <f t="shared" si="63"/>
        <v>O</v>
      </c>
      <c r="H1594" s="15">
        <f t="shared" si="64"/>
        <v>0.44500000000000001</v>
      </c>
      <c r="L1594" s="35"/>
    </row>
    <row r="1595" spans="1:12" x14ac:dyDescent="0.3">
      <c r="A1595" s="23">
        <f>COUNTIFS($B$2:B1595,B1595)</f>
        <v>7</v>
      </c>
      <c r="B1595" s="45" t="s">
        <v>608</v>
      </c>
      <c r="C1595" s="46">
        <v>20060368076650</v>
      </c>
      <c r="D1595" s="45" t="s">
        <v>609</v>
      </c>
      <c r="E1595" s="47">
        <v>3.11</v>
      </c>
      <c r="F1595" s="9"/>
      <c r="G1595" s="14" t="str">
        <f t="shared" si="63"/>
        <v>O</v>
      </c>
      <c r="H1595" s="15">
        <f t="shared" si="64"/>
        <v>1.5549999999999999</v>
      </c>
      <c r="L1595" s="35"/>
    </row>
    <row r="1596" spans="1:12" x14ac:dyDescent="0.3">
      <c r="A1596" s="23">
        <f>COUNTIFS($B$2:B1596,B1596)</f>
        <v>8</v>
      </c>
      <c r="B1596" s="45" t="s">
        <v>608</v>
      </c>
      <c r="C1596" s="46">
        <v>20060368076650</v>
      </c>
      <c r="D1596" s="45" t="s">
        <v>222</v>
      </c>
      <c r="E1596" s="47">
        <v>0.28999999999999998</v>
      </c>
      <c r="F1596" s="9"/>
      <c r="G1596" s="14" t="str">
        <f t="shared" si="63"/>
        <v>O</v>
      </c>
      <c r="H1596" s="15">
        <f t="shared" si="64"/>
        <v>0.14499999999999999</v>
      </c>
      <c r="L1596" s="35"/>
    </row>
    <row r="1597" spans="1:12" x14ac:dyDescent="0.3">
      <c r="A1597" s="23">
        <f>COUNTIFS($B$2:B1597,B1597)</f>
        <v>9</v>
      </c>
      <c r="B1597" s="45" t="s">
        <v>608</v>
      </c>
      <c r="C1597" s="46">
        <v>20060368076650</v>
      </c>
      <c r="D1597" s="45" t="s">
        <v>41</v>
      </c>
      <c r="E1597" s="47">
        <v>5.33</v>
      </c>
      <c r="F1597" s="9"/>
      <c r="G1597" s="14" t="str">
        <f t="shared" si="63"/>
        <v>O</v>
      </c>
      <c r="H1597" s="15">
        <f t="shared" si="64"/>
        <v>2.665</v>
      </c>
      <c r="L1597" s="35"/>
    </row>
    <row r="1598" spans="1:12" x14ac:dyDescent="0.3">
      <c r="A1598" s="23">
        <f>COUNTIFS($B$2:B1598,B1598)</f>
        <v>10</v>
      </c>
      <c r="B1598" s="45" t="s">
        <v>608</v>
      </c>
      <c r="C1598" s="46">
        <v>20060368076650</v>
      </c>
      <c r="D1598" s="45" t="s">
        <v>21</v>
      </c>
      <c r="E1598" s="47">
        <v>8.8800000000000008</v>
      </c>
      <c r="F1598" s="9"/>
      <c r="G1598" s="14" t="str">
        <f t="shared" si="63"/>
        <v>O</v>
      </c>
      <c r="H1598" s="15">
        <f t="shared" si="64"/>
        <v>4.4400000000000004</v>
      </c>
      <c r="L1598" s="35"/>
    </row>
    <row r="1599" spans="1:12" x14ac:dyDescent="0.3">
      <c r="A1599" s="23">
        <f>COUNTIFS($B$2:B1599,B1599)</f>
        <v>1</v>
      </c>
      <c r="B1599" s="45" t="s">
        <v>374</v>
      </c>
      <c r="C1599" s="46">
        <v>20060368076650</v>
      </c>
      <c r="D1599" s="45" t="s">
        <v>210</v>
      </c>
      <c r="E1599" s="47">
        <v>48.97</v>
      </c>
      <c r="F1599" s="9"/>
      <c r="G1599" s="14" t="str">
        <f t="shared" si="63"/>
        <v>O</v>
      </c>
      <c r="H1599" s="15">
        <f t="shared" si="64"/>
        <v>24.484999999999999</v>
      </c>
      <c r="L1599" s="35"/>
    </row>
    <row r="1600" spans="1:12" x14ac:dyDescent="0.3">
      <c r="A1600" s="23">
        <f>COUNTIFS($B$2:B1600,B1600)</f>
        <v>2</v>
      </c>
      <c r="B1600" s="45" t="s">
        <v>374</v>
      </c>
      <c r="C1600" s="46">
        <v>20060368076650</v>
      </c>
      <c r="D1600" s="45" t="s">
        <v>157</v>
      </c>
      <c r="E1600" s="47">
        <v>41.97</v>
      </c>
      <c r="F1600" s="9"/>
      <c r="G1600" s="14" t="str">
        <f t="shared" si="63"/>
        <v>O</v>
      </c>
      <c r="H1600" s="15">
        <f t="shared" si="64"/>
        <v>20.984999999999999</v>
      </c>
      <c r="L1600" s="35"/>
    </row>
    <row r="1601" spans="1:12" x14ac:dyDescent="0.3">
      <c r="A1601" s="23">
        <f>COUNTIFS($B$2:B1601,B1601)</f>
        <v>3</v>
      </c>
      <c r="B1601" s="45" t="s">
        <v>374</v>
      </c>
      <c r="C1601" s="46">
        <v>20060368076650</v>
      </c>
      <c r="D1601" s="45" t="s">
        <v>263</v>
      </c>
      <c r="E1601" s="47">
        <v>8.39</v>
      </c>
      <c r="F1601" s="9"/>
      <c r="G1601" s="14" t="str">
        <f t="shared" si="63"/>
        <v>O</v>
      </c>
      <c r="H1601" s="15">
        <f t="shared" si="64"/>
        <v>4.1950000000000003</v>
      </c>
      <c r="L1601" s="35"/>
    </row>
    <row r="1602" spans="1:12" x14ac:dyDescent="0.3">
      <c r="A1602" s="23">
        <f>COUNTIFS($B$2:B1602,B1602)</f>
        <v>4</v>
      </c>
      <c r="B1602" s="45" t="s">
        <v>374</v>
      </c>
      <c r="C1602" s="46">
        <v>20060368076650</v>
      </c>
      <c r="D1602" s="45" t="s">
        <v>255</v>
      </c>
      <c r="E1602" s="47">
        <v>9.7899999999999991</v>
      </c>
      <c r="F1602" s="9"/>
      <c r="G1602" s="14" t="str">
        <f t="shared" si="63"/>
        <v>O</v>
      </c>
      <c r="H1602" s="15">
        <f t="shared" si="64"/>
        <v>4.8949999999999996</v>
      </c>
      <c r="L1602" s="35"/>
    </row>
    <row r="1603" spans="1:12" x14ac:dyDescent="0.3">
      <c r="A1603" s="23">
        <f>COUNTIFS($B$2:B1603,B1603)</f>
        <v>5</v>
      </c>
      <c r="B1603" s="45" t="s">
        <v>374</v>
      </c>
      <c r="C1603" s="46">
        <v>20060368076650</v>
      </c>
      <c r="D1603" s="45" t="s">
        <v>206</v>
      </c>
      <c r="E1603" s="47">
        <v>69.959999999999994</v>
      </c>
      <c r="F1603" s="9"/>
      <c r="G1603" s="14" t="str">
        <f t="shared" si="63"/>
        <v>O</v>
      </c>
      <c r="H1603" s="15">
        <f t="shared" si="64"/>
        <v>34.979999999999997</v>
      </c>
      <c r="L1603" s="35"/>
    </row>
    <row r="1604" spans="1:12" x14ac:dyDescent="0.3">
      <c r="A1604" s="23">
        <f>COUNTIFS($B$2:B1604,B1604)</f>
        <v>6</v>
      </c>
      <c r="B1604" s="45" t="s">
        <v>374</v>
      </c>
      <c r="C1604" s="46">
        <v>20060368076650</v>
      </c>
      <c r="D1604" s="45" t="s">
        <v>172</v>
      </c>
      <c r="E1604" s="47">
        <v>1.6</v>
      </c>
      <c r="F1604" s="9"/>
      <c r="G1604" s="14" t="str">
        <f t="shared" si="63"/>
        <v>O</v>
      </c>
      <c r="H1604" s="15">
        <f t="shared" si="64"/>
        <v>0.8</v>
      </c>
      <c r="L1604" s="35"/>
    </row>
    <row r="1605" spans="1:12" x14ac:dyDescent="0.3">
      <c r="A1605" s="23">
        <f>COUNTIFS($B$2:B1605,B1605)</f>
        <v>7</v>
      </c>
      <c r="B1605" s="45" t="s">
        <v>374</v>
      </c>
      <c r="C1605" s="46">
        <v>20060368076650</v>
      </c>
      <c r="D1605" s="45" t="s">
        <v>609</v>
      </c>
      <c r="E1605" s="47">
        <v>5.6</v>
      </c>
      <c r="F1605" s="9"/>
      <c r="G1605" s="14" t="str">
        <f t="shared" si="63"/>
        <v>O</v>
      </c>
      <c r="H1605" s="15">
        <f t="shared" si="64"/>
        <v>2.8</v>
      </c>
      <c r="L1605" s="35"/>
    </row>
    <row r="1606" spans="1:12" x14ac:dyDescent="0.3">
      <c r="A1606" s="23">
        <f>COUNTIFS($B$2:B1606,B1606)</f>
        <v>8</v>
      </c>
      <c r="B1606" s="45" t="s">
        <v>374</v>
      </c>
      <c r="C1606" s="46">
        <v>20060368076650</v>
      </c>
      <c r="D1606" s="45" t="s">
        <v>222</v>
      </c>
      <c r="E1606" s="47">
        <v>0.53</v>
      </c>
      <c r="F1606" s="9"/>
      <c r="G1606" s="14" t="str">
        <f t="shared" si="63"/>
        <v>O</v>
      </c>
      <c r="H1606" s="15">
        <f t="shared" si="64"/>
        <v>0.26500000000000001</v>
      </c>
      <c r="L1606" s="35"/>
    </row>
    <row r="1607" spans="1:12" x14ac:dyDescent="0.3">
      <c r="A1607" s="23">
        <f>COUNTIFS($B$2:B1607,B1607)</f>
        <v>9</v>
      </c>
      <c r="B1607" s="45" t="s">
        <v>374</v>
      </c>
      <c r="C1607" s="46">
        <v>20060368076650</v>
      </c>
      <c r="D1607" s="45" t="s">
        <v>41</v>
      </c>
      <c r="E1607" s="47">
        <v>9.59</v>
      </c>
      <c r="F1607" s="9"/>
      <c r="G1607" s="14" t="str">
        <f t="shared" si="63"/>
        <v>O</v>
      </c>
      <c r="H1607" s="15">
        <f t="shared" si="64"/>
        <v>4.7949999999999999</v>
      </c>
      <c r="L1607" s="35"/>
    </row>
    <row r="1608" spans="1:12" x14ac:dyDescent="0.3">
      <c r="A1608" s="23">
        <f>COUNTIFS($B$2:B1608,B1608)</f>
        <v>10</v>
      </c>
      <c r="B1608" s="45" t="s">
        <v>374</v>
      </c>
      <c r="C1608" s="46">
        <v>20060368076650</v>
      </c>
      <c r="D1608" s="45" t="s">
        <v>21</v>
      </c>
      <c r="E1608" s="47">
        <v>15.99</v>
      </c>
      <c r="F1608" s="9"/>
      <c r="G1608" s="14" t="str">
        <f t="shared" si="63"/>
        <v>O</v>
      </c>
      <c r="H1608" s="15">
        <f t="shared" si="64"/>
        <v>7.9950000000000001</v>
      </c>
      <c r="L1608" s="35"/>
    </row>
    <row r="1609" spans="1:12" x14ac:dyDescent="0.3">
      <c r="A1609" s="23">
        <f>COUNTIFS($B$2:B1609,B1609)</f>
        <v>1</v>
      </c>
      <c r="B1609" s="45" t="s">
        <v>610</v>
      </c>
      <c r="C1609" s="46">
        <v>20060368076651</v>
      </c>
      <c r="D1609" s="45" t="s">
        <v>210</v>
      </c>
      <c r="E1609" s="47">
        <v>33.83</v>
      </c>
      <c r="F1609" s="9"/>
      <c r="G1609" s="14" t="str">
        <f t="shared" si="63"/>
        <v>O</v>
      </c>
      <c r="H1609" s="15">
        <f t="shared" si="64"/>
        <v>16.914999999999999</v>
      </c>
      <c r="L1609" s="35"/>
    </row>
    <row r="1610" spans="1:12" x14ac:dyDescent="0.3">
      <c r="A1610" s="23">
        <f>COUNTIFS($B$2:B1610,B1610)</f>
        <v>2</v>
      </c>
      <c r="B1610" s="45" t="s">
        <v>610</v>
      </c>
      <c r="C1610" s="46">
        <v>20060368076651</v>
      </c>
      <c r="D1610" s="45" t="s">
        <v>213</v>
      </c>
      <c r="E1610" s="47">
        <v>16.91</v>
      </c>
      <c r="F1610" s="9"/>
      <c r="G1610" s="14" t="str">
        <f t="shared" si="63"/>
        <v>O</v>
      </c>
      <c r="H1610" s="15">
        <f t="shared" si="64"/>
        <v>8.4550000000000001</v>
      </c>
      <c r="L1610" s="35"/>
    </row>
    <row r="1611" spans="1:12" x14ac:dyDescent="0.3">
      <c r="A1611" s="23">
        <f>COUNTIFS($B$2:B1611,B1611)</f>
        <v>3</v>
      </c>
      <c r="B1611" s="45" t="s">
        <v>610</v>
      </c>
      <c r="C1611" s="46">
        <v>20060368076651</v>
      </c>
      <c r="D1611" s="45" t="s">
        <v>404</v>
      </c>
      <c r="E1611" s="47">
        <v>4.28</v>
      </c>
      <c r="F1611" s="9"/>
      <c r="G1611" s="14" t="str">
        <f t="shared" si="63"/>
        <v>O</v>
      </c>
      <c r="H1611" s="15">
        <f t="shared" si="64"/>
        <v>2.14</v>
      </c>
      <c r="L1611" s="35"/>
    </row>
    <row r="1612" spans="1:12" x14ac:dyDescent="0.3">
      <c r="A1612" s="23">
        <f>COUNTIFS($B$2:B1612,B1612)</f>
        <v>4</v>
      </c>
      <c r="B1612" s="45" t="s">
        <v>610</v>
      </c>
      <c r="C1612" s="46">
        <v>20060368076651</v>
      </c>
      <c r="D1612" s="45" t="s">
        <v>255</v>
      </c>
      <c r="E1612" s="47">
        <v>3.66</v>
      </c>
      <c r="F1612" s="9"/>
      <c r="G1612" s="14" t="str">
        <f t="shared" si="63"/>
        <v>O</v>
      </c>
      <c r="H1612" s="15">
        <f t="shared" si="64"/>
        <v>1.83</v>
      </c>
      <c r="L1612" s="35"/>
    </row>
    <row r="1613" spans="1:12" x14ac:dyDescent="0.3">
      <c r="A1613" s="23">
        <f>COUNTIFS($B$2:B1613,B1613)</f>
        <v>5</v>
      </c>
      <c r="B1613" s="45" t="s">
        <v>610</v>
      </c>
      <c r="C1613" s="46">
        <v>20060368076651</v>
      </c>
      <c r="D1613" s="45" t="s">
        <v>141</v>
      </c>
      <c r="E1613" s="47">
        <v>16.91</v>
      </c>
      <c r="F1613" s="9"/>
      <c r="G1613" s="14" t="str">
        <f t="shared" si="63"/>
        <v>O</v>
      </c>
      <c r="H1613" s="15">
        <f t="shared" si="64"/>
        <v>8.4550000000000001</v>
      </c>
      <c r="L1613" s="35"/>
    </row>
    <row r="1614" spans="1:12" x14ac:dyDescent="0.3">
      <c r="A1614" s="23">
        <f>COUNTIFS($B$2:B1614,B1614)</f>
        <v>6</v>
      </c>
      <c r="B1614" s="45" t="s">
        <v>610</v>
      </c>
      <c r="C1614" s="46">
        <v>20060368076651</v>
      </c>
      <c r="D1614" s="45" t="s">
        <v>206</v>
      </c>
      <c r="E1614" s="47">
        <v>36.71</v>
      </c>
      <c r="F1614" s="9"/>
      <c r="G1614" s="14" t="str">
        <f t="shared" si="63"/>
        <v>O</v>
      </c>
      <c r="H1614" s="15">
        <f t="shared" si="64"/>
        <v>18.355</v>
      </c>
      <c r="L1614" s="35"/>
    </row>
    <row r="1615" spans="1:12" x14ac:dyDescent="0.3">
      <c r="A1615" s="23">
        <f>COUNTIFS($B$2:B1615,B1615)</f>
        <v>7</v>
      </c>
      <c r="B1615" s="45" t="s">
        <v>610</v>
      </c>
      <c r="C1615" s="46">
        <v>20060368076651</v>
      </c>
      <c r="D1615" s="45" t="s">
        <v>172</v>
      </c>
      <c r="E1615" s="47">
        <v>5.71</v>
      </c>
      <c r="F1615" s="9"/>
      <c r="G1615" s="14" t="str">
        <f>IF(D1614="","",IF(COUNTIF(I:I,D1614)&gt;0,"O","X"))</f>
        <v>O</v>
      </c>
      <c r="H1615" s="15">
        <f t="shared" si="64"/>
        <v>2.855</v>
      </c>
      <c r="L1615" s="35"/>
    </row>
    <row r="1616" spans="1:12" x14ac:dyDescent="0.3">
      <c r="A1616" s="23">
        <f>COUNTIFS($B$2:B1616,B1616)</f>
        <v>1</v>
      </c>
      <c r="B1616" s="45" t="s">
        <v>379</v>
      </c>
      <c r="C1616" s="46">
        <v>20060368076651</v>
      </c>
      <c r="D1616" s="45" t="s">
        <v>210</v>
      </c>
      <c r="E1616" s="47">
        <v>60.9</v>
      </c>
      <c r="F1616" s="9"/>
      <c r="G1616" s="14" t="str">
        <f t="shared" ref="G1616:G1673" si="65">IF(D1616="","",IF(COUNTIF(I:I,D1616)&gt;0,"O","X"))</f>
        <v>O</v>
      </c>
      <c r="H1616" s="15">
        <f t="shared" si="64"/>
        <v>30.45</v>
      </c>
      <c r="L1616" s="35"/>
    </row>
    <row r="1617" spans="1:12" x14ac:dyDescent="0.3">
      <c r="A1617" s="23">
        <f>COUNTIFS($B$2:B1617,B1617)</f>
        <v>2</v>
      </c>
      <c r="B1617" s="45" t="s">
        <v>379</v>
      </c>
      <c r="C1617" s="46">
        <v>20060368076651</v>
      </c>
      <c r="D1617" s="45" t="s">
        <v>213</v>
      </c>
      <c r="E1617" s="47">
        <v>30.44</v>
      </c>
      <c r="F1617" s="9"/>
      <c r="G1617" s="14" t="str">
        <f t="shared" si="65"/>
        <v>O</v>
      </c>
      <c r="H1617" s="15">
        <f t="shared" si="64"/>
        <v>15.22</v>
      </c>
      <c r="L1617" s="35"/>
    </row>
    <row r="1618" spans="1:12" x14ac:dyDescent="0.3">
      <c r="A1618" s="23">
        <f>COUNTIFS($B$2:B1618,B1618)</f>
        <v>3</v>
      </c>
      <c r="B1618" s="45" t="s">
        <v>379</v>
      </c>
      <c r="C1618" s="46">
        <v>20060368076651</v>
      </c>
      <c r="D1618" s="45" t="s">
        <v>404</v>
      </c>
      <c r="E1618" s="47">
        <v>7.7</v>
      </c>
      <c r="F1618" s="9"/>
      <c r="G1618" s="14" t="str">
        <f t="shared" si="65"/>
        <v>O</v>
      </c>
      <c r="H1618" s="15">
        <f t="shared" si="64"/>
        <v>3.85</v>
      </c>
      <c r="L1618" s="35"/>
    </row>
    <row r="1619" spans="1:12" x14ac:dyDescent="0.3">
      <c r="A1619" s="23">
        <f>COUNTIFS($B$2:B1619,B1619)</f>
        <v>4</v>
      </c>
      <c r="B1619" s="45" t="s">
        <v>379</v>
      </c>
      <c r="C1619" s="46">
        <v>20060368076651</v>
      </c>
      <c r="D1619" s="45" t="s">
        <v>255</v>
      </c>
      <c r="E1619" s="47">
        <v>6.58</v>
      </c>
      <c r="F1619" s="9"/>
      <c r="G1619" s="14" t="str">
        <f t="shared" si="65"/>
        <v>O</v>
      </c>
      <c r="H1619" s="15">
        <f t="shared" si="64"/>
        <v>3.29</v>
      </c>
      <c r="L1619" s="35"/>
    </row>
    <row r="1620" spans="1:12" x14ac:dyDescent="0.3">
      <c r="A1620" s="23">
        <f>COUNTIFS($B$2:B1620,B1620)</f>
        <v>5</v>
      </c>
      <c r="B1620" s="45" t="s">
        <v>379</v>
      </c>
      <c r="C1620" s="46">
        <v>20060368076651</v>
      </c>
      <c r="D1620" s="45" t="s">
        <v>141</v>
      </c>
      <c r="E1620" s="47">
        <v>30.44</v>
      </c>
      <c r="F1620" s="9"/>
      <c r="G1620" s="14" t="str">
        <f t="shared" si="65"/>
        <v>O</v>
      </c>
      <c r="H1620" s="15">
        <f t="shared" si="64"/>
        <v>15.22</v>
      </c>
      <c r="L1620" s="35"/>
    </row>
    <row r="1621" spans="1:12" x14ac:dyDescent="0.3">
      <c r="A1621" s="23">
        <f>COUNTIFS($B$2:B1621,B1621)</f>
        <v>6</v>
      </c>
      <c r="B1621" s="45" t="s">
        <v>379</v>
      </c>
      <c r="C1621" s="46">
        <v>20060368076651</v>
      </c>
      <c r="D1621" s="45" t="s">
        <v>206</v>
      </c>
      <c r="E1621" s="47">
        <v>66.069999999999993</v>
      </c>
      <c r="F1621" s="9"/>
      <c r="G1621" s="14" t="str">
        <f t="shared" si="65"/>
        <v>O</v>
      </c>
      <c r="H1621" s="15">
        <f t="shared" si="64"/>
        <v>33.034999999999997</v>
      </c>
      <c r="L1621" s="35"/>
    </row>
    <row r="1622" spans="1:12" x14ac:dyDescent="0.3">
      <c r="A1622" s="23">
        <f>COUNTIFS($B$2:B1622,B1622)</f>
        <v>7</v>
      </c>
      <c r="B1622" s="45" t="s">
        <v>379</v>
      </c>
      <c r="C1622" s="46">
        <v>20060368076651</v>
      </c>
      <c r="D1622" s="45" t="s">
        <v>172</v>
      </c>
      <c r="E1622" s="47">
        <v>10.27</v>
      </c>
      <c r="F1622" s="9"/>
      <c r="G1622" s="14" t="str">
        <f t="shared" si="65"/>
        <v>O</v>
      </c>
      <c r="H1622" s="15">
        <f t="shared" si="64"/>
        <v>5.1349999999999998</v>
      </c>
      <c r="L1622" s="35"/>
    </row>
    <row r="1623" spans="1:12" x14ac:dyDescent="0.3">
      <c r="A1623" s="23">
        <f>COUNTIFS($B$2:B1623,B1623)</f>
        <v>1</v>
      </c>
      <c r="B1623" s="45" t="s">
        <v>381</v>
      </c>
      <c r="C1623" s="46">
        <v>20060368076652</v>
      </c>
      <c r="D1623" s="45" t="s">
        <v>210</v>
      </c>
      <c r="E1623" s="47">
        <v>50.94</v>
      </c>
      <c r="F1623" s="9"/>
      <c r="G1623" s="14" t="str">
        <f t="shared" si="65"/>
        <v>O</v>
      </c>
      <c r="H1623" s="15">
        <f t="shared" si="64"/>
        <v>25.47</v>
      </c>
      <c r="L1623" s="35"/>
    </row>
    <row r="1624" spans="1:12" x14ac:dyDescent="0.3">
      <c r="A1624" s="23">
        <f>COUNTIFS($B$2:B1624,B1624)</f>
        <v>2</v>
      </c>
      <c r="B1624" s="45" t="s">
        <v>381</v>
      </c>
      <c r="C1624" s="46">
        <v>20060368076652</v>
      </c>
      <c r="D1624" s="45" t="s">
        <v>157</v>
      </c>
      <c r="E1624" s="47">
        <v>25.48</v>
      </c>
      <c r="F1624" s="9"/>
      <c r="G1624" s="14" t="str">
        <f t="shared" si="65"/>
        <v>O</v>
      </c>
      <c r="H1624" s="15">
        <f t="shared" si="64"/>
        <v>12.74</v>
      </c>
      <c r="L1624" s="35"/>
    </row>
    <row r="1625" spans="1:12" x14ac:dyDescent="0.3">
      <c r="A1625" s="23">
        <f>COUNTIFS($B$2:B1625,B1625)</f>
        <v>3</v>
      </c>
      <c r="B1625" s="45" t="s">
        <v>381</v>
      </c>
      <c r="C1625" s="46">
        <v>20060368076652</v>
      </c>
      <c r="D1625" s="45" t="s">
        <v>404</v>
      </c>
      <c r="E1625" s="47">
        <v>6.37</v>
      </c>
      <c r="F1625" s="9"/>
      <c r="G1625" s="14" t="str">
        <f t="shared" si="65"/>
        <v>O</v>
      </c>
      <c r="H1625" s="15">
        <f t="shared" si="64"/>
        <v>3.1850000000000001</v>
      </c>
      <c r="L1625" s="35"/>
    </row>
    <row r="1626" spans="1:12" x14ac:dyDescent="0.3">
      <c r="A1626" s="23">
        <f>COUNTIFS($B$2:B1626,B1626)</f>
        <v>4</v>
      </c>
      <c r="B1626" s="45" t="s">
        <v>381</v>
      </c>
      <c r="C1626" s="46">
        <v>20060368076652</v>
      </c>
      <c r="D1626" s="45" t="s">
        <v>141</v>
      </c>
      <c r="E1626" s="47">
        <v>25.48</v>
      </c>
      <c r="F1626" s="9"/>
      <c r="G1626" s="14" t="str">
        <f t="shared" si="65"/>
        <v>O</v>
      </c>
      <c r="H1626" s="15">
        <f t="shared" si="64"/>
        <v>12.74</v>
      </c>
      <c r="L1626" s="35"/>
    </row>
    <row r="1627" spans="1:12" x14ac:dyDescent="0.3">
      <c r="A1627" s="23">
        <f>COUNTIFS($B$2:B1627,B1627)</f>
        <v>5</v>
      </c>
      <c r="B1627" s="45" t="s">
        <v>381</v>
      </c>
      <c r="C1627" s="46">
        <v>20060368076652</v>
      </c>
      <c r="D1627" s="45" t="s">
        <v>206</v>
      </c>
      <c r="E1627" s="47">
        <v>63.68</v>
      </c>
      <c r="F1627" s="9"/>
      <c r="G1627" s="14" t="str">
        <f t="shared" si="65"/>
        <v>O</v>
      </c>
      <c r="H1627" s="15">
        <f t="shared" si="64"/>
        <v>31.84</v>
      </c>
      <c r="L1627" s="35"/>
    </row>
    <row r="1628" spans="1:12" x14ac:dyDescent="0.3">
      <c r="A1628" s="23">
        <f>COUNTIFS($B$2:B1628,B1628)</f>
        <v>6</v>
      </c>
      <c r="B1628" s="45" t="s">
        <v>381</v>
      </c>
      <c r="C1628" s="46">
        <v>20060368076652</v>
      </c>
      <c r="D1628" s="45" t="s">
        <v>611</v>
      </c>
      <c r="E1628" s="47">
        <v>40.46</v>
      </c>
      <c r="F1628" s="9"/>
      <c r="G1628" s="14" t="str">
        <f t="shared" si="65"/>
        <v>O</v>
      </c>
      <c r="H1628" s="15">
        <f t="shared" si="64"/>
        <v>20.23</v>
      </c>
      <c r="L1628" s="35"/>
    </row>
    <row r="1629" spans="1:12" x14ac:dyDescent="0.3">
      <c r="A1629" s="23">
        <f>COUNTIFS($B$2:B1629,B1629)</f>
        <v>1</v>
      </c>
      <c r="B1629" s="45" t="s">
        <v>612</v>
      </c>
      <c r="C1629" s="46">
        <v>200603680766521</v>
      </c>
      <c r="D1629" s="45" t="s">
        <v>210</v>
      </c>
      <c r="E1629" s="47">
        <v>28.3</v>
      </c>
      <c r="F1629" s="9"/>
      <c r="G1629" s="14" t="str">
        <f t="shared" si="65"/>
        <v>O</v>
      </c>
      <c r="H1629" s="15">
        <f t="shared" si="64"/>
        <v>14.15</v>
      </c>
      <c r="L1629" s="35"/>
    </row>
    <row r="1630" spans="1:12" x14ac:dyDescent="0.3">
      <c r="A1630" s="23">
        <f>COUNTIFS($B$2:B1630,B1630)</f>
        <v>2</v>
      </c>
      <c r="B1630" s="45" t="s">
        <v>612</v>
      </c>
      <c r="C1630" s="46">
        <v>200603680766521</v>
      </c>
      <c r="D1630" s="45" t="s">
        <v>157</v>
      </c>
      <c r="E1630" s="47">
        <v>14.15</v>
      </c>
      <c r="F1630" s="9"/>
      <c r="G1630" s="14" t="str">
        <f t="shared" si="65"/>
        <v>O</v>
      </c>
      <c r="H1630" s="15">
        <f t="shared" si="64"/>
        <v>7.0750000000000002</v>
      </c>
      <c r="L1630" s="35"/>
    </row>
    <row r="1631" spans="1:12" x14ac:dyDescent="0.3">
      <c r="A1631" s="23">
        <f>COUNTIFS($B$2:B1631,B1631)</f>
        <v>3</v>
      </c>
      <c r="B1631" s="45" t="s">
        <v>612</v>
      </c>
      <c r="C1631" s="46">
        <v>200603680766521</v>
      </c>
      <c r="D1631" s="45" t="s">
        <v>404</v>
      </c>
      <c r="E1631" s="47">
        <v>3.53</v>
      </c>
      <c r="F1631" s="9"/>
      <c r="G1631" s="14" t="str">
        <f t="shared" si="65"/>
        <v>O</v>
      </c>
      <c r="H1631" s="15">
        <f t="shared" si="64"/>
        <v>1.7649999999999999</v>
      </c>
      <c r="L1631" s="35"/>
    </row>
    <row r="1632" spans="1:12" x14ac:dyDescent="0.3">
      <c r="A1632" s="23">
        <f>COUNTIFS($B$2:B1632,B1632)</f>
        <v>4</v>
      </c>
      <c r="B1632" s="45" t="s">
        <v>612</v>
      </c>
      <c r="C1632" s="46">
        <v>200603680766521</v>
      </c>
      <c r="D1632" s="45" t="s">
        <v>141</v>
      </c>
      <c r="E1632" s="47">
        <v>14.15</v>
      </c>
      <c r="F1632" s="9"/>
      <c r="G1632" s="14" t="str">
        <f t="shared" si="65"/>
        <v>O</v>
      </c>
      <c r="H1632" s="15">
        <f t="shared" si="64"/>
        <v>7.0750000000000002</v>
      </c>
      <c r="L1632" s="35"/>
    </row>
    <row r="1633" spans="1:12" x14ac:dyDescent="0.3">
      <c r="A1633" s="23">
        <f>COUNTIFS($B$2:B1633,B1633)</f>
        <v>5</v>
      </c>
      <c r="B1633" s="45" t="s">
        <v>612</v>
      </c>
      <c r="C1633" s="46">
        <v>200603680766521</v>
      </c>
      <c r="D1633" s="45" t="s">
        <v>206</v>
      </c>
      <c r="E1633" s="47">
        <v>35.369999999999997</v>
      </c>
      <c r="F1633" s="9"/>
      <c r="G1633" s="14" t="str">
        <f t="shared" si="65"/>
        <v>O</v>
      </c>
      <c r="H1633" s="15">
        <f t="shared" si="64"/>
        <v>17.684999999999999</v>
      </c>
      <c r="L1633" s="35"/>
    </row>
    <row r="1634" spans="1:12" x14ac:dyDescent="0.3">
      <c r="A1634" s="23">
        <f>COUNTIFS($B$2:B1634,B1634)</f>
        <v>6</v>
      </c>
      <c r="B1634" s="45" t="s">
        <v>612</v>
      </c>
      <c r="C1634" s="46">
        <v>200603680766521</v>
      </c>
      <c r="D1634" s="45" t="s">
        <v>611</v>
      </c>
      <c r="E1634" s="47">
        <v>22.47</v>
      </c>
      <c r="F1634" s="9"/>
      <c r="G1634" s="14" t="str">
        <f t="shared" si="65"/>
        <v>O</v>
      </c>
      <c r="H1634" s="15">
        <f t="shared" si="64"/>
        <v>11.234999999999999</v>
      </c>
      <c r="L1634" s="35"/>
    </row>
    <row r="1635" spans="1:12" x14ac:dyDescent="0.3">
      <c r="A1635" s="31">
        <f>COUNTIFS($B$2:B1635,B1635)</f>
        <v>1</v>
      </c>
      <c r="B1635" s="26" t="s">
        <v>384</v>
      </c>
      <c r="C1635" s="27">
        <v>20060368076653</v>
      </c>
      <c r="D1635" s="26" t="s">
        <v>463</v>
      </c>
      <c r="E1635" s="28">
        <v>56.4</v>
      </c>
      <c r="F1635" s="9"/>
      <c r="G1635" s="14" t="str">
        <f t="shared" si="65"/>
        <v>O</v>
      </c>
      <c r="H1635" s="15">
        <f t="shared" si="64"/>
        <v>28.2</v>
      </c>
      <c r="L1635" s="35"/>
    </row>
    <row r="1636" spans="1:12" x14ac:dyDescent="0.3">
      <c r="A1636" s="31">
        <f>COUNTIFS($B$2:B1636,B1636)</f>
        <v>2</v>
      </c>
      <c r="B1636" s="26" t="s">
        <v>384</v>
      </c>
      <c r="C1636" s="27">
        <v>20060368076653</v>
      </c>
      <c r="D1636" s="26" t="s">
        <v>418</v>
      </c>
      <c r="E1636" s="28">
        <v>1.2</v>
      </c>
      <c r="F1636" s="9"/>
      <c r="G1636" s="14" t="str">
        <f t="shared" si="65"/>
        <v>O</v>
      </c>
      <c r="H1636" s="15">
        <f t="shared" si="64"/>
        <v>0.6</v>
      </c>
      <c r="L1636" s="35"/>
    </row>
    <row r="1637" spans="1:12" x14ac:dyDescent="0.3">
      <c r="A1637" s="31">
        <f>COUNTIFS($B$2:B1637,B1637)</f>
        <v>3</v>
      </c>
      <c r="B1637" s="26" t="s">
        <v>384</v>
      </c>
      <c r="C1637" s="27">
        <v>20060368076653</v>
      </c>
      <c r="D1637" s="26" t="s">
        <v>528</v>
      </c>
      <c r="E1637" s="28">
        <v>47.4</v>
      </c>
      <c r="F1637" s="9"/>
      <c r="G1637" s="14" t="str">
        <f t="shared" si="65"/>
        <v>O</v>
      </c>
      <c r="H1637" s="15">
        <f t="shared" si="64"/>
        <v>23.7</v>
      </c>
      <c r="L1637" s="35"/>
    </row>
    <row r="1638" spans="1:12" x14ac:dyDescent="0.3">
      <c r="A1638" s="31">
        <f>COUNTIFS($B$2:B1638,B1638)</f>
        <v>4</v>
      </c>
      <c r="B1638" s="26" t="s">
        <v>384</v>
      </c>
      <c r="C1638" s="27">
        <v>20060368076653</v>
      </c>
      <c r="D1638" s="26" t="s">
        <v>489</v>
      </c>
      <c r="E1638" s="28">
        <v>0.7</v>
      </c>
      <c r="F1638" s="9"/>
      <c r="G1638" s="14" t="str">
        <f t="shared" si="65"/>
        <v>O</v>
      </c>
      <c r="H1638" s="15">
        <f t="shared" si="64"/>
        <v>0.35</v>
      </c>
      <c r="L1638" s="35"/>
    </row>
    <row r="1639" spans="1:12" x14ac:dyDescent="0.3">
      <c r="A1639" s="31">
        <f>COUNTIFS($B$2:B1639,B1639)</f>
        <v>5</v>
      </c>
      <c r="B1639" s="26" t="s">
        <v>384</v>
      </c>
      <c r="C1639" s="27">
        <v>20060368076653</v>
      </c>
      <c r="D1639" s="26" t="s">
        <v>80</v>
      </c>
      <c r="E1639" s="28">
        <v>9.9</v>
      </c>
      <c r="F1639" s="9"/>
      <c r="G1639" s="14" t="str">
        <f t="shared" si="65"/>
        <v>O</v>
      </c>
      <c r="H1639" s="15">
        <f t="shared" si="64"/>
        <v>4.95</v>
      </c>
      <c r="L1639" s="35"/>
    </row>
    <row r="1640" spans="1:12" x14ac:dyDescent="0.3">
      <c r="A1640" s="31">
        <f>COUNTIFS($B$2:B1640,B1640)</f>
        <v>6</v>
      </c>
      <c r="B1640" s="26" t="s">
        <v>384</v>
      </c>
      <c r="C1640" s="27">
        <v>20060368076653</v>
      </c>
      <c r="D1640" s="26" t="s">
        <v>424</v>
      </c>
      <c r="E1640" s="28">
        <v>5.2</v>
      </c>
      <c r="F1640" s="9"/>
      <c r="G1640" s="14" t="str">
        <f t="shared" si="65"/>
        <v>O</v>
      </c>
      <c r="H1640" s="15">
        <f t="shared" si="64"/>
        <v>2.6</v>
      </c>
      <c r="L1640" s="35"/>
    </row>
    <row r="1641" spans="1:12" x14ac:dyDescent="0.3">
      <c r="A1641" s="31">
        <f>COUNTIFS($B$2:B1641,B1641)</f>
        <v>7</v>
      </c>
      <c r="B1641" s="26" t="s">
        <v>384</v>
      </c>
      <c r="C1641" s="27">
        <v>20060368076653</v>
      </c>
      <c r="D1641" s="26" t="s">
        <v>573</v>
      </c>
      <c r="E1641" s="28">
        <v>12.3</v>
      </c>
      <c r="F1641" s="9"/>
      <c r="G1641" s="14" t="str">
        <f t="shared" si="65"/>
        <v>O</v>
      </c>
      <c r="H1641" s="15">
        <f t="shared" si="64"/>
        <v>6.15</v>
      </c>
      <c r="L1641" s="35"/>
    </row>
    <row r="1642" spans="1:12" x14ac:dyDescent="0.3">
      <c r="A1642" s="31">
        <f>COUNTIFS($B$2:B1642,B1642)</f>
        <v>8</v>
      </c>
      <c r="B1642" s="26" t="s">
        <v>384</v>
      </c>
      <c r="C1642" s="27">
        <v>20060368076653</v>
      </c>
      <c r="D1642" s="26" t="s">
        <v>60</v>
      </c>
      <c r="E1642" s="28">
        <v>3.1</v>
      </c>
      <c r="F1642" s="9"/>
      <c r="G1642" s="14" t="str">
        <f t="shared" si="65"/>
        <v>O</v>
      </c>
      <c r="H1642" s="15">
        <f t="shared" si="64"/>
        <v>1.55</v>
      </c>
      <c r="L1642" s="35"/>
    </row>
    <row r="1643" spans="1:12" x14ac:dyDescent="0.3">
      <c r="A1643" s="31">
        <f>COUNTIFS($B$2:B1643,B1643)</f>
        <v>9</v>
      </c>
      <c r="B1643" s="26" t="s">
        <v>384</v>
      </c>
      <c r="C1643" s="27">
        <v>20060368076653</v>
      </c>
      <c r="D1643" s="26" t="s">
        <v>295</v>
      </c>
      <c r="E1643" s="28">
        <v>5.4112471527282303E-2</v>
      </c>
      <c r="F1643" s="9"/>
      <c r="G1643" s="14" t="str">
        <f t="shared" si="65"/>
        <v>O</v>
      </c>
      <c r="H1643" s="15">
        <f t="shared" si="64"/>
        <v>2.7056235763641152E-2</v>
      </c>
      <c r="L1643" s="35"/>
    </row>
    <row r="1644" spans="1:12" x14ac:dyDescent="0.3">
      <c r="A1644" s="31">
        <f>COUNTIFS($B$2:B1644,B1644)</f>
        <v>10</v>
      </c>
      <c r="B1644" s="26" t="s">
        <v>384</v>
      </c>
      <c r="C1644" s="27">
        <v>20060368076653</v>
      </c>
      <c r="D1644" s="26" t="s">
        <v>553</v>
      </c>
      <c r="E1644" s="28">
        <v>18.8</v>
      </c>
      <c r="F1644" s="9"/>
      <c r="G1644" s="14" t="str">
        <f t="shared" si="65"/>
        <v>O</v>
      </c>
      <c r="H1644" s="15">
        <f t="shared" si="64"/>
        <v>9.4</v>
      </c>
      <c r="L1644" s="35"/>
    </row>
    <row r="1645" spans="1:12" x14ac:dyDescent="0.3">
      <c r="A1645" s="31">
        <f>COUNTIFS($B$2:B1645,B1645)</f>
        <v>1</v>
      </c>
      <c r="B1645" s="26" t="s">
        <v>386</v>
      </c>
      <c r="C1645" s="27">
        <v>20060368076654</v>
      </c>
      <c r="D1645" s="26" t="s">
        <v>463</v>
      </c>
      <c r="E1645" s="28">
        <v>169.2</v>
      </c>
      <c r="F1645" s="9"/>
      <c r="G1645" s="14" t="str">
        <f t="shared" si="65"/>
        <v>O</v>
      </c>
      <c r="H1645" s="15">
        <f t="shared" si="64"/>
        <v>84.6</v>
      </c>
      <c r="L1645" s="35"/>
    </row>
    <row r="1646" spans="1:12" x14ac:dyDescent="0.3">
      <c r="A1646" s="31">
        <f>COUNTIFS($B$2:B1646,B1646)</f>
        <v>2</v>
      </c>
      <c r="B1646" s="26" t="s">
        <v>386</v>
      </c>
      <c r="C1646" s="27">
        <v>20060368076654</v>
      </c>
      <c r="D1646" s="26" t="s">
        <v>418</v>
      </c>
      <c r="E1646" s="28">
        <v>3.5999999999999996</v>
      </c>
      <c r="F1646" s="9"/>
      <c r="G1646" s="14" t="str">
        <f t="shared" si="65"/>
        <v>O</v>
      </c>
      <c r="H1646" s="15">
        <f t="shared" si="64"/>
        <v>1.7999999999999998</v>
      </c>
      <c r="L1646" s="35"/>
    </row>
    <row r="1647" spans="1:12" x14ac:dyDescent="0.3">
      <c r="A1647" s="31">
        <f>COUNTIFS($B$2:B1647,B1647)</f>
        <v>3</v>
      </c>
      <c r="B1647" s="26" t="s">
        <v>386</v>
      </c>
      <c r="C1647" s="27">
        <v>20060368076654</v>
      </c>
      <c r="D1647" s="26" t="s">
        <v>528</v>
      </c>
      <c r="E1647" s="28">
        <v>142.19999999999999</v>
      </c>
      <c r="F1647" s="9"/>
      <c r="G1647" s="14" t="str">
        <f t="shared" si="65"/>
        <v>O</v>
      </c>
      <c r="H1647" s="15">
        <f t="shared" si="64"/>
        <v>71.099999999999994</v>
      </c>
      <c r="L1647" s="35"/>
    </row>
    <row r="1648" spans="1:12" x14ac:dyDescent="0.3">
      <c r="A1648" s="31">
        <f>COUNTIFS($B$2:B1648,B1648)</f>
        <v>4</v>
      </c>
      <c r="B1648" s="26" t="s">
        <v>386</v>
      </c>
      <c r="C1648" s="27">
        <v>20060368076654</v>
      </c>
      <c r="D1648" s="26" t="s">
        <v>489</v>
      </c>
      <c r="E1648" s="28">
        <v>2.0999999999999996</v>
      </c>
      <c r="F1648" s="9"/>
      <c r="G1648" s="14" t="str">
        <f t="shared" si="65"/>
        <v>O</v>
      </c>
      <c r="H1648" s="15">
        <f t="shared" si="64"/>
        <v>1.0499999999999998</v>
      </c>
      <c r="L1648" s="35"/>
    </row>
    <row r="1649" spans="1:12" x14ac:dyDescent="0.3">
      <c r="A1649" s="31">
        <f>COUNTIFS($B$2:B1649,B1649)</f>
        <v>5</v>
      </c>
      <c r="B1649" s="26" t="s">
        <v>386</v>
      </c>
      <c r="C1649" s="27">
        <v>20060368076654</v>
      </c>
      <c r="D1649" s="26" t="s">
        <v>421</v>
      </c>
      <c r="E1649" s="28">
        <v>29.700000000000003</v>
      </c>
      <c r="F1649" s="9"/>
      <c r="G1649" s="14" t="str">
        <f t="shared" si="65"/>
        <v>O</v>
      </c>
      <c r="H1649" s="15">
        <f t="shared" si="64"/>
        <v>14.850000000000001</v>
      </c>
      <c r="L1649" s="35"/>
    </row>
    <row r="1650" spans="1:12" x14ac:dyDescent="0.3">
      <c r="A1650" s="31">
        <f>COUNTIFS($B$2:B1650,B1650)</f>
        <v>6</v>
      </c>
      <c r="B1650" s="26" t="s">
        <v>386</v>
      </c>
      <c r="C1650" s="27">
        <v>20060368076654</v>
      </c>
      <c r="D1650" s="26" t="s">
        <v>424</v>
      </c>
      <c r="E1650" s="28">
        <v>15.600000000000001</v>
      </c>
      <c r="F1650" s="9"/>
      <c r="G1650" s="14" t="str">
        <f t="shared" si="65"/>
        <v>O</v>
      </c>
      <c r="H1650" s="15">
        <f t="shared" si="64"/>
        <v>7.8000000000000007</v>
      </c>
      <c r="L1650" s="35"/>
    </row>
    <row r="1651" spans="1:12" x14ac:dyDescent="0.3">
      <c r="A1651" s="31">
        <f>COUNTIFS($B$2:B1651,B1651)</f>
        <v>7</v>
      </c>
      <c r="B1651" s="26" t="s">
        <v>386</v>
      </c>
      <c r="C1651" s="27">
        <v>20060368076654</v>
      </c>
      <c r="D1651" s="26" t="s">
        <v>573</v>
      </c>
      <c r="E1651" s="28">
        <v>36.900000000000006</v>
      </c>
      <c r="F1651" s="9"/>
      <c r="G1651" s="14" t="str">
        <f t="shared" si="65"/>
        <v>O</v>
      </c>
      <c r="H1651" s="15">
        <f t="shared" si="64"/>
        <v>18.450000000000003</v>
      </c>
      <c r="L1651" s="35"/>
    </row>
    <row r="1652" spans="1:12" x14ac:dyDescent="0.3">
      <c r="A1652" s="31">
        <f>COUNTIFS($B$2:B1652,B1652)</f>
        <v>8</v>
      </c>
      <c r="B1652" s="26" t="s">
        <v>386</v>
      </c>
      <c r="C1652" s="27">
        <v>20060368076654</v>
      </c>
      <c r="D1652" s="26" t="s">
        <v>558</v>
      </c>
      <c r="E1652" s="28">
        <v>9.3000000000000007</v>
      </c>
      <c r="F1652" s="9"/>
      <c r="G1652" s="14" t="str">
        <f t="shared" si="65"/>
        <v>O</v>
      </c>
      <c r="H1652" s="15">
        <f t="shared" si="64"/>
        <v>4.6500000000000004</v>
      </c>
      <c r="L1652" s="35"/>
    </row>
    <row r="1653" spans="1:12" x14ac:dyDescent="0.3">
      <c r="A1653" s="31">
        <f>COUNTIFS($B$2:B1653,B1653)</f>
        <v>9</v>
      </c>
      <c r="B1653" s="26" t="s">
        <v>386</v>
      </c>
      <c r="C1653" s="27">
        <v>20060368076654</v>
      </c>
      <c r="D1653" s="26" t="s">
        <v>295</v>
      </c>
      <c r="E1653" s="28">
        <v>0.16233741458184692</v>
      </c>
      <c r="F1653" s="9"/>
      <c r="G1653" s="14" t="str">
        <f t="shared" si="65"/>
        <v>O</v>
      </c>
      <c r="H1653" s="15">
        <f t="shared" ref="H1653:H1716" si="66">E1653/2</f>
        <v>8.1168707290923459E-2</v>
      </c>
      <c r="L1653" s="35"/>
    </row>
    <row r="1654" spans="1:12" x14ac:dyDescent="0.3">
      <c r="A1654" s="31">
        <f>COUNTIFS($B$2:B1654,B1654)</f>
        <v>10</v>
      </c>
      <c r="B1654" s="26" t="s">
        <v>386</v>
      </c>
      <c r="C1654" s="27">
        <v>20060368076654</v>
      </c>
      <c r="D1654" s="26" t="s">
        <v>553</v>
      </c>
      <c r="E1654" s="28">
        <v>56.400000000000006</v>
      </c>
      <c r="F1654" s="9"/>
      <c r="G1654" s="14" t="str">
        <f t="shared" si="65"/>
        <v>O</v>
      </c>
      <c r="H1654" s="15">
        <f t="shared" si="66"/>
        <v>28.200000000000003</v>
      </c>
      <c r="L1654" s="35"/>
    </row>
    <row r="1655" spans="1:12" x14ac:dyDescent="0.3">
      <c r="A1655" s="31">
        <f>COUNTIFS($B$2:B1655,B1655)</f>
        <v>1</v>
      </c>
      <c r="B1655" s="26" t="s">
        <v>388</v>
      </c>
      <c r="C1655" s="27">
        <v>20060368076655</v>
      </c>
      <c r="D1655" s="26" t="s">
        <v>284</v>
      </c>
      <c r="E1655" s="28">
        <v>67</v>
      </c>
      <c r="F1655" s="9"/>
      <c r="G1655" s="14" t="str">
        <f t="shared" si="65"/>
        <v>O</v>
      </c>
      <c r="H1655" s="15">
        <f t="shared" si="66"/>
        <v>33.5</v>
      </c>
      <c r="L1655" s="35"/>
    </row>
    <row r="1656" spans="1:12" x14ac:dyDescent="0.3">
      <c r="A1656" s="31">
        <f>COUNTIFS($B$2:B1656,B1656)</f>
        <v>2</v>
      </c>
      <c r="B1656" s="26" t="s">
        <v>388</v>
      </c>
      <c r="C1656" s="27">
        <v>20060368076655</v>
      </c>
      <c r="D1656" s="26" t="s">
        <v>155</v>
      </c>
      <c r="E1656" s="28">
        <v>1.1000000000000001</v>
      </c>
      <c r="F1656" s="9"/>
      <c r="G1656" s="14" t="str">
        <f t="shared" si="65"/>
        <v>O</v>
      </c>
      <c r="H1656" s="15">
        <f t="shared" si="66"/>
        <v>0.55000000000000004</v>
      </c>
      <c r="L1656" s="35"/>
    </row>
    <row r="1657" spans="1:12" x14ac:dyDescent="0.3">
      <c r="A1657" s="31">
        <f>COUNTIFS($B$2:B1657,B1657)</f>
        <v>3</v>
      </c>
      <c r="B1657" s="26" t="s">
        <v>388</v>
      </c>
      <c r="C1657" s="27">
        <v>20060368076655</v>
      </c>
      <c r="D1657" s="26" t="s">
        <v>114</v>
      </c>
      <c r="E1657" s="28">
        <v>36.1</v>
      </c>
      <c r="F1657" s="9"/>
      <c r="G1657" s="14" t="str">
        <f t="shared" si="65"/>
        <v>O</v>
      </c>
      <c r="H1657" s="15">
        <f t="shared" si="66"/>
        <v>18.05</v>
      </c>
      <c r="L1657" s="35"/>
    </row>
    <row r="1658" spans="1:12" x14ac:dyDescent="0.3">
      <c r="A1658" s="31">
        <f>COUNTIFS($B$2:B1658,B1658)</f>
        <v>4</v>
      </c>
      <c r="B1658" s="26" t="s">
        <v>388</v>
      </c>
      <c r="C1658" s="27">
        <v>20060368076655</v>
      </c>
      <c r="D1658" s="26" t="s">
        <v>164</v>
      </c>
      <c r="E1658" s="28">
        <v>0.7</v>
      </c>
      <c r="F1658" s="9"/>
      <c r="G1658" s="14" t="str">
        <f t="shared" si="65"/>
        <v>O</v>
      </c>
      <c r="H1658" s="15">
        <f t="shared" si="66"/>
        <v>0.35</v>
      </c>
      <c r="L1658" s="35"/>
    </row>
    <row r="1659" spans="1:12" x14ac:dyDescent="0.3">
      <c r="A1659" s="31">
        <f>COUNTIFS($B$2:B1659,B1659)</f>
        <v>5</v>
      </c>
      <c r="B1659" s="26" t="s">
        <v>388</v>
      </c>
      <c r="C1659" s="27">
        <v>20060368076655</v>
      </c>
      <c r="D1659" s="26" t="s">
        <v>228</v>
      </c>
      <c r="E1659" s="28">
        <v>9.1999999999999993</v>
      </c>
      <c r="F1659" s="9"/>
      <c r="G1659" s="14" t="str">
        <f t="shared" si="65"/>
        <v>O</v>
      </c>
      <c r="H1659" s="15">
        <f t="shared" si="66"/>
        <v>4.5999999999999996</v>
      </c>
      <c r="L1659" s="35"/>
    </row>
    <row r="1660" spans="1:12" x14ac:dyDescent="0.3">
      <c r="A1660" s="31">
        <f>COUNTIFS($B$2:B1660,B1660)</f>
        <v>6</v>
      </c>
      <c r="B1660" s="26" t="s">
        <v>388</v>
      </c>
      <c r="C1660" s="27">
        <v>20060368076655</v>
      </c>
      <c r="D1660" s="26" t="s">
        <v>84</v>
      </c>
      <c r="E1660" s="28">
        <v>5.7</v>
      </c>
      <c r="F1660" s="9"/>
      <c r="G1660" s="14" t="str">
        <f t="shared" si="65"/>
        <v>O</v>
      </c>
      <c r="H1660" s="15">
        <f t="shared" si="66"/>
        <v>2.85</v>
      </c>
      <c r="L1660" s="35"/>
    </row>
    <row r="1661" spans="1:12" x14ac:dyDescent="0.3">
      <c r="A1661" s="31">
        <f>COUNTIFS($B$2:B1661,B1661)</f>
        <v>7</v>
      </c>
      <c r="B1661" s="26" t="s">
        <v>388</v>
      </c>
      <c r="C1661" s="27">
        <v>20060368076655</v>
      </c>
      <c r="D1661" s="26" t="s">
        <v>218</v>
      </c>
      <c r="E1661" s="28">
        <v>4.8</v>
      </c>
      <c r="F1661" s="9"/>
      <c r="G1661" s="14" t="str">
        <f t="shared" si="65"/>
        <v>O</v>
      </c>
      <c r="H1661" s="15">
        <f t="shared" si="66"/>
        <v>2.4</v>
      </c>
      <c r="L1661" s="35"/>
    </row>
    <row r="1662" spans="1:12" x14ac:dyDescent="0.3">
      <c r="A1662" s="31">
        <f>COUNTIFS($B$2:B1662,B1662)</f>
        <v>8</v>
      </c>
      <c r="B1662" s="26" t="s">
        <v>388</v>
      </c>
      <c r="C1662" s="27">
        <v>20060368076655</v>
      </c>
      <c r="D1662" s="26" t="s">
        <v>60</v>
      </c>
      <c r="E1662" s="28">
        <v>2.9</v>
      </c>
      <c r="F1662" s="9"/>
      <c r="G1662" s="14" t="str">
        <f t="shared" si="65"/>
        <v>O</v>
      </c>
      <c r="H1662" s="15">
        <f t="shared" si="66"/>
        <v>1.45</v>
      </c>
      <c r="L1662" s="35"/>
    </row>
    <row r="1663" spans="1:12" x14ac:dyDescent="0.3">
      <c r="A1663" s="31">
        <f>COUNTIFS($B$2:B1663,B1663)</f>
        <v>9</v>
      </c>
      <c r="B1663" s="26" t="s">
        <v>388</v>
      </c>
      <c r="C1663" s="27">
        <v>20060368076655</v>
      </c>
      <c r="D1663" s="26" t="s">
        <v>230</v>
      </c>
      <c r="E1663" s="28">
        <v>24.6</v>
      </c>
      <c r="F1663" s="9"/>
      <c r="G1663" s="14" t="str">
        <f t="shared" si="65"/>
        <v>O</v>
      </c>
      <c r="H1663" s="15">
        <f t="shared" si="66"/>
        <v>12.3</v>
      </c>
      <c r="L1663" s="35"/>
    </row>
    <row r="1664" spans="1:12" x14ac:dyDescent="0.3">
      <c r="A1664" s="31">
        <f>COUNTIFS($B$2:B1664,B1664)</f>
        <v>10</v>
      </c>
      <c r="B1664" s="26" t="s">
        <v>388</v>
      </c>
      <c r="C1664" s="27">
        <v>20060368076655</v>
      </c>
      <c r="D1664" s="26" t="s">
        <v>70</v>
      </c>
      <c r="E1664" s="28">
        <v>2.9</v>
      </c>
      <c r="F1664" s="9"/>
      <c r="G1664" s="14" t="str">
        <f t="shared" si="65"/>
        <v>O</v>
      </c>
      <c r="H1664" s="15">
        <f t="shared" si="66"/>
        <v>1.45</v>
      </c>
      <c r="L1664" s="35"/>
    </row>
    <row r="1665" spans="1:12" x14ac:dyDescent="0.3">
      <c r="A1665" s="48">
        <f>COUNTIFS($B$2:B1665,B1665)</f>
        <v>1</v>
      </c>
      <c r="B1665" s="26" t="s">
        <v>390</v>
      </c>
      <c r="C1665" s="27">
        <v>20060368076656</v>
      </c>
      <c r="D1665" s="26" t="s">
        <v>284</v>
      </c>
      <c r="E1665" s="26">
        <v>201</v>
      </c>
      <c r="F1665" s="9"/>
      <c r="G1665" s="14" t="str">
        <f t="shared" si="65"/>
        <v>O</v>
      </c>
      <c r="H1665" s="15">
        <f t="shared" si="66"/>
        <v>100.5</v>
      </c>
      <c r="L1665" s="35"/>
    </row>
    <row r="1666" spans="1:12" x14ac:dyDescent="0.3">
      <c r="A1666" s="48">
        <f>COUNTIFS($B$2:B1666,B1666)</f>
        <v>2</v>
      </c>
      <c r="B1666" s="26" t="s">
        <v>390</v>
      </c>
      <c r="C1666" s="27">
        <v>20060368076656</v>
      </c>
      <c r="D1666" s="26" t="s">
        <v>418</v>
      </c>
      <c r="E1666" s="26">
        <v>3.3000000000000003</v>
      </c>
      <c r="F1666" s="9"/>
      <c r="G1666" s="14" t="str">
        <f t="shared" si="65"/>
        <v>O</v>
      </c>
      <c r="H1666" s="15">
        <f t="shared" si="66"/>
        <v>1.6500000000000001</v>
      </c>
      <c r="L1666" s="35"/>
    </row>
    <row r="1667" spans="1:12" x14ac:dyDescent="0.3">
      <c r="A1667" s="48">
        <f>COUNTIFS($B$2:B1667,B1667)</f>
        <v>3</v>
      </c>
      <c r="B1667" s="26" t="s">
        <v>390</v>
      </c>
      <c r="C1667" s="27">
        <v>20060368076656</v>
      </c>
      <c r="D1667" s="26" t="s">
        <v>528</v>
      </c>
      <c r="E1667" s="26">
        <v>108.30000000000001</v>
      </c>
      <c r="F1667" s="9"/>
      <c r="G1667" s="14" t="str">
        <f t="shared" si="65"/>
        <v>O</v>
      </c>
      <c r="H1667" s="15">
        <f t="shared" si="66"/>
        <v>54.150000000000006</v>
      </c>
      <c r="L1667" s="35"/>
    </row>
    <row r="1668" spans="1:12" x14ac:dyDescent="0.3">
      <c r="A1668" s="48">
        <f>COUNTIFS($B$2:B1668,B1668)</f>
        <v>4</v>
      </c>
      <c r="B1668" s="26" t="s">
        <v>390</v>
      </c>
      <c r="C1668" s="27">
        <v>20060368076656</v>
      </c>
      <c r="D1668" s="26" t="s">
        <v>489</v>
      </c>
      <c r="E1668" s="26">
        <v>2.0999999999999996</v>
      </c>
      <c r="F1668" s="9"/>
      <c r="G1668" s="14" t="str">
        <f t="shared" si="65"/>
        <v>O</v>
      </c>
      <c r="H1668" s="15">
        <f t="shared" si="66"/>
        <v>1.0499999999999998</v>
      </c>
      <c r="L1668" s="35"/>
    </row>
    <row r="1669" spans="1:12" x14ac:dyDescent="0.3">
      <c r="A1669" s="48">
        <f>COUNTIFS($B$2:B1669,B1669)</f>
        <v>5</v>
      </c>
      <c r="B1669" s="26" t="s">
        <v>390</v>
      </c>
      <c r="C1669" s="27">
        <v>20060368076656</v>
      </c>
      <c r="D1669" s="26" t="s">
        <v>421</v>
      </c>
      <c r="E1669" s="26">
        <v>27.599999999999998</v>
      </c>
      <c r="F1669" s="9"/>
      <c r="G1669" s="14" t="str">
        <f t="shared" si="65"/>
        <v>O</v>
      </c>
      <c r="H1669" s="15">
        <f t="shared" si="66"/>
        <v>13.799999999999999</v>
      </c>
      <c r="L1669" s="35"/>
    </row>
    <row r="1670" spans="1:12" x14ac:dyDescent="0.3">
      <c r="A1670" s="48">
        <f>COUNTIFS($B$2:B1670,B1670)</f>
        <v>6</v>
      </c>
      <c r="B1670" s="26" t="s">
        <v>390</v>
      </c>
      <c r="C1670" s="27">
        <v>20060368076656</v>
      </c>
      <c r="D1670" s="26" t="s">
        <v>511</v>
      </c>
      <c r="E1670" s="26">
        <v>17.100000000000001</v>
      </c>
      <c r="F1670" s="9"/>
      <c r="G1670" s="14" t="str">
        <f t="shared" si="65"/>
        <v>O</v>
      </c>
      <c r="H1670" s="15">
        <f t="shared" si="66"/>
        <v>8.5500000000000007</v>
      </c>
      <c r="L1670" s="35"/>
    </row>
    <row r="1671" spans="1:12" x14ac:dyDescent="0.3">
      <c r="A1671" s="48">
        <f>COUNTIFS($B$2:B1671,B1671)</f>
        <v>7</v>
      </c>
      <c r="B1671" s="26" t="s">
        <v>390</v>
      </c>
      <c r="C1671" s="27">
        <v>20060368076656</v>
      </c>
      <c r="D1671" s="26" t="s">
        <v>424</v>
      </c>
      <c r="E1671" s="26">
        <v>14.399999999999999</v>
      </c>
      <c r="F1671" s="9"/>
      <c r="G1671" s="14" t="str">
        <f t="shared" si="65"/>
        <v>O</v>
      </c>
      <c r="H1671" s="15">
        <f t="shared" si="66"/>
        <v>7.1999999999999993</v>
      </c>
      <c r="L1671" s="35"/>
    </row>
    <row r="1672" spans="1:12" x14ac:dyDescent="0.3">
      <c r="A1672" s="48">
        <f>COUNTIFS($B$2:B1672,B1672)</f>
        <v>8</v>
      </c>
      <c r="B1672" s="26" t="s">
        <v>390</v>
      </c>
      <c r="C1672" s="27">
        <v>20060368076656</v>
      </c>
      <c r="D1672" s="26" t="s">
        <v>558</v>
      </c>
      <c r="E1672" s="26">
        <v>8.6999999999999993</v>
      </c>
      <c r="F1672" s="9"/>
      <c r="G1672" s="14" t="str">
        <f t="shared" si="65"/>
        <v>O</v>
      </c>
      <c r="H1672" s="15">
        <f t="shared" si="66"/>
        <v>4.3499999999999996</v>
      </c>
      <c r="L1672" s="35"/>
    </row>
    <row r="1673" spans="1:12" x14ac:dyDescent="0.3">
      <c r="A1673" s="48">
        <f>COUNTIFS($B$2:B1673,B1673)</f>
        <v>9</v>
      </c>
      <c r="B1673" s="26" t="s">
        <v>390</v>
      </c>
      <c r="C1673" s="27">
        <v>20060368076656</v>
      </c>
      <c r="D1673" s="26" t="s">
        <v>429</v>
      </c>
      <c r="E1673" s="26">
        <v>73.800000000000011</v>
      </c>
      <c r="F1673" s="9"/>
      <c r="G1673" s="14" t="str">
        <f t="shared" si="65"/>
        <v>O</v>
      </c>
      <c r="H1673" s="15">
        <f t="shared" si="66"/>
        <v>36.900000000000006</v>
      </c>
      <c r="L1673" s="35"/>
    </row>
    <row r="1674" spans="1:12" x14ac:dyDescent="0.3">
      <c r="A1674" s="48">
        <f>COUNTIFS($B$2:B1674,B1674)</f>
        <v>10</v>
      </c>
      <c r="B1674" s="26" t="s">
        <v>390</v>
      </c>
      <c r="C1674" s="27">
        <v>20060368076656</v>
      </c>
      <c r="D1674" s="26" t="s">
        <v>70</v>
      </c>
      <c r="E1674" s="26">
        <v>8.6999999999999993</v>
      </c>
      <c r="F1674" s="9"/>
      <c r="G1674" s="14"/>
      <c r="H1674" s="15">
        <f t="shared" si="66"/>
        <v>4.3499999999999996</v>
      </c>
      <c r="L1674" s="35"/>
    </row>
    <row r="1675" spans="1:12" x14ac:dyDescent="0.3">
      <c r="A1675" s="31">
        <f>COUNTIFS($B$2:B1675,B1675)</f>
        <v>1</v>
      </c>
      <c r="B1675" s="26" t="s">
        <v>391</v>
      </c>
      <c r="C1675" s="27">
        <v>20060368076657</v>
      </c>
      <c r="D1675" s="26" t="s">
        <v>284</v>
      </c>
      <c r="E1675" s="28">
        <v>78.900000000000006</v>
      </c>
      <c r="F1675" s="9"/>
      <c r="G1675" s="14" t="str">
        <f t="shared" ref="G1675:G1738" si="67">IF(D1675="","",IF(COUNTIF(I:I,D1675)&gt;0,"O","X"))</f>
        <v>O</v>
      </c>
      <c r="H1675" s="15">
        <f t="shared" si="66"/>
        <v>39.450000000000003</v>
      </c>
      <c r="L1675" s="35"/>
    </row>
    <row r="1676" spans="1:12" x14ac:dyDescent="0.3">
      <c r="A1676" s="31">
        <f>COUNTIFS($B$2:B1676,B1676)</f>
        <v>2</v>
      </c>
      <c r="B1676" s="26" t="s">
        <v>391</v>
      </c>
      <c r="C1676" s="27">
        <v>20060368076657</v>
      </c>
      <c r="D1676" s="26" t="s">
        <v>418</v>
      </c>
      <c r="E1676" s="28">
        <v>1.3</v>
      </c>
      <c r="F1676" s="9"/>
      <c r="G1676" s="14" t="str">
        <f t="shared" si="67"/>
        <v>O</v>
      </c>
      <c r="H1676" s="15">
        <f t="shared" si="66"/>
        <v>0.65</v>
      </c>
      <c r="L1676" s="35"/>
    </row>
    <row r="1677" spans="1:12" x14ac:dyDescent="0.3">
      <c r="A1677" s="31">
        <f>COUNTIFS($B$2:B1677,B1677)</f>
        <v>3</v>
      </c>
      <c r="B1677" s="26" t="s">
        <v>391</v>
      </c>
      <c r="C1677" s="27">
        <v>20060368076657</v>
      </c>
      <c r="D1677" s="26" t="s">
        <v>528</v>
      </c>
      <c r="E1677" s="28">
        <v>40.799999999999997</v>
      </c>
      <c r="F1677" s="9"/>
      <c r="G1677" s="14" t="str">
        <f t="shared" si="67"/>
        <v>O</v>
      </c>
      <c r="H1677" s="15">
        <f t="shared" si="66"/>
        <v>20.399999999999999</v>
      </c>
      <c r="L1677" s="35"/>
    </row>
    <row r="1678" spans="1:12" x14ac:dyDescent="0.3">
      <c r="A1678" s="31">
        <f>COUNTIFS($B$2:B1678,B1678)</f>
        <v>4</v>
      </c>
      <c r="B1678" s="26" t="s">
        <v>391</v>
      </c>
      <c r="C1678" s="27">
        <v>20060368076657</v>
      </c>
      <c r="D1678" s="26" t="s">
        <v>489</v>
      </c>
      <c r="E1678" s="28">
        <v>0.8</v>
      </c>
      <c r="F1678" s="9"/>
      <c r="G1678" s="14" t="str">
        <f t="shared" si="67"/>
        <v>O</v>
      </c>
      <c r="H1678" s="15">
        <f t="shared" si="66"/>
        <v>0.4</v>
      </c>
      <c r="L1678" s="35"/>
    </row>
    <row r="1679" spans="1:12" x14ac:dyDescent="0.3">
      <c r="A1679" s="31">
        <f>COUNTIFS($B$2:B1679,B1679)</f>
        <v>5</v>
      </c>
      <c r="B1679" s="26" t="s">
        <v>391</v>
      </c>
      <c r="C1679" s="27">
        <v>20060368076657</v>
      </c>
      <c r="D1679" s="26" t="s">
        <v>421</v>
      </c>
      <c r="E1679" s="28">
        <v>10.4</v>
      </c>
      <c r="F1679" s="9"/>
      <c r="G1679" s="14" t="str">
        <f t="shared" si="67"/>
        <v>O</v>
      </c>
      <c r="H1679" s="15">
        <f t="shared" si="66"/>
        <v>5.2</v>
      </c>
      <c r="L1679" s="35"/>
    </row>
    <row r="1680" spans="1:12" x14ac:dyDescent="0.3">
      <c r="A1680" s="31">
        <f>COUNTIFS($B$2:B1680,B1680)</f>
        <v>6</v>
      </c>
      <c r="B1680" s="26" t="s">
        <v>391</v>
      </c>
      <c r="C1680" s="27">
        <v>20060368076657</v>
      </c>
      <c r="D1680" s="26" t="s">
        <v>218</v>
      </c>
      <c r="E1680" s="28">
        <v>5.4</v>
      </c>
      <c r="F1680" s="9"/>
      <c r="G1680" s="14" t="str">
        <f t="shared" si="67"/>
        <v>O</v>
      </c>
      <c r="H1680" s="15">
        <f t="shared" si="66"/>
        <v>2.7</v>
      </c>
      <c r="L1680" s="35"/>
    </row>
    <row r="1681" spans="1:12" x14ac:dyDescent="0.3">
      <c r="A1681" s="31">
        <f>COUNTIFS($B$2:B1681,B1681)</f>
        <v>7</v>
      </c>
      <c r="B1681" s="26" t="s">
        <v>391</v>
      </c>
      <c r="C1681" s="27">
        <v>20060368076657</v>
      </c>
      <c r="D1681" s="26" t="s">
        <v>511</v>
      </c>
      <c r="E1681" s="28">
        <v>6.5</v>
      </c>
      <c r="F1681" s="9"/>
      <c r="G1681" s="14" t="str">
        <f t="shared" si="67"/>
        <v>O</v>
      </c>
      <c r="H1681" s="15">
        <f t="shared" si="66"/>
        <v>3.25</v>
      </c>
      <c r="L1681" s="35"/>
    </row>
    <row r="1682" spans="1:12" x14ac:dyDescent="0.3">
      <c r="A1682" s="31">
        <f>COUNTIFS($B$2:B1682,B1682)</f>
        <v>8</v>
      </c>
      <c r="B1682" s="26" t="s">
        <v>391</v>
      </c>
      <c r="C1682" s="27">
        <v>20060368076657</v>
      </c>
      <c r="D1682" s="26" t="s">
        <v>558</v>
      </c>
      <c r="E1682" s="28">
        <v>3.2</v>
      </c>
      <c r="F1682" s="9"/>
      <c r="G1682" s="14" t="str">
        <f t="shared" si="67"/>
        <v>O</v>
      </c>
      <c r="H1682" s="15">
        <f t="shared" si="66"/>
        <v>1.6</v>
      </c>
      <c r="L1682" s="35"/>
    </row>
    <row r="1683" spans="1:12" x14ac:dyDescent="0.3">
      <c r="A1683" s="31">
        <f>COUNTIFS($B$2:B1683,B1683)</f>
        <v>9</v>
      </c>
      <c r="B1683" s="26" t="s">
        <v>391</v>
      </c>
      <c r="C1683" s="27">
        <v>20060368076657</v>
      </c>
      <c r="D1683" s="26" t="s">
        <v>15</v>
      </c>
      <c r="E1683" s="28">
        <v>7.8</v>
      </c>
      <c r="F1683" s="9"/>
      <c r="G1683" s="14" t="str">
        <f t="shared" si="67"/>
        <v>O</v>
      </c>
      <c r="H1683" s="15">
        <f t="shared" si="66"/>
        <v>3.9</v>
      </c>
      <c r="L1683" s="35"/>
    </row>
    <row r="1684" spans="1:12" x14ac:dyDescent="0.3">
      <c r="A1684" s="19">
        <f>COUNTIFS($B$2:B1684,B1684)</f>
        <v>1</v>
      </c>
      <c r="B1684" s="26" t="s">
        <v>392</v>
      </c>
      <c r="C1684" s="27">
        <v>20060368076658</v>
      </c>
      <c r="D1684" s="26" t="s">
        <v>284</v>
      </c>
      <c r="E1684" s="28">
        <v>236.70000000000002</v>
      </c>
      <c r="F1684" s="9"/>
      <c r="G1684" s="14" t="str">
        <f t="shared" si="67"/>
        <v>O</v>
      </c>
      <c r="H1684" s="15">
        <f t="shared" si="66"/>
        <v>118.35000000000001</v>
      </c>
      <c r="L1684" s="35"/>
    </row>
    <row r="1685" spans="1:12" x14ac:dyDescent="0.3">
      <c r="A1685" s="19">
        <f>COUNTIFS($B$2:B1685,B1685)</f>
        <v>2</v>
      </c>
      <c r="B1685" s="26" t="s">
        <v>392</v>
      </c>
      <c r="C1685" s="27">
        <v>20060368076658</v>
      </c>
      <c r="D1685" s="26" t="s">
        <v>155</v>
      </c>
      <c r="E1685" s="28">
        <v>3.9000000000000004</v>
      </c>
      <c r="F1685" s="9"/>
      <c r="G1685" s="14" t="str">
        <f t="shared" si="67"/>
        <v>O</v>
      </c>
      <c r="H1685" s="15">
        <f t="shared" si="66"/>
        <v>1.9500000000000002</v>
      </c>
      <c r="L1685" s="35"/>
    </row>
    <row r="1686" spans="1:12" x14ac:dyDescent="0.3">
      <c r="A1686" s="19">
        <f>COUNTIFS($B$2:B1686,B1686)</f>
        <v>3</v>
      </c>
      <c r="B1686" s="26" t="s">
        <v>392</v>
      </c>
      <c r="C1686" s="27">
        <v>20060368076658</v>
      </c>
      <c r="D1686" s="26" t="s">
        <v>114</v>
      </c>
      <c r="E1686" s="28">
        <v>122.39999999999999</v>
      </c>
      <c r="F1686" s="9"/>
      <c r="G1686" s="14" t="str">
        <f t="shared" si="67"/>
        <v>O</v>
      </c>
      <c r="H1686" s="15">
        <f t="shared" si="66"/>
        <v>61.199999999999996</v>
      </c>
      <c r="L1686" s="35"/>
    </row>
    <row r="1687" spans="1:12" x14ac:dyDescent="0.3">
      <c r="A1687" s="19">
        <f>COUNTIFS($B$2:B1687,B1687)</f>
        <v>4</v>
      </c>
      <c r="B1687" s="26" t="s">
        <v>392</v>
      </c>
      <c r="C1687" s="27">
        <v>20060368076658</v>
      </c>
      <c r="D1687" s="26" t="s">
        <v>164</v>
      </c>
      <c r="E1687" s="28">
        <v>2.4000000000000004</v>
      </c>
      <c r="F1687" s="9"/>
      <c r="G1687" s="14" t="str">
        <f t="shared" si="67"/>
        <v>O</v>
      </c>
      <c r="H1687" s="15">
        <f t="shared" si="66"/>
        <v>1.2000000000000002</v>
      </c>
      <c r="L1687" s="35"/>
    </row>
    <row r="1688" spans="1:12" x14ac:dyDescent="0.3">
      <c r="A1688" s="19">
        <f>COUNTIFS($B$2:B1688,B1688)</f>
        <v>5</v>
      </c>
      <c r="B1688" s="26" t="s">
        <v>392</v>
      </c>
      <c r="C1688" s="27">
        <v>20060368076658</v>
      </c>
      <c r="D1688" s="26" t="s">
        <v>228</v>
      </c>
      <c r="E1688" s="28">
        <v>31.200000000000003</v>
      </c>
      <c r="F1688" s="9"/>
      <c r="G1688" s="14" t="str">
        <f t="shared" si="67"/>
        <v>O</v>
      </c>
      <c r="H1688" s="15">
        <f t="shared" si="66"/>
        <v>15.600000000000001</v>
      </c>
      <c r="L1688" s="35"/>
    </row>
    <row r="1689" spans="1:12" x14ac:dyDescent="0.3">
      <c r="A1689" s="19">
        <f>COUNTIFS($B$2:B1689,B1689)</f>
        <v>6</v>
      </c>
      <c r="B1689" s="26" t="s">
        <v>392</v>
      </c>
      <c r="C1689" s="27">
        <v>20060368076658</v>
      </c>
      <c r="D1689" s="26" t="s">
        <v>218</v>
      </c>
      <c r="E1689" s="28">
        <v>16.200000000000003</v>
      </c>
      <c r="F1689" s="9"/>
      <c r="G1689" s="14" t="str">
        <f t="shared" si="67"/>
        <v>O</v>
      </c>
      <c r="H1689" s="15">
        <f t="shared" si="66"/>
        <v>8.1000000000000014</v>
      </c>
      <c r="L1689" s="35"/>
    </row>
    <row r="1690" spans="1:12" x14ac:dyDescent="0.3">
      <c r="A1690" s="19">
        <f>COUNTIFS($B$2:B1690,B1690)</f>
        <v>7</v>
      </c>
      <c r="B1690" s="26" t="s">
        <v>392</v>
      </c>
      <c r="C1690" s="27">
        <v>20060368076658</v>
      </c>
      <c r="D1690" s="26" t="s">
        <v>84</v>
      </c>
      <c r="E1690" s="28">
        <v>19.5</v>
      </c>
      <c r="F1690" s="9"/>
      <c r="G1690" s="14" t="str">
        <f t="shared" si="67"/>
        <v>O</v>
      </c>
      <c r="H1690" s="15">
        <f t="shared" si="66"/>
        <v>9.75</v>
      </c>
      <c r="L1690" s="35"/>
    </row>
    <row r="1691" spans="1:12" x14ac:dyDescent="0.3">
      <c r="A1691" s="19">
        <f>COUNTIFS($B$2:B1691,B1691)</f>
        <v>8</v>
      </c>
      <c r="B1691" s="26" t="s">
        <v>392</v>
      </c>
      <c r="C1691" s="27">
        <v>20060368076658</v>
      </c>
      <c r="D1691" s="26" t="s">
        <v>60</v>
      </c>
      <c r="E1691" s="28">
        <v>9.6000000000000014</v>
      </c>
      <c r="F1691" s="9"/>
      <c r="G1691" s="14" t="str">
        <f t="shared" si="67"/>
        <v>O</v>
      </c>
      <c r="H1691" s="15">
        <f t="shared" si="66"/>
        <v>4.8000000000000007</v>
      </c>
      <c r="L1691" s="35"/>
    </row>
    <row r="1692" spans="1:12" x14ac:dyDescent="0.3">
      <c r="A1692" s="19">
        <f>COUNTIFS($B$2:B1692,B1692)</f>
        <v>9</v>
      </c>
      <c r="B1692" s="26" t="s">
        <v>392</v>
      </c>
      <c r="C1692" s="27">
        <v>20060368076658</v>
      </c>
      <c r="D1692" s="26" t="s">
        <v>15</v>
      </c>
      <c r="E1692" s="28">
        <v>23.4</v>
      </c>
      <c r="F1692" s="9"/>
      <c r="G1692" s="14" t="str">
        <f t="shared" si="67"/>
        <v>O</v>
      </c>
      <c r="H1692" s="15">
        <f t="shared" si="66"/>
        <v>11.7</v>
      </c>
      <c r="L1692" s="35"/>
    </row>
    <row r="1693" spans="1:12" x14ac:dyDescent="0.3">
      <c r="A1693" s="19">
        <f>COUNTIFS($B$2:B1693,B1693)</f>
        <v>1</v>
      </c>
      <c r="B1693" s="26" t="s">
        <v>394</v>
      </c>
      <c r="C1693" s="27">
        <v>20060368076659</v>
      </c>
      <c r="D1693" s="26" t="s">
        <v>463</v>
      </c>
      <c r="E1693" s="28">
        <v>410.53369380194255</v>
      </c>
      <c r="F1693" s="9"/>
      <c r="G1693" s="14" t="str">
        <f t="shared" si="67"/>
        <v>O</v>
      </c>
      <c r="H1693" s="15">
        <f t="shared" si="66"/>
        <v>205.26684690097127</v>
      </c>
      <c r="L1693" s="35"/>
    </row>
    <row r="1694" spans="1:12" x14ac:dyDescent="0.3">
      <c r="A1694" s="19">
        <f>COUNTIFS($B$2:B1694,B1694)</f>
        <v>2</v>
      </c>
      <c r="B1694" s="26" t="s">
        <v>394</v>
      </c>
      <c r="C1694" s="27">
        <v>20060368076659</v>
      </c>
      <c r="D1694" s="26" t="s">
        <v>164</v>
      </c>
      <c r="E1694" s="28">
        <v>4.1053369380194251</v>
      </c>
      <c r="F1694" s="9"/>
      <c r="G1694" s="14" t="str">
        <f t="shared" si="67"/>
        <v>O</v>
      </c>
      <c r="H1694" s="15">
        <f t="shared" si="66"/>
        <v>2.0526684690097126</v>
      </c>
      <c r="L1694" s="35"/>
    </row>
    <row r="1695" spans="1:12" x14ac:dyDescent="0.3">
      <c r="A1695" s="19">
        <f>COUNTIFS($B$2:B1695,B1695)</f>
        <v>3</v>
      </c>
      <c r="B1695" s="26" t="s">
        <v>394</v>
      </c>
      <c r="C1695" s="27">
        <v>20060368076659</v>
      </c>
      <c r="D1695" s="26" t="s">
        <v>295</v>
      </c>
      <c r="E1695" s="28">
        <v>9.8528086512466209E-2</v>
      </c>
      <c r="F1695" s="9"/>
      <c r="G1695" s="14" t="str">
        <f t="shared" si="67"/>
        <v>O</v>
      </c>
      <c r="H1695" s="15">
        <f t="shared" si="66"/>
        <v>4.9264043256233105E-2</v>
      </c>
      <c r="L1695" s="35"/>
    </row>
    <row r="1696" spans="1:12" x14ac:dyDescent="0.3">
      <c r="A1696" s="19">
        <f>COUNTIFS($B$2:B1696,B1696)</f>
        <v>4</v>
      </c>
      <c r="B1696" s="26" t="s">
        <v>394</v>
      </c>
      <c r="C1696" s="27">
        <v>20060368076659</v>
      </c>
      <c r="D1696" s="26" t="s">
        <v>535</v>
      </c>
      <c r="E1696" s="28">
        <v>41.053369380194248</v>
      </c>
      <c r="F1696" s="9"/>
      <c r="G1696" s="14" t="str">
        <f t="shared" si="67"/>
        <v>O</v>
      </c>
      <c r="H1696" s="15">
        <f t="shared" si="66"/>
        <v>20.526684690097124</v>
      </c>
      <c r="L1696" s="35"/>
    </row>
    <row r="1697" spans="1:12" x14ac:dyDescent="0.3">
      <c r="A1697" s="19">
        <f>COUNTIFS($B$2:B1697,B1697)</f>
        <v>5</v>
      </c>
      <c r="B1697" s="26" t="s">
        <v>394</v>
      </c>
      <c r="C1697" s="27">
        <v>20060368076659</v>
      </c>
      <c r="D1697" s="26" t="s">
        <v>588</v>
      </c>
      <c r="E1697" s="28">
        <v>102.63342345048564</v>
      </c>
      <c r="F1697" s="9"/>
      <c r="G1697" s="14" t="str">
        <f t="shared" si="67"/>
        <v>O</v>
      </c>
      <c r="H1697" s="15">
        <f t="shared" si="66"/>
        <v>51.316711725242818</v>
      </c>
      <c r="L1697" s="35"/>
    </row>
    <row r="1698" spans="1:12" x14ac:dyDescent="0.3">
      <c r="A1698" s="19">
        <f>COUNTIFS($B$2:B1698,B1698)</f>
        <v>6</v>
      </c>
      <c r="B1698" s="26" t="s">
        <v>394</v>
      </c>
      <c r="C1698" s="27">
        <v>20060368076659</v>
      </c>
      <c r="D1698" s="26" t="s">
        <v>114</v>
      </c>
      <c r="E1698" s="28">
        <v>256.58355862621409</v>
      </c>
      <c r="F1698" s="9"/>
      <c r="G1698" s="14" t="str">
        <f t="shared" si="67"/>
        <v>O</v>
      </c>
      <c r="H1698" s="15">
        <f t="shared" si="66"/>
        <v>128.29177931310704</v>
      </c>
      <c r="L1698" s="35"/>
    </row>
    <row r="1699" spans="1:12" x14ac:dyDescent="0.3">
      <c r="A1699" s="19">
        <f>COUNTIFS($B$2:B1699,B1699)</f>
        <v>7</v>
      </c>
      <c r="B1699" s="26" t="s">
        <v>394</v>
      </c>
      <c r="C1699" s="27">
        <v>20060368076659</v>
      </c>
      <c r="D1699" s="26" t="s">
        <v>218</v>
      </c>
      <c r="E1699" s="28">
        <v>4.1053369380194251</v>
      </c>
      <c r="F1699" s="9"/>
      <c r="G1699" s="14" t="str">
        <f t="shared" si="67"/>
        <v>O</v>
      </c>
      <c r="H1699" s="15">
        <f t="shared" si="66"/>
        <v>2.0526684690097126</v>
      </c>
      <c r="L1699" s="35"/>
    </row>
    <row r="1700" spans="1:12" x14ac:dyDescent="0.3">
      <c r="A1700" s="38">
        <f>COUNTIFS($B$2:B1700,B1700)</f>
        <v>1</v>
      </c>
      <c r="B1700" s="39" t="s">
        <v>613</v>
      </c>
      <c r="C1700" s="40">
        <v>20060368076667</v>
      </c>
      <c r="D1700" s="39" t="s">
        <v>210</v>
      </c>
      <c r="E1700" s="41">
        <v>42.88</v>
      </c>
      <c r="F1700" s="9"/>
      <c r="G1700" s="14" t="str">
        <f t="shared" si="67"/>
        <v>O</v>
      </c>
      <c r="H1700" s="15">
        <f t="shared" si="66"/>
        <v>21.44</v>
      </c>
      <c r="L1700" s="35"/>
    </row>
    <row r="1701" spans="1:12" x14ac:dyDescent="0.3">
      <c r="A1701" s="38">
        <f>COUNTIFS($B$2:B1701,B1701)</f>
        <v>2</v>
      </c>
      <c r="B1701" s="39" t="s">
        <v>613</v>
      </c>
      <c r="C1701" s="40">
        <v>20060368076667</v>
      </c>
      <c r="D1701" s="39" t="s">
        <v>213</v>
      </c>
      <c r="E1701" s="41">
        <v>35.17</v>
      </c>
      <c r="F1701" s="9"/>
      <c r="G1701" s="14" t="str">
        <f t="shared" si="67"/>
        <v>O</v>
      </c>
      <c r="H1701" s="15">
        <f t="shared" si="66"/>
        <v>17.585000000000001</v>
      </c>
      <c r="L1701" s="35"/>
    </row>
    <row r="1702" spans="1:12" x14ac:dyDescent="0.3">
      <c r="A1702" s="38">
        <f>COUNTIFS($B$2:B1702,B1702)</f>
        <v>3</v>
      </c>
      <c r="B1702" s="39" t="s">
        <v>613</v>
      </c>
      <c r="C1702" s="40">
        <v>20060368076667</v>
      </c>
      <c r="D1702" s="39" t="s">
        <v>17</v>
      </c>
      <c r="E1702" s="41">
        <v>11.5</v>
      </c>
      <c r="F1702" s="9"/>
      <c r="G1702" s="14" t="str">
        <f t="shared" si="67"/>
        <v>O</v>
      </c>
      <c r="H1702" s="15">
        <f t="shared" si="66"/>
        <v>5.75</v>
      </c>
      <c r="L1702" s="35"/>
    </row>
    <row r="1703" spans="1:12" x14ac:dyDescent="0.3">
      <c r="A1703" s="38">
        <f>COUNTIFS($B$2:B1703,B1703)</f>
        <v>4</v>
      </c>
      <c r="B1703" s="39" t="s">
        <v>613</v>
      </c>
      <c r="C1703" s="40">
        <v>20060368076667</v>
      </c>
      <c r="D1703" s="39" t="s">
        <v>206</v>
      </c>
      <c r="E1703" s="41">
        <v>60.61</v>
      </c>
      <c r="F1703" s="9"/>
      <c r="G1703" s="14" t="str">
        <f t="shared" si="67"/>
        <v>O</v>
      </c>
      <c r="H1703" s="15">
        <f t="shared" si="66"/>
        <v>30.305</v>
      </c>
      <c r="L1703" s="35"/>
    </row>
    <row r="1704" spans="1:12" x14ac:dyDescent="0.3">
      <c r="A1704" s="38">
        <f>COUNTIFS($B$2:B1704,B1704)</f>
        <v>5</v>
      </c>
      <c r="B1704" s="39" t="s">
        <v>613</v>
      </c>
      <c r="C1704" s="40">
        <v>20060368076667</v>
      </c>
      <c r="D1704" s="39" t="s">
        <v>141</v>
      </c>
      <c r="E1704" s="41">
        <v>25.3</v>
      </c>
      <c r="F1704" s="9"/>
      <c r="G1704" s="14" t="str">
        <f t="shared" si="67"/>
        <v>O</v>
      </c>
      <c r="H1704" s="15">
        <f t="shared" si="66"/>
        <v>12.65</v>
      </c>
      <c r="L1704" s="35"/>
    </row>
    <row r="1705" spans="1:12" x14ac:dyDescent="0.3">
      <c r="A1705" s="38">
        <f>COUNTIFS($B$2:B1705,B1705)</f>
        <v>6</v>
      </c>
      <c r="B1705" s="39" t="s">
        <v>613</v>
      </c>
      <c r="C1705" s="40">
        <v>20060368076667</v>
      </c>
      <c r="D1705" s="39" t="s">
        <v>222</v>
      </c>
      <c r="E1705" s="41">
        <v>1.54</v>
      </c>
      <c r="F1705" s="9"/>
      <c r="G1705" s="14" t="str">
        <f t="shared" si="67"/>
        <v>O</v>
      </c>
      <c r="H1705" s="15">
        <f t="shared" si="66"/>
        <v>0.77</v>
      </c>
      <c r="L1705" s="35"/>
    </row>
    <row r="1706" spans="1:12" x14ac:dyDescent="0.3">
      <c r="A1706" s="38">
        <f>COUNTIFS($B$2:B1706,B1706)</f>
        <v>7</v>
      </c>
      <c r="B1706" s="39" t="s">
        <v>613</v>
      </c>
      <c r="C1706" s="40">
        <v>20060368076667</v>
      </c>
      <c r="D1706" s="39" t="s">
        <v>576</v>
      </c>
      <c r="E1706" s="41">
        <v>20</v>
      </c>
      <c r="F1706" s="9"/>
      <c r="G1706" s="14" t="str">
        <f t="shared" si="67"/>
        <v>O</v>
      </c>
      <c r="H1706" s="15">
        <f t="shared" si="66"/>
        <v>10</v>
      </c>
      <c r="L1706" s="35"/>
    </row>
    <row r="1707" spans="1:12" x14ac:dyDescent="0.3">
      <c r="A1707" s="38">
        <f>COUNTIFS($B$2:B1707,B1707)</f>
        <v>8</v>
      </c>
      <c r="B1707" s="39" t="s">
        <v>613</v>
      </c>
      <c r="C1707" s="40">
        <v>20060368076667</v>
      </c>
      <c r="D1707" s="39" t="s">
        <v>614</v>
      </c>
      <c r="E1707" s="41">
        <v>20</v>
      </c>
      <c r="F1707" s="9"/>
      <c r="G1707" s="14" t="str">
        <f t="shared" si="67"/>
        <v>O</v>
      </c>
      <c r="H1707" s="15">
        <f t="shared" si="66"/>
        <v>10</v>
      </c>
      <c r="L1707" s="35"/>
    </row>
    <row r="1708" spans="1:12" x14ac:dyDescent="0.3">
      <c r="A1708" s="38">
        <f>COUNTIFS($B$2:B1708,B1708)</f>
        <v>9</v>
      </c>
      <c r="B1708" s="39" t="s">
        <v>613</v>
      </c>
      <c r="C1708" s="40">
        <v>20060368076667</v>
      </c>
      <c r="D1708" s="39" t="s">
        <v>577</v>
      </c>
      <c r="E1708" s="41">
        <v>20</v>
      </c>
      <c r="F1708" s="9"/>
      <c r="G1708" s="14" t="str">
        <f t="shared" si="67"/>
        <v>O</v>
      </c>
      <c r="H1708" s="15">
        <f t="shared" si="66"/>
        <v>10</v>
      </c>
      <c r="L1708" s="35"/>
    </row>
    <row r="1709" spans="1:12" x14ac:dyDescent="0.3">
      <c r="A1709" s="38">
        <f>COUNTIFS($B$2:B1709,B1709)</f>
        <v>1</v>
      </c>
      <c r="B1709" s="39" t="s">
        <v>615</v>
      </c>
      <c r="C1709" s="40">
        <v>20060368076668</v>
      </c>
      <c r="D1709" s="39" t="s">
        <v>157</v>
      </c>
      <c r="E1709" s="41">
        <v>38.54</v>
      </c>
      <c r="F1709" s="9"/>
      <c r="G1709" s="14" t="str">
        <f t="shared" si="67"/>
        <v>O</v>
      </c>
      <c r="H1709" s="15">
        <f t="shared" si="66"/>
        <v>19.27</v>
      </c>
      <c r="L1709" s="35"/>
    </row>
    <row r="1710" spans="1:12" x14ac:dyDescent="0.3">
      <c r="A1710" s="38">
        <f>COUNTIFS($B$2:B1710,B1710)</f>
        <v>2</v>
      </c>
      <c r="B1710" s="39" t="s">
        <v>615</v>
      </c>
      <c r="C1710" s="40">
        <v>20060368076668</v>
      </c>
      <c r="D1710" s="39" t="s">
        <v>210</v>
      </c>
      <c r="E1710" s="41">
        <v>43.71</v>
      </c>
      <c r="F1710" s="9"/>
      <c r="G1710" s="14" t="str">
        <f t="shared" si="67"/>
        <v>O</v>
      </c>
      <c r="H1710" s="15">
        <f t="shared" si="66"/>
        <v>21.855</v>
      </c>
      <c r="L1710" s="35"/>
    </row>
    <row r="1711" spans="1:12" x14ac:dyDescent="0.3">
      <c r="A1711" s="38">
        <f>COUNTIFS($B$2:B1711,B1711)</f>
        <v>3</v>
      </c>
      <c r="B1711" s="39" t="s">
        <v>615</v>
      </c>
      <c r="C1711" s="40">
        <v>20060368076668</v>
      </c>
      <c r="D1711" s="39" t="s">
        <v>17</v>
      </c>
      <c r="E1711" s="41">
        <v>11.44</v>
      </c>
      <c r="F1711" s="9"/>
      <c r="G1711" s="14" t="str">
        <f t="shared" si="67"/>
        <v>O</v>
      </c>
      <c r="H1711" s="15">
        <f t="shared" si="66"/>
        <v>5.72</v>
      </c>
      <c r="L1711" s="35"/>
    </row>
    <row r="1712" spans="1:12" x14ac:dyDescent="0.3">
      <c r="A1712" s="38">
        <f>COUNTIFS($B$2:B1712,B1712)</f>
        <v>4</v>
      </c>
      <c r="B1712" s="39" t="s">
        <v>615</v>
      </c>
      <c r="C1712" s="40">
        <v>20060368076668</v>
      </c>
      <c r="D1712" s="39" t="s">
        <v>206</v>
      </c>
      <c r="E1712" s="41">
        <v>51.34</v>
      </c>
      <c r="F1712" s="9"/>
      <c r="G1712" s="14" t="str">
        <f t="shared" si="67"/>
        <v>O</v>
      </c>
      <c r="H1712" s="15">
        <f t="shared" si="66"/>
        <v>25.67</v>
      </c>
      <c r="L1712" s="35"/>
    </row>
    <row r="1713" spans="1:12" x14ac:dyDescent="0.3">
      <c r="A1713" s="38">
        <f>COUNTIFS($B$2:B1713,B1713)</f>
        <v>5</v>
      </c>
      <c r="B1713" s="39" t="s">
        <v>615</v>
      </c>
      <c r="C1713" s="40">
        <v>20060368076668</v>
      </c>
      <c r="D1713" s="39" t="s">
        <v>172</v>
      </c>
      <c r="E1713" s="41">
        <v>5.17</v>
      </c>
      <c r="F1713" s="9"/>
      <c r="G1713" s="14" t="str">
        <f t="shared" si="67"/>
        <v>O</v>
      </c>
      <c r="H1713" s="15">
        <f t="shared" si="66"/>
        <v>2.585</v>
      </c>
      <c r="L1713" s="35"/>
    </row>
    <row r="1714" spans="1:12" x14ac:dyDescent="0.3">
      <c r="A1714" s="38">
        <f>COUNTIFS($B$2:B1714,B1714)</f>
        <v>6</v>
      </c>
      <c r="B1714" s="39" t="s">
        <v>615</v>
      </c>
      <c r="C1714" s="40">
        <v>20060368076668</v>
      </c>
      <c r="D1714" s="39" t="s">
        <v>141</v>
      </c>
      <c r="E1714" s="41">
        <v>23.15</v>
      </c>
      <c r="F1714" s="9"/>
      <c r="G1714" s="14" t="str">
        <f t="shared" si="67"/>
        <v>O</v>
      </c>
      <c r="H1714" s="15">
        <f t="shared" si="66"/>
        <v>11.574999999999999</v>
      </c>
      <c r="L1714" s="35"/>
    </row>
    <row r="1715" spans="1:12" x14ac:dyDescent="0.3">
      <c r="A1715" s="38">
        <f>COUNTIFS($B$2:B1715,B1715)</f>
        <v>7</v>
      </c>
      <c r="B1715" s="39" t="s">
        <v>615</v>
      </c>
      <c r="C1715" s="40">
        <v>20060368076668</v>
      </c>
      <c r="D1715" s="39" t="s">
        <v>222</v>
      </c>
      <c r="E1715" s="41">
        <v>0.39</v>
      </c>
      <c r="F1715" s="9"/>
      <c r="G1715" s="14" t="str">
        <f t="shared" si="67"/>
        <v>O</v>
      </c>
      <c r="H1715" s="15">
        <f t="shared" si="66"/>
        <v>0.19500000000000001</v>
      </c>
      <c r="L1715" s="35"/>
    </row>
    <row r="1716" spans="1:12" x14ac:dyDescent="0.3">
      <c r="A1716" s="38">
        <f>COUNTIFS($B$2:B1716,B1716)</f>
        <v>8</v>
      </c>
      <c r="B1716" s="39" t="s">
        <v>615</v>
      </c>
      <c r="C1716" s="40">
        <v>20060368076668</v>
      </c>
      <c r="D1716" s="39" t="s">
        <v>255</v>
      </c>
      <c r="E1716" s="41">
        <v>3.27</v>
      </c>
      <c r="F1716" s="9"/>
      <c r="G1716" s="14" t="str">
        <f t="shared" si="67"/>
        <v>O</v>
      </c>
      <c r="H1716" s="15">
        <f t="shared" si="66"/>
        <v>1.635</v>
      </c>
      <c r="L1716" s="35"/>
    </row>
    <row r="1717" spans="1:12" x14ac:dyDescent="0.3">
      <c r="A1717" s="38">
        <f>COUNTIFS($B$2:B1717,B1717)</f>
        <v>9</v>
      </c>
      <c r="B1717" s="39" t="s">
        <v>615</v>
      </c>
      <c r="C1717" s="40">
        <v>20060368076668</v>
      </c>
      <c r="D1717" s="39" t="s">
        <v>576</v>
      </c>
      <c r="E1717" s="41">
        <v>20</v>
      </c>
      <c r="F1717" s="9"/>
      <c r="G1717" s="14" t="str">
        <f t="shared" si="67"/>
        <v>O</v>
      </c>
      <c r="H1717" s="15">
        <f t="shared" ref="H1717:H1780" si="68">E1717/2</f>
        <v>10</v>
      </c>
      <c r="L1717" s="35"/>
    </row>
    <row r="1718" spans="1:12" x14ac:dyDescent="0.3">
      <c r="A1718" s="38">
        <f>COUNTIFS($B$2:B1718,B1718)</f>
        <v>10</v>
      </c>
      <c r="B1718" s="39" t="s">
        <v>615</v>
      </c>
      <c r="C1718" s="40">
        <v>20060368076668</v>
      </c>
      <c r="D1718" s="39" t="s">
        <v>614</v>
      </c>
      <c r="E1718" s="41">
        <v>20</v>
      </c>
      <c r="F1718" s="9"/>
      <c r="G1718" s="14" t="str">
        <f t="shared" si="67"/>
        <v>O</v>
      </c>
      <c r="H1718" s="15">
        <f t="shared" si="68"/>
        <v>10</v>
      </c>
      <c r="L1718" s="35"/>
    </row>
    <row r="1719" spans="1:12" x14ac:dyDescent="0.3">
      <c r="A1719" s="38">
        <f>COUNTIFS($B$2:B1719,B1719)</f>
        <v>11</v>
      </c>
      <c r="B1719" s="39" t="s">
        <v>615</v>
      </c>
      <c r="C1719" s="40">
        <v>20060368076668</v>
      </c>
      <c r="D1719" s="39" t="s">
        <v>577</v>
      </c>
      <c r="E1719" s="41">
        <v>20</v>
      </c>
      <c r="F1719" s="9"/>
      <c r="G1719" s="14" t="str">
        <f t="shared" si="67"/>
        <v>O</v>
      </c>
      <c r="H1719" s="15">
        <f t="shared" si="68"/>
        <v>10</v>
      </c>
      <c r="L1719" s="35"/>
    </row>
    <row r="1720" spans="1:12" x14ac:dyDescent="0.3">
      <c r="A1720" s="38">
        <f>COUNTIFS($B$2:B1720,B1720)</f>
        <v>1</v>
      </c>
      <c r="B1720" s="39" t="s">
        <v>616</v>
      </c>
      <c r="C1720" s="40">
        <v>20060368076669</v>
      </c>
      <c r="D1720" s="39" t="s">
        <v>210</v>
      </c>
      <c r="E1720" s="41">
        <v>42.88</v>
      </c>
      <c r="F1720" s="9"/>
      <c r="G1720" s="14" t="str">
        <f t="shared" si="67"/>
        <v>O</v>
      </c>
      <c r="H1720" s="15">
        <f t="shared" si="68"/>
        <v>21.44</v>
      </c>
      <c r="L1720" s="35"/>
    </row>
    <row r="1721" spans="1:12" x14ac:dyDescent="0.3">
      <c r="A1721" s="38">
        <f>COUNTIFS($B$2:B1721,B1721)</f>
        <v>2</v>
      </c>
      <c r="B1721" s="39" t="s">
        <v>616</v>
      </c>
      <c r="C1721" s="40">
        <v>20060368076669</v>
      </c>
      <c r="D1721" s="39" t="s">
        <v>213</v>
      </c>
      <c r="E1721" s="41">
        <v>35.17</v>
      </c>
      <c r="F1721" s="9"/>
      <c r="G1721" s="14" t="str">
        <f t="shared" si="67"/>
        <v>O</v>
      </c>
      <c r="H1721" s="15">
        <f t="shared" si="68"/>
        <v>17.585000000000001</v>
      </c>
      <c r="L1721" s="35"/>
    </row>
    <row r="1722" spans="1:12" x14ac:dyDescent="0.3">
      <c r="A1722" s="38">
        <f>COUNTIFS($B$2:B1722,B1722)</f>
        <v>3</v>
      </c>
      <c r="B1722" s="39" t="s">
        <v>616</v>
      </c>
      <c r="C1722" s="40">
        <v>20060368076669</v>
      </c>
      <c r="D1722" s="39" t="s">
        <v>17</v>
      </c>
      <c r="E1722" s="41">
        <v>11.5</v>
      </c>
      <c r="F1722" s="9"/>
      <c r="G1722" s="14" t="str">
        <f t="shared" si="67"/>
        <v>O</v>
      </c>
      <c r="H1722" s="15">
        <f t="shared" si="68"/>
        <v>5.75</v>
      </c>
      <c r="L1722" s="35"/>
    </row>
    <row r="1723" spans="1:12" x14ac:dyDescent="0.3">
      <c r="A1723" s="38">
        <f>COUNTIFS($B$2:B1723,B1723)</f>
        <v>4</v>
      </c>
      <c r="B1723" s="39" t="s">
        <v>616</v>
      </c>
      <c r="C1723" s="40">
        <v>20060368076669</v>
      </c>
      <c r="D1723" s="39" t="s">
        <v>206</v>
      </c>
      <c r="E1723" s="41">
        <v>60.61</v>
      </c>
      <c r="F1723" s="9"/>
      <c r="G1723" s="14" t="str">
        <f t="shared" si="67"/>
        <v>O</v>
      </c>
      <c r="H1723" s="15">
        <f t="shared" si="68"/>
        <v>30.305</v>
      </c>
      <c r="L1723" s="35"/>
    </row>
    <row r="1724" spans="1:12" x14ac:dyDescent="0.3">
      <c r="A1724" s="38">
        <f>COUNTIFS($B$2:B1724,B1724)</f>
        <v>5</v>
      </c>
      <c r="B1724" s="39" t="s">
        <v>616</v>
      </c>
      <c r="C1724" s="40">
        <v>20060368076669</v>
      </c>
      <c r="D1724" s="39" t="s">
        <v>141</v>
      </c>
      <c r="E1724" s="41">
        <v>25.3</v>
      </c>
      <c r="F1724" s="9"/>
      <c r="G1724" s="14" t="str">
        <f t="shared" si="67"/>
        <v>O</v>
      </c>
      <c r="H1724" s="15">
        <f t="shared" si="68"/>
        <v>12.65</v>
      </c>
      <c r="L1724" s="35"/>
    </row>
    <row r="1725" spans="1:12" x14ac:dyDescent="0.3">
      <c r="A1725" s="38">
        <f>COUNTIFS($B$2:B1725,B1725)</f>
        <v>6</v>
      </c>
      <c r="B1725" s="39" t="s">
        <v>616</v>
      </c>
      <c r="C1725" s="40">
        <v>20060368076669</v>
      </c>
      <c r="D1725" s="39" t="s">
        <v>222</v>
      </c>
      <c r="E1725" s="41">
        <v>1.54</v>
      </c>
      <c r="F1725" s="9"/>
      <c r="G1725" s="14" t="str">
        <f t="shared" si="67"/>
        <v>O</v>
      </c>
      <c r="H1725" s="15">
        <f t="shared" si="68"/>
        <v>0.77</v>
      </c>
      <c r="L1725" s="35"/>
    </row>
    <row r="1726" spans="1:12" x14ac:dyDescent="0.3">
      <c r="A1726" s="38">
        <f>COUNTIFS($B$2:B1726,B1726)</f>
        <v>7</v>
      </c>
      <c r="B1726" s="39" t="s">
        <v>616</v>
      </c>
      <c r="C1726" s="40">
        <v>20060368076669</v>
      </c>
      <c r="D1726" s="39" t="s">
        <v>617</v>
      </c>
      <c r="E1726" s="41">
        <v>20</v>
      </c>
      <c r="F1726" s="9"/>
      <c r="G1726" s="14" t="str">
        <f t="shared" si="67"/>
        <v>O</v>
      </c>
      <c r="H1726" s="15">
        <f t="shared" si="68"/>
        <v>10</v>
      </c>
      <c r="L1726" s="35"/>
    </row>
    <row r="1727" spans="1:12" x14ac:dyDescent="0.3">
      <c r="A1727" s="38">
        <f>COUNTIFS($B$2:B1727,B1727)</f>
        <v>8</v>
      </c>
      <c r="B1727" s="39" t="s">
        <v>616</v>
      </c>
      <c r="C1727" s="40">
        <v>20060368076669</v>
      </c>
      <c r="D1727" s="39" t="s">
        <v>618</v>
      </c>
      <c r="E1727" s="41">
        <v>20</v>
      </c>
      <c r="F1727" s="9"/>
      <c r="G1727" s="14" t="str">
        <f t="shared" si="67"/>
        <v>O</v>
      </c>
      <c r="H1727" s="15">
        <f t="shared" si="68"/>
        <v>10</v>
      </c>
      <c r="L1727" s="35"/>
    </row>
    <row r="1728" spans="1:12" x14ac:dyDescent="0.3">
      <c r="A1728" s="38">
        <f>COUNTIFS($B$2:B1728,B1728)</f>
        <v>9</v>
      </c>
      <c r="B1728" s="39" t="s">
        <v>616</v>
      </c>
      <c r="C1728" s="40">
        <v>20060368076669</v>
      </c>
      <c r="D1728" s="39" t="s">
        <v>619</v>
      </c>
      <c r="E1728" s="41">
        <v>20</v>
      </c>
      <c r="F1728" s="9"/>
      <c r="G1728" s="14" t="str">
        <f t="shared" si="67"/>
        <v>O</v>
      </c>
      <c r="H1728" s="15">
        <f t="shared" si="68"/>
        <v>10</v>
      </c>
      <c r="L1728" s="35"/>
    </row>
    <row r="1729" spans="1:12" x14ac:dyDescent="0.3">
      <c r="A1729" s="38">
        <f>COUNTIFS($B$2:B1729,B1729)</f>
        <v>1</v>
      </c>
      <c r="B1729" s="39" t="s">
        <v>620</v>
      </c>
      <c r="C1729" s="40">
        <v>20060368076670</v>
      </c>
      <c r="D1729" s="39" t="s">
        <v>157</v>
      </c>
      <c r="E1729" s="41">
        <v>38.54</v>
      </c>
      <c r="F1729" s="9"/>
      <c r="G1729" s="14" t="str">
        <f t="shared" si="67"/>
        <v>O</v>
      </c>
      <c r="H1729" s="15">
        <f t="shared" si="68"/>
        <v>19.27</v>
      </c>
      <c r="L1729" s="35"/>
    </row>
    <row r="1730" spans="1:12" x14ac:dyDescent="0.3">
      <c r="A1730" s="38">
        <f>COUNTIFS($B$2:B1730,B1730)</f>
        <v>2</v>
      </c>
      <c r="B1730" s="39" t="s">
        <v>620</v>
      </c>
      <c r="C1730" s="40">
        <v>20060368076670</v>
      </c>
      <c r="D1730" s="39" t="s">
        <v>210</v>
      </c>
      <c r="E1730" s="41">
        <v>43.71</v>
      </c>
      <c r="F1730" s="9"/>
      <c r="G1730" s="14" t="str">
        <f t="shared" si="67"/>
        <v>O</v>
      </c>
      <c r="H1730" s="15">
        <f t="shared" si="68"/>
        <v>21.855</v>
      </c>
      <c r="L1730" s="35"/>
    </row>
    <row r="1731" spans="1:12" x14ac:dyDescent="0.3">
      <c r="A1731" s="38">
        <f>COUNTIFS($B$2:B1731,B1731)</f>
        <v>3</v>
      </c>
      <c r="B1731" s="39" t="s">
        <v>620</v>
      </c>
      <c r="C1731" s="40">
        <v>20060368076670</v>
      </c>
      <c r="D1731" s="39" t="s">
        <v>17</v>
      </c>
      <c r="E1731" s="41">
        <v>11.44</v>
      </c>
      <c r="F1731" s="9"/>
      <c r="G1731" s="14" t="str">
        <f t="shared" si="67"/>
        <v>O</v>
      </c>
      <c r="H1731" s="15">
        <f t="shared" si="68"/>
        <v>5.72</v>
      </c>
      <c r="L1731" s="35"/>
    </row>
    <row r="1732" spans="1:12" x14ac:dyDescent="0.3">
      <c r="A1732" s="38">
        <f>COUNTIFS($B$2:B1732,B1732)</f>
        <v>4</v>
      </c>
      <c r="B1732" s="39" t="s">
        <v>620</v>
      </c>
      <c r="C1732" s="40">
        <v>20060368076670</v>
      </c>
      <c r="D1732" s="39" t="s">
        <v>206</v>
      </c>
      <c r="E1732" s="41">
        <v>51.34</v>
      </c>
      <c r="F1732" s="9"/>
      <c r="G1732" s="14" t="str">
        <f t="shared" si="67"/>
        <v>O</v>
      </c>
      <c r="H1732" s="15">
        <f t="shared" si="68"/>
        <v>25.67</v>
      </c>
      <c r="L1732" s="35"/>
    </row>
    <row r="1733" spans="1:12" x14ac:dyDescent="0.3">
      <c r="A1733" s="38">
        <f>COUNTIFS($B$2:B1733,B1733)</f>
        <v>5</v>
      </c>
      <c r="B1733" s="39" t="s">
        <v>620</v>
      </c>
      <c r="C1733" s="40">
        <v>20060368076670</v>
      </c>
      <c r="D1733" s="39" t="s">
        <v>172</v>
      </c>
      <c r="E1733" s="41">
        <v>5.17</v>
      </c>
      <c r="F1733" s="9"/>
      <c r="G1733" s="14" t="str">
        <f t="shared" si="67"/>
        <v>O</v>
      </c>
      <c r="H1733" s="15">
        <f t="shared" si="68"/>
        <v>2.585</v>
      </c>
      <c r="L1733" s="35"/>
    </row>
    <row r="1734" spans="1:12" x14ac:dyDescent="0.3">
      <c r="A1734" s="38">
        <f>COUNTIFS($B$2:B1734,B1734)</f>
        <v>6</v>
      </c>
      <c r="B1734" s="39" t="s">
        <v>620</v>
      </c>
      <c r="C1734" s="40">
        <v>20060368076670</v>
      </c>
      <c r="D1734" s="39" t="s">
        <v>141</v>
      </c>
      <c r="E1734" s="41">
        <v>23.15</v>
      </c>
      <c r="F1734" s="9"/>
      <c r="G1734" s="14" t="str">
        <f t="shared" si="67"/>
        <v>O</v>
      </c>
      <c r="H1734" s="15">
        <f t="shared" si="68"/>
        <v>11.574999999999999</v>
      </c>
      <c r="L1734" s="35"/>
    </row>
    <row r="1735" spans="1:12" x14ac:dyDescent="0.3">
      <c r="A1735" s="38">
        <f>COUNTIFS($B$2:B1735,B1735)</f>
        <v>7</v>
      </c>
      <c r="B1735" s="39" t="s">
        <v>620</v>
      </c>
      <c r="C1735" s="40">
        <v>20060368076670</v>
      </c>
      <c r="D1735" s="39" t="s">
        <v>222</v>
      </c>
      <c r="E1735" s="41">
        <v>0.39</v>
      </c>
      <c r="F1735" s="9"/>
      <c r="G1735" s="14" t="str">
        <f t="shared" si="67"/>
        <v>O</v>
      </c>
      <c r="H1735" s="15">
        <f t="shared" si="68"/>
        <v>0.19500000000000001</v>
      </c>
      <c r="L1735" s="35"/>
    </row>
    <row r="1736" spans="1:12" x14ac:dyDescent="0.3">
      <c r="A1736" s="38">
        <f>COUNTIFS($B$2:B1736,B1736)</f>
        <v>8</v>
      </c>
      <c r="B1736" s="39" t="s">
        <v>620</v>
      </c>
      <c r="C1736" s="40">
        <v>20060368076670</v>
      </c>
      <c r="D1736" s="39" t="s">
        <v>255</v>
      </c>
      <c r="E1736" s="41">
        <v>3.27</v>
      </c>
      <c r="F1736" s="9"/>
      <c r="G1736" s="14" t="str">
        <f t="shared" si="67"/>
        <v>O</v>
      </c>
      <c r="H1736" s="15">
        <f t="shared" si="68"/>
        <v>1.635</v>
      </c>
      <c r="L1736" s="35"/>
    </row>
    <row r="1737" spans="1:12" x14ac:dyDescent="0.3">
      <c r="A1737" s="38">
        <f>COUNTIFS($B$2:B1737,B1737)</f>
        <v>9</v>
      </c>
      <c r="B1737" s="39" t="s">
        <v>620</v>
      </c>
      <c r="C1737" s="40">
        <v>20060368076670</v>
      </c>
      <c r="D1737" s="39" t="s">
        <v>617</v>
      </c>
      <c r="E1737" s="41">
        <v>20</v>
      </c>
      <c r="F1737" s="9"/>
      <c r="G1737" s="14" t="str">
        <f t="shared" si="67"/>
        <v>O</v>
      </c>
      <c r="H1737" s="15">
        <f t="shared" si="68"/>
        <v>10</v>
      </c>
      <c r="L1737" s="35"/>
    </row>
    <row r="1738" spans="1:12" x14ac:dyDescent="0.3">
      <c r="A1738" s="38">
        <f>COUNTIFS($B$2:B1738,B1738)</f>
        <v>10</v>
      </c>
      <c r="B1738" s="39" t="s">
        <v>620</v>
      </c>
      <c r="C1738" s="40">
        <v>20060368076670</v>
      </c>
      <c r="D1738" s="39" t="s">
        <v>618</v>
      </c>
      <c r="E1738" s="41">
        <v>20</v>
      </c>
      <c r="F1738" s="9"/>
      <c r="G1738" s="14" t="str">
        <f t="shared" si="67"/>
        <v>O</v>
      </c>
      <c r="H1738" s="15">
        <f t="shared" si="68"/>
        <v>10</v>
      </c>
      <c r="L1738" s="35"/>
    </row>
    <row r="1739" spans="1:12" x14ac:dyDescent="0.3">
      <c r="A1739" s="38">
        <f>COUNTIFS($B$2:B1739,B1739)</f>
        <v>11</v>
      </c>
      <c r="B1739" s="39" t="s">
        <v>620</v>
      </c>
      <c r="C1739" s="40">
        <v>20060368076670</v>
      </c>
      <c r="D1739" s="39" t="s">
        <v>619</v>
      </c>
      <c r="E1739" s="41">
        <v>20</v>
      </c>
      <c r="F1739" s="9"/>
      <c r="G1739" s="14" t="str">
        <f t="shared" ref="G1739:G1802" si="69">IF(D1739="","",IF(COUNTIF(I:I,D1739)&gt;0,"O","X"))</f>
        <v>O</v>
      </c>
      <c r="H1739" s="15">
        <f t="shared" si="68"/>
        <v>10</v>
      </c>
      <c r="L1739" s="35"/>
    </row>
    <row r="1740" spans="1:12" x14ac:dyDescent="0.3">
      <c r="A1740" s="38">
        <f>COUNTIFS($B$2:B1740,B1740)</f>
        <v>1</v>
      </c>
      <c r="B1740" s="39" t="s">
        <v>621</v>
      </c>
      <c r="C1740" s="40">
        <v>20060368076675</v>
      </c>
      <c r="D1740" s="39" t="s">
        <v>210</v>
      </c>
      <c r="E1740" s="41">
        <v>28.59</v>
      </c>
      <c r="F1740" s="9"/>
      <c r="G1740" s="14" t="str">
        <f t="shared" si="69"/>
        <v>O</v>
      </c>
      <c r="H1740" s="15">
        <f t="shared" si="68"/>
        <v>14.295</v>
      </c>
      <c r="L1740" s="35"/>
    </row>
    <row r="1741" spans="1:12" x14ac:dyDescent="0.3">
      <c r="A1741" s="38">
        <f>COUNTIFS($B$2:B1741,B1741)</f>
        <v>2</v>
      </c>
      <c r="B1741" s="39" t="s">
        <v>621</v>
      </c>
      <c r="C1741" s="40">
        <v>20060368076675</v>
      </c>
      <c r="D1741" s="39" t="s">
        <v>213</v>
      </c>
      <c r="E1741" s="41">
        <v>23.45</v>
      </c>
      <c r="F1741" s="9"/>
      <c r="G1741" s="14" t="str">
        <f t="shared" si="69"/>
        <v>O</v>
      </c>
      <c r="H1741" s="15">
        <f t="shared" si="68"/>
        <v>11.725</v>
      </c>
      <c r="L1741" s="35"/>
    </row>
    <row r="1742" spans="1:12" x14ac:dyDescent="0.3">
      <c r="A1742" s="38">
        <f>COUNTIFS($B$2:B1742,B1742)</f>
        <v>3</v>
      </c>
      <c r="B1742" s="39" t="s">
        <v>621</v>
      </c>
      <c r="C1742" s="40">
        <v>20060368076675</v>
      </c>
      <c r="D1742" s="39" t="s">
        <v>17</v>
      </c>
      <c r="E1742" s="41">
        <v>7.67</v>
      </c>
      <c r="F1742" s="9"/>
      <c r="G1742" s="14" t="str">
        <f t="shared" si="69"/>
        <v>O</v>
      </c>
      <c r="H1742" s="15">
        <f t="shared" si="68"/>
        <v>3.835</v>
      </c>
      <c r="L1742" s="35"/>
    </row>
    <row r="1743" spans="1:12" x14ac:dyDescent="0.3">
      <c r="A1743" s="38">
        <f>COUNTIFS($B$2:B1743,B1743)</f>
        <v>4</v>
      </c>
      <c r="B1743" s="39" t="s">
        <v>621</v>
      </c>
      <c r="C1743" s="40">
        <v>20060368076675</v>
      </c>
      <c r="D1743" s="39" t="s">
        <v>206</v>
      </c>
      <c r="E1743" s="41">
        <v>40.4</v>
      </c>
      <c r="F1743" s="9"/>
      <c r="G1743" s="14" t="str">
        <f t="shared" si="69"/>
        <v>O</v>
      </c>
      <c r="H1743" s="15">
        <f t="shared" si="68"/>
        <v>20.2</v>
      </c>
      <c r="L1743" s="35"/>
    </row>
    <row r="1744" spans="1:12" x14ac:dyDescent="0.3">
      <c r="A1744" s="38">
        <f>COUNTIFS($B$2:B1744,B1744)</f>
        <v>5</v>
      </c>
      <c r="B1744" s="39" t="s">
        <v>621</v>
      </c>
      <c r="C1744" s="40">
        <v>20060368076675</v>
      </c>
      <c r="D1744" s="39" t="s">
        <v>141</v>
      </c>
      <c r="E1744" s="41">
        <v>16.86</v>
      </c>
      <c r="F1744" s="9"/>
      <c r="G1744" s="14" t="str">
        <f t="shared" si="69"/>
        <v>O</v>
      </c>
      <c r="H1744" s="15">
        <f t="shared" si="68"/>
        <v>8.43</v>
      </c>
      <c r="L1744" s="35"/>
    </row>
    <row r="1745" spans="1:12" x14ac:dyDescent="0.3">
      <c r="A1745" s="38">
        <f>COUNTIFS($B$2:B1745,B1745)</f>
        <v>6</v>
      </c>
      <c r="B1745" s="39" t="s">
        <v>621</v>
      </c>
      <c r="C1745" s="40">
        <v>20060368076675</v>
      </c>
      <c r="D1745" s="39" t="s">
        <v>222</v>
      </c>
      <c r="E1745" s="41">
        <v>1.03</v>
      </c>
      <c r="F1745" s="9"/>
      <c r="G1745" s="14" t="str">
        <f t="shared" si="69"/>
        <v>O</v>
      </c>
      <c r="H1745" s="15">
        <f t="shared" si="68"/>
        <v>0.51500000000000001</v>
      </c>
      <c r="L1745" s="35"/>
    </row>
    <row r="1746" spans="1:12" x14ac:dyDescent="0.3">
      <c r="A1746" s="38">
        <f>COUNTIFS($B$2:B1746,B1746)</f>
        <v>7</v>
      </c>
      <c r="B1746" s="39" t="s">
        <v>621</v>
      </c>
      <c r="C1746" s="40">
        <v>20060368076675</v>
      </c>
      <c r="D1746" s="39" t="s">
        <v>614</v>
      </c>
      <c r="E1746" s="41">
        <v>20</v>
      </c>
      <c r="F1746" s="9"/>
      <c r="G1746" s="14" t="str">
        <f t="shared" si="69"/>
        <v>O</v>
      </c>
      <c r="H1746" s="15">
        <f t="shared" si="68"/>
        <v>10</v>
      </c>
      <c r="L1746" s="35"/>
    </row>
    <row r="1747" spans="1:12" x14ac:dyDescent="0.3">
      <c r="A1747" s="38">
        <f>COUNTIFS($B$2:B1747,B1747)</f>
        <v>8</v>
      </c>
      <c r="B1747" s="39" t="s">
        <v>621</v>
      </c>
      <c r="C1747" s="40">
        <v>20060368076675</v>
      </c>
      <c r="D1747" s="39" t="s">
        <v>618</v>
      </c>
      <c r="E1747" s="41">
        <v>20</v>
      </c>
      <c r="F1747" s="9"/>
      <c r="G1747" s="14" t="str">
        <f t="shared" si="69"/>
        <v>O</v>
      </c>
      <c r="H1747" s="15">
        <f t="shared" si="68"/>
        <v>10</v>
      </c>
      <c r="L1747" s="35"/>
    </row>
    <row r="1748" spans="1:12" x14ac:dyDescent="0.3">
      <c r="A1748" s="38">
        <f>COUNTIFS($B$2:B1748,B1748)</f>
        <v>1</v>
      </c>
      <c r="B1748" s="39" t="s">
        <v>622</v>
      </c>
      <c r="C1748" s="40">
        <v>20060368076676</v>
      </c>
      <c r="D1748" s="39" t="s">
        <v>157</v>
      </c>
      <c r="E1748" s="41">
        <v>25.69</v>
      </c>
      <c r="F1748" s="9"/>
      <c r="G1748" s="14" t="str">
        <f t="shared" si="69"/>
        <v>O</v>
      </c>
      <c r="H1748" s="15">
        <f t="shared" si="68"/>
        <v>12.845000000000001</v>
      </c>
      <c r="L1748" s="35"/>
    </row>
    <row r="1749" spans="1:12" x14ac:dyDescent="0.3">
      <c r="A1749" s="38">
        <f>COUNTIFS($B$2:B1749,B1749)</f>
        <v>2</v>
      </c>
      <c r="B1749" s="39" t="s">
        <v>622</v>
      </c>
      <c r="C1749" s="40">
        <v>20060368076676</v>
      </c>
      <c r="D1749" s="39" t="s">
        <v>210</v>
      </c>
      <c r="E1749" s="41">
        <v>29.14</v>
      </c>
      <c r="F1749" s="9"/>
      <c r="G1749" s="14" t="str">
        <f t="shared" si="69"/>
        <v>O</v>
      </c>
      <c r="H1749" s="15">
        <f t="shared" si="68"/>
        <v>14.57</v>
      </c>
      <c r="L1749" s="35"/>
    </row>
    <row r="1750" spans="1:12" x14ac:dyDescent="0.3">
      <c r="A1750" s="38">
        <f>COUNTIFS($B$2:B1750,B1750)</f>
        <v>3</v>
      </c>
      <c r="B1750" s="39" t="s">
        <v>622</v>
      </c>
      <c r="C1750" s="40">
        <v>20060368076676</v>
      </c>
      <c r="D1750" s="39" t="s">
        <v>17</v>
      </c>
      <c r="E1750" s="41">
        <v>7.63</v>
      </c>
      <c r="F1750" s="9"/>
      <c r="G1750" s="14" t="str">
        <f t="shared" si="69"/>
        <v>O</v>
      </c>
      <c r="H1750" s="15">
        <f t="shared" si="68"/>
        <v>3.8149999999999999</v>
      </c>
      <c r="L1750" s="35"/>
    </row>
    <row r="1751" spans="1:12" x14ac:dyDescent="0.3">
      <c r="A1751" s="38">
        <f>COUNTIFS($B$2:B1751,B1751)</f>
        <v>4</v>
      </c>
      <c r="B1751" s="39" t="s">
        <v>622</v>
      </c>
      <c r="C1751" s="40">
        <v>20060368076676</v>
      </c>
      <c r="D1751" s="39" t="s">
        <v>206</v>
      </c>
      <c r="E1751" s="41">
        <v>34.22</v>
      </c>
      <c r="F1751" s="9"/>
      <c r="G1751" s="14" t="str">
        <f t="shared" si="69"/>
        <v>O</v>
      </c>
      <c r="H1751" s="15">
        <f t="shared" si="68"/>
        <v>17.11</v>
      </c>
      <c r="L1751" s="35"/>
    </row>
    <row r="1752" spans="1:12" x14ac:dyDescent="0.3">
      <c r="A1752" s="38">
        <f>COUNTIFS($B$2:B1752,B1752)</f>
        <v>5</v>
      </c>
      <c r="B1752" s="39" t="s">
        <v>622</v>
      </c>
      <c r="C1752" s="40">
        <v>20060368076676</v>
      </c>
      <c r="D1752" s="39" t="s">
        <v>172</v>
      </c>
      <c r="E1752" s="41">
        <v>3.45</v>
      </c>
      <c r="F1752" s="9"/>
      <c r="G1752" s="14" t="str">
        <f t="shared" si="69"/>
        <v>O</v>
      </c>
      <c r="H1752" s="15">
        <f t="shared" si="68"/>
        <v>1.7250000000000001</v>
      </c>
      <c r="L1752" s="35"/>
    </row>
    <row r="1753" spans="1:12" x14ac:dyDescent="0.3">
      <c r="A1753" s="38">
        <f>COUNTIFS($B$2:B1753,B1753)</f>
        <v>6</v>
      </c>
      <c r="B1753" s="39" t="s">
        <v>622</v>
      </c>
      <c r="C1753" s="40">
        <v>20060368076676</v>
      </c>
      <c r="D1753" s="39" t="s">
        <v>141</v>
      </c>
      <c r="E1753" s="41">
        <v>15.43</v>
      </c>
      <c r="F1753" s="9"/>
      <c r="G1753" s="14" t="str">
        <f t="shared" si="69"/>
        <v>O</v>
      </c>
      <c r="H1753" s="15">
        <f t="shared" si="68"/>
        <v>7.7149999999999999</v>
      </c>
      <c r="L1753" s="35"/>
    </row>
    <row r="1754" spans="1:12" x14ac:dyDescent="0.3">
      <c r="A1754" s="38">
        <f>COUNTIFS($B$2:B1754,B1754)</f>
        <v>7</v>
      </c>
      <c r="B1754" s="39" t="s">
        <v>622</v>
      </c>
      <c r="C1754" s="40">
        <v>20060368076676</v>
      </c>
      <c r="D1754" s="39" t="s">
        <v>222</v>
      </c>
      <c r="E1754" s="41">
        <v>0.23</v>
      </c>
      <c r="F1754" s="9"/>
      <c r="G1754" s="14" t="str">
        <f t="shared" si="69"/>
        <v>O</v>
      </c>
      <c r="H1754" s="15">
        <f t="shared" si="68"/>
        <v>0.115</v>
      </c>
      <c r="L1754" s="35"/>
    </row>
    <row r="1755" spans="1:12" x14ac:dyDescent="0.3">
      <c r="A1755" s="38">
        <f>COUNTIFS($B$2:B1755,B1755)</f>
        <v>8</v>
      </c>
      <c r="B1755" s="39" t="s">
        <v>622</v>
      </c>
      <c r="C1755" s="40">
        <v>20060368076676</v>
      </c>
      <c r="D1755" s="39" t="s">
        <v>255</v>
      </c>
      <c r="E1755" s="41">
        <v>2.1800000000000002</v>
      </c>
      <c r="F1755" s="9"/>
      <c r="G1755" s="14" t="str">
        <f t="shared" si="69"/>
        <v>O</v>
      </c>
      <c r="H1755" s="15">
        <f t="shared" si="68"/>
        <v>1.0900000000000001</v>
      </c>
      <c r="L1755" s="35"/>
    </row>
    <row r="1756" spans="1:12" x14ac:dyDescent="0.3">
      <c r="A1756" s="38">
        <f>COUNTIFS($B$2:B1756,B1756)</f>
        <v>9</v>
      </c>
      <c r="B1756" s="39" t="s">
        <v>622</v>
      </c>
      <c r="C1756" s="40">
        <v>20060368076676</v>
      </c>
      <c r="D1756" s="39" t="s">
        <v>614</v>
      </c>
      <c r="E1756" s="41">
        <v>20</v>
      </c>
      <c r="F1756" s="9"/>
      <c r="G1756" s="14" t="str">
        <f t="shared" si="69"/>
        <v>O</v>
      </c>
      <c r="H1756" s="15">
        <f t="shared" si="68"/>
        <v>10</v>
      </c>
      <c r="L1756" s="35"/>
    </row>
    <row r="1757" spans="1:12" x14ac:dyDescent="0.3">
      <c r="A1757" s="38">
        <f>COUNTIFS($B$2:B1757,B1757)</f>
        <v>10</v>
      </c>
      <c r="B1757" s="39" t="s">
        <v>622</v>
      </c>
      <c r="C1757" s="40">
        <v>20060368076676</v>
      </c>
      <c r="D1757" s="39" t="s">
        <v>618</v>
      </c>
      <c r="E1757" s="41">
        <v>20</v>
      </c>
      <c r="F1757" s="9"/>
      <c r="G1757" s="14" t="str">
        <f t="shared" si="69"/>
        <v>O</v>
      </c>
      <c r="H1757" s="15">
        <f t="shared" si="68"/>
        <v>10</v>
      </c>
      <c r="L1757" s="35"/>
    </row>
    <row r="1758" spans="1:12" x14ac:dyDescent="0.3">
      <c r="A1758" s="19">
        <f>COUNTIFS($B$2:B1758,B1758)</f>
        <v>1</v>
      </c>
      <c r="B1758" s="20" t="s">
        <v>623</v>
      </c>
      <c r="C1758" s="21">
        <v>20060368076967</v>
      </c>
      <c r="D1758" s="20" t="s">
        <v>463</v>
      </c>
      <c r="E1758" s="22">
        <v>241.57892337845843</v>
      </c>
      <c r="F1758" s="9"/>
      <c r="G1758" s="14" t="str">
        <f t="shared" si="69"/>
        <v>O</v>
      </c>
      <c r="H1758" s="15">
        <f t="shared" si="68"/>
        <v>120.78946168922921</v>
      </c>
      <c r="L1758" s="35"/>
    </row>
    <row r="1759" spans="1:12" ht="17.25" customHeight="1" x14ac:dyDescent="0.3">
      <c r="A1759" s="19">
        <f>COUNTIFS($B$2:B1759,B1759)</f>
        <v>2</v>
      </c>
      <c r="B1759" s="20" t="s">
        <v>623</v>
      </c>
      <c r="C1759" s="21">
        <v>20060368076967</v>
      </c>
      <c r="D1759" s="20" t="s">
        <v>418</v>
      </c>
      <c r="E1759" s="22">
        <v>4.5658416518528648</v>
      </c>
      <c r="F1759" s="9"/>
      <c r="G1759" s="14" t="str">
        <f t="shared" si="69"/>
        <v>O</v>
      </c>
      <c r="H1759" s="15">
        <f t="shared" si="68"/>
        <v>2.2829208259264324</v>
      </c>
      <c r="L1759" s="35"/>
    </row>
    <row r="1760" spans="1:12" ht="17.25" customHeight="1" x14ac:dyDescent="0.3">
      <c r="A1760" s="19">
        <f>COUNTIFS($B$2:B1760,B1760)</f>
        <v>3</v>
      </c>
      <c r="B1760" s="20" t="s">
        <v>623</v>
      </c>
      <c r="C1760" s="21">
        <v>20060368076967</v>
      </c>
      <c r="D1760" s="20" t="s">
        <v>164</v>
      </c>
      <c r="E1760" s="22">
        <v>2.4157892337845843</v>
      </c>
      <c r="F1760" s="9"/>
      <c r="G1760" s="14" t="str">
        <f t="shared" si="69"/>
        <v>O</v>
      </c>
      <c r="H1760" s="15">
        <f t="shared" si="68"/>
        <v>1.2078946168922922</v>
      </c>
      <c r="L1760" s="35"/>
    </row>
    <row r="1761" spans="1:12" ht="17.25" customHeight="1" x14ac:dyDescent="0.3">
      <c r="A1761" s="19">
        <f>COUNTIFS($B$2:B1761,B1761)</f>
        <v>4</v>
      </c>
      <c r="B1761" s="20" t="s">
        <v>623</v>
      </c>
      <c r="C1761" s="21">
        <v>20060368076967</v>
      </c>
      <c r="D1761" s="20" t="s">
        <v>487</v>
      </c>
      <c r="E1761" s="22">
        <v>9.6631569351383373</v>
      </c>
      <c r="F1761" s="9"/>
      <c r="G1761" s="14" t="str">
        <f t="shared" si="69"/>
        <v>O</v>
      </c>
      <c r="H1761" s="15">
        <f t="shared" si="68"/>
        <v>4.8315784675691686</v>
      </c>
      <c r="L1761" s="35"/>
    </row>
    <row r="1762" spans="1:12" ht="17.25" customHeight="1" x14ac:dyDescent="0.3">
      <c r="A1762" s="19">
        <f>COUNTIFS($B$2:B1762,B1762)</f>
        <v>5</v>
      </c>
      <c r="B1762" s="20" t="s">
        <v>623</v>
      </c>
      <c r="C1762" s="21">
        <v>20060368076967</v>
      </c>
      <c r="D1762" s="20" t="s">
        <v>114</v>
      </c>
      <c r="E1762" s="22">
        <v>96.631569351383376</v>
      </c>
      <c r="F1762" s="9"/>
      <c r="G1762" s="14" t="str">
        <f t="shared" si="69"/>
        <v>O</v>
      </c>
      <c r="H1762" s="15">
        <f t="shared" si="68"/>
        <v>48.315784675691688</v>
      </c>
      <c r="L1762" s="35"/>
    </row>
    <row r="1763" spans="1:12" ht="17.25" customHeight="1" x14ac:dyDescent="0.3">
      <c r="A1763" s="19">
        <f>COUNTIFS($B$2:B1763,B1763)</f>
        <v>6</v>
      </c>
      <c r="B1763" s="20" t="s">
        <v>623</v>
      </c>
      <c r="C1763" s="21">
        <v>20060368076967</v>
      </c>
      <c r="D1763" s="20" t="s">
        <v>559</v>
      </c>
      <c r="E1763" s="22">
        <v>72.473677013537525</v>
      </c>
      <c r="F1763" s="9"/>
      <c r="G1763" s="14" t="str">
        <f t="shared" si="69"/>
        <v>O</v>
      </c>
      <c r="H1763" s="15">
        <f t="shared" si="68"/>
        <v>36.236838506768763</v>
      </c>
      <c r="L1763" s="35"/>
    </row>
    <row r="1764" spans="1:12" ht="17.25" customHeight="1" x14ac:dyDescent="0.3">
      <c r="A1764" s="19">
        <f>COUNTIFS($B$2:B1764,B1764)</f>
        <v>7</v>
      </c>
      <c r="B1764" s="20" t="s">
        <v>623</v>
      </c>
      <c r="C1764" s="21">
        <v>20060368076967</v>
      </c>
      <c r="D1764" s="20" t="s">
        <v>424</v>
      </c>
      <c r="E1764" s="22">
        <v>1.2078946168922922</v>
      </c>
      <c r="F1764" s="9"/>
      <c r="G1764" s="14" t="str">
        <f t="shared" si="69"/>
        <v>O</v>
      </c>
      <c r="H1764" s="15">
        <f t="shared" si="68"/>
        <v>0.60394730844614608</v>
      </c>
      <c r="L1764" s="35"/>
    </row>
    <row r="1765" spans="1:12" ht="17.25" customHeight="1" x14ac:dyDescent="0.3">
      <c r="A1765" s="19">
        <f>COUNTIFS($B$2:B1765,B1765)</f>
        <v>8</v>
      </c>
      <c r="B1765" s="20" t="s">
        <v>623</v>
      </c>
      <c r="C1765" s="21">
        <v>20060368076967</v>
      </c>
      <c r="D1765" s="20" t="s">
        <v>597</v>
      </c>
      <c r="E1765" s="22">
        <v>12.078946168922922</v>
      </c>
      <c r="F1765" s="9"/>
      <c r="G1765" s="14" t="str">
        <f t="shared" si="69"/>
        <v>O</v>
      </c>
      <c r="H1765" s="15">
        <f t="shared" si="68"/>
        <v>6.039473084461461</v>
      </c>
      <c r="L1765" s="35"/>
    </row>
    <row r="1766" spans="1:12" ht="17.25" customHeight="1" x14ac:dyDescent="0.3">
      <c r="A1766" s="19">
        <f>COUNTIFS($B$2:B1766,B1766)</f>
        <v>9</v>
      </c>
      <c r="B1766" s="20" t="s">
        <v>623</v>
      </c>
      <c r="C1766" s="21">
        <v>20060368076967</v>
      </c>
      <c r="D1766" s="20" t="s">
        <v>535</v>
      </c>
      <c r="E1766" s="22">
        <v>72.473677013537525</v>
      </c>
      <c r="F1766" s="9"/>
      <c r="G1766" s="14" t="str">
        <f t="shared" si="69"/>
        <v>O</v>
      </c>
      <c r="H1766" s="15">
        <f t="shared" si="68"/>
        <v>36.236838506768763</v>
      </c>
      <c r="L1766" s="35"/>
    </row>
    <row r="1767" spans="1:12" ht="17.25" customHeight="1" x14ac:dyDescent="0.3">
      <c r="A1767" s="19">
        <f>COUNTIFS($B$2:B1767,B1767)</f>
        <v>10</v>
      </c>
      <c r="B1767" s="20" t="s">
        <v>623</v>
      </c>
      <c r="C1767" s="21">
        <v>20060368076967</v>
      </c>
      <c r="D1767" s="20" t="s">
        <v>565</v>
      </c>
      <c r="E1767" s="22">
        <v>7.2473677013537525</v>
      </c>
      <c r="F1767" s="9"/>
      <c r="G1767" s="14" t="str">
        <f t="shared" si="69"/>
        <v>O</v>
      </c>
      <c r="H1767" s="15">
        <f t="shared" si="68"/>
        <v>3.6236838506768763</v>
      </c>
      <c r="L1767" s="35"/>
    </row>
    <row r="1768" spans="1:12" ht="17.25" customHeight="1" x14ac:dyDescent="0.3">
      <c r="A1768" s="19">
        <f>COUNTIFS($B$2:B1768,B1768)</f>
        <v>11</v>
      </c>
      <c r="B1768" s="20" t="s">
        <v>623</v>
      </c>
      <c r="C1768" s="21">
        <v>20060368076967</v>
      </c>
      <c r="D1768" s="20" t="s">
        <v>564</v>
      </c>
      <c r="E1768" s="22">
        <v>9.6631569351383373</v>
      </c>
      <c r="F1768" s="9"/>
      <c r="G1768" s="14" t="str">
        <f t="shared" si="69"/>
        <v>O</v>
      </c>
      <c r="H1768" s="15">
        <f t="shared" si="68"/>
        <v>4.8315784675691686</v>
      </c>
      <c r="L1768" s="35"/>
    </row>
    <row r="1769" spans="1:12" ht="17.25" customHeight="1" x14ac:dyDescent="0.3">
      <c r="A1769" s="19">
        <f>COUNTIFS($B$2:B1769,B1769)</f>
        <v>12</v>
      </c>
      <c r="B1769" s="20" t="s">
        <v>623</v>
      </c>
      <c r="C1769" s="21">
        <v>20060368076967</v>
      </c>
      <c r="D1769" s="20" t="s">
        <v>114</v>
      </c>
      <c r="E1769" s="22">
        <v>43.484999999999999</v>
      </c>
      <c r="F1769" s="9"/>
      <c r="G1769" s="14" t="str">
        <f t="shared" si="69"/>
        <v>O</v>
      </c>
      <c r="H1769" s="15">
        <f t="shared" si="68"/>
        <v>21.7425</v>
      </c>
      <c r="L1769" s="35"/>
    </row>
    <row r="1770" spans="1:12" ht="17.25" customHeight="1" x14ac:dyDescent="0.3">
      <c r="A1770" s="19">
        <f>COUNTIFS($B$2:B1770,B1770)</f>
        <v>13</v>
      </c>
      <c r="B1770" s="20" t="s">
        <v>623</v>
      </c>
      <c r="C1770" s="21">
        <v>20060368076967</v>
      </c>
      <c r="D1770" s="20" t="s">
        <v>295</v>
      </c>
      <c r="E1770" s="22">
        <v>3.4787364966498008E-2</v>
      </c>
      <c r="F1770" s="9"/>
      <c r="G1770" s="14" t="str">
        <f t="shared" si="69"/>
        <v>O</v>
      </c>
      <c r="H1770" s="15">
        <f t="shared" si="68"/>
        <v>1.7393682483249004E-2</v>
      </c>
      <c r="L1770" s="35"/>
    </row>
    <row r="1771" spans="1:12" x14ac:dyDescent="0.3">
      <c r="A1771" s="19">
        <f>COUNTIFS($B$2:B1771,B1771)</f>
        <v>1</v>
      </c>
      <c r="B1771" s="26" t="s">
        <v>422</v>
      </c>
      <c r="C1771" s="27">
        <v>20060368076766</v>
      </c>
      <c r="D1771" s="26" t="s">
        <v>149</v>
      </c>
      <c r="E1771" s="28">
        <v>85.551330798479086</v>
      </c>
      <c r="F1771" s="9"/>
      <c r="G1771" s="14" t="str">
        <f t="shared" si="69"/>
        <v>O</v>
      </c>
      <c r="H1771" s="15">
        <f t="shared" si="68"/>
        <v>42.775665399239543</v>
      </c>
      <c r="L1771" s="35"/>
    </row>
    <row r="1772" spans="1:12" x14ac:dyDescent="0.3">
      <c r="A1772" s="19">
        <f>COUNTIFS($B$2:B1772,B1772)</f>
        <v>2</v>
      </c>
      <c r="B1772" s="26" t="s">
        <v>422</v>
      </c>
      <c r="C1772" s="27">
        <v>20060368076766</v>
      </c>
      <c r="D1772" s="26" t="s">
        <v>418</v>
      </c>
      <c r="E1772" s="28">
        <v>1.9011406844106464</v>
      </c>
      <c r="F1772" s="9"/>
      <c r="G1772" s="14" t="str">
        <f t="shared" si="69"/>
        <v>O</v>
      </c>
      <c r="H1772" s="15">
        <f t="shared" si="68"/>
        <v>0.95057034220532322</v>
      </c>
      <c r="L1772" s="35"/>
    </row>
    <row r="1773" spans="1:12" x14ac:dyDescent="0.3">
      <c r="A1773" s="19">
        <f>COUNTIFS($B$2:B1773,B1773)</f>
        <v>3</v>
      </c>
      <c r="B1773" s="26" t="s">
        <v>422</v>
      </c>
      <c r="C1773" s="27">
        <v>20060368076766</v>
      </c>
      <c r="D1773" s="26" t="s">
        <v>489</v>
      </c>
      <c r="E1773" s="28">
        <v>2.8517110266159698</v>
      </c>
      <c r="F1773" s="9"/>
      <c r="G1773" s="14" t="str">
        <f t="shared" si="69"/>
        <v>O</v>
      </c>
      <c r="H1773" s="15">
        <f t="shared" si="68"/>
        <v>1.4258555133079849</v>
      </c>
      <c r="L1773" s="35"/>
    </row>
    <row r="1774" spans="1:12" x14ac:dyDescent="0.3">
      <c r="A1774" s="19">
        <f>COUNTIFS($B$2:B1774,B1774)</f>
        <v>4</v>
      </c>
      <c r="B1774" s="26" t="s">
        <v>422</v>
      </c>
      <c r="C1774" s="27">
        <v>20060368076766</v>
      </c>
      <c r="D1774" s="26" t="s">
        <v>62</v>
      </c>
      <c r="E1774" s="28">
        <v>9.5057034220532319</v>
      </c>
      <c r="F1774" s="9"/>
      <c r="G1774" s="14" t="str">
        <f t="shared" si="69"/>
        <v>O</v>
      </c>
      <c r="H1774" s="15">
        <f t="shared" si="68"/>
        <v>4.752851711026616</v>
      </c>
      <c r="L1774" s="35"/>
    </row>
    <row r="1775" spans="1:12" x14ac:dyDescent="0.3">
      <c r="A1775" s="19">
        <f>COUNTIFS($B$2:B1775,B1775)</f>
        <v>5</v>
      </c>
      <c r="B1775" s="26" t="s">
        <v>422</v>
      </c>
      <c r="C1775" s="27">
        <v>20060368076766</v>
      </c>
      <c r="D1775" s="26" t="s">
        <v>50</v>
      </c>
      <c r="E1775" s="28">
        <v>9.5057034220532319</v>
      </c>
      <c r="F1775" s="9"/>
      <c r="G1775" s="14" t="str">
        <f t="shared" si="69"/>
        <v>O</v>
      </c>
      <c r="H1775" s="15">
        <f t="shared" si="68"/>
        <v>4.752851711026616</v>
      </c>
      <c r="L1775" s="35"/>
    </row>
    <row r="1776" spans="1:12" x14ac:dyDescent="0.3">
      <c r="A1776" s="19">
        <f>COUNTIFS($B$2:B1776,B1776)</f>
        <v>6</v>
      </c>
      <c r="B1776" s="26" t="s">
        <v>422</v>
      </c>
      <c r="C1776" s="27">
        <v>20060368076766</v>
      </c>
      <c r="D1776" s="26" t="s">
        <v>537</v>
      </c>
      <c r="E1776" s="28">
        <v>6.6539923954372622</v>
      </c>
      <c r="F1776" s="9"/>
      <c r="G1776" s="14" t="str">
        <f t="shared" si="69"/>
        <v>O</v>
      </c>
      <c r="H1776" s="15">
        <f t="shared" si="68"/>
        <v>3.3269961977186311</v>
      </c>
      <c r="L1776" s="35"/>
    </row>
    <row r="1777" spans="1:12" x14ac:dyDescent="0.3">
      <c r="A1777" s="19">
        <f>COUNTIFS($B$2:B1777,B1777)</f>
        <v>7</v>
      </c>
      <c r="B1777" s="26" t="s">
        <v>422</v>
      </c>
      <c r="C1777" s="27">
        <v>20060368076766</v>
      </c>
      <c r="D1777" s="26" t="s">
        <v>495</v>
      </c>
      <c r="E1777" s="28">
        <v>33.269961977186313</v>
      </c>
      <c r="F1777" s="9"/>
      <c r="G1777" s="14" t="str">
        <f t="shared" si="69"/>
        <v>O</v>
      </c>
      <c r="H1777" s="15">
        <f t="shared" si="68"/>
        <v>16.634980988593156</v>
      </c>
      <c r="L1777" s="35"/>
    </row>
    <row r="1778" spans="1:12" x14ac:dyDescent="0.3">
      <c r="A1778" s="19">
        <f>COUNTIFS($B$2:B1778,B1778)</f>
        <v>8</v>
      </c>
      <c r="B1778" s="26" t="s">
        <v>422</v>
      </c>
      <c r="C1778" s="27">
        <v>20060368076766</v>
      </c>
      <c r="D1778" s="26" t="s">
        <v>528</v>
      </c>
      <c r="E1778" s="28">
        <v>25.665399239543728</v>
      </c>
      <c r="F1778" s="9"/>
      <c r="G1778" s="14" t="str">
        <f t="shared" si="69"/>
        <v>O</v>
      </c>
      <c r="H1778" s="15">
        <f t="shared" si="68"/>
        <v>12.832699619771864</v>
      </c>
      <c r="L1778" s="35"/>
    </row>
    <row r="1779" spans="1:12" x14ac:dyDescent="0.3">
      <c r="A1779" s="19">
        <f>COUNTIFS($B$2:B1779,B1779)</f>
        <v>9</v>
      </c>
      <c r="B1779" s="26" t="s">
        <v>422</v>
      </c>
      <c r="C1779" s="27">
        <v>20060368076766</v>
      </c>
      <c r="D1779" s="26" t="s">
        <v>424</v>
      </c>
      <c r="E1779" s="28">
        <v>1.9011406844106464</v>
      </c>
      <c r="F1779" s="9"/>
      <c r="G1779" s="14" t="str">
        <f t="shared" si="69"/>
        <v>O</v>
      </c>
      <c r="H1779" s="15">
        <f t="shared" si="68"/>
        <v>0.95057034220532322</v>
      </c>
      <c r="L1779" s="35"/>
    </row>
    <row r="1780" spans="1:12" x14ac:dyDescent="0.3">
      <c r="A1780" s="19">
        <f>COUNTIFS($B$2:B1780,B1780)</f>
        <v>10</v>
      </c>
      <c r="B1780" s="26" t="s">
        <v>422</v>
      </c>
      <c r="C1780" s="27">
        <v>20060368076766</v>
      </c>
      <c r="D1780" s="26" t="s">
        <v>624</v>
      </c>
      <c r="E1780" s="28">
        <v>28.517110266159698</v>
      </c>
      <c r="F1780" s="9"/>
      <c r="G1780" s="14" t="str">
        <f t="shared" si="69"/>
        <v>O</v>
      </c>
      <c r="H1780" s="15">
        <f t="shared" si="68"/>
        <v>14.258555133079849</v>
      </c>
      <c r="L1780" s="35"/>
    </row>
    <row r="1781" spans="1:12" x14ac:dyDescent="0.3">
      <c r="A1781" s="19">
        <f>COUNTIFS($B$2:B1781,B1781)</f>
        <v>11</v>
      </c>
      <c r="B1781" s="26" t="s">
        <v>422</v>
      </c>
      <c r="C1781" s="27">
        <v>20060368076766</v>
      </c>
      <c r="D1781" s="26" t="s">
        <v>625</v>
      </c>
      <c r="E1781" s="28">
        <v>23.764258555133082</v>
      </c>
      <c r="F1781" s="9"/>
      <c r="G1781" s="14" t="str">
        <f t="shared" si="69"/>
        <v>O</v>
      </c>
      <c r="H1781" s="15">
        <f t="shared" ref="H1781:H1844" si="70">E1781/2</f>
        <v>11.882129277566541</v>
      </c>
      <c r="L1781" s="35"/>
    </row>
    <row r="1782" spans="1:12" x14ac:dyDescent="0.3">
      <c r="A1782" s="19">
        <f>COUNTIFS($B$2:B1782,B1782)</f>
        <v>12</v>
      </c>
      <c r="B1782" s="26" t="s">
        <v>422</v>
      </c>
      <c r="C1782" s="27">
        <v>20060368076766</v>
      </c>
      <c r="D1782" s="26" t="s">
        <v>518</v>
      </c>
      <c r="E1782" s="28">
        <v>11.406844106463879</v>
      </c>
      <c r="F1782" s="9"/>
      <c r="G1782" s="14" t="str">
        <f t="shared" si="69"/>
        <v>O</v>
      </c>
      <c r="H1782" s="15">
        <f t="shared" si="70"/>
        <v>5.7034220532319395</v>
      </c>
      <c r="L1782" s="35"/>
    </row>
    <row r="1783" spans="1:12" x14ac:dyDescent="0.3">
      <c r="A1783" s="19">
        <f>COUNTIFS($B$2:B1783,B1783)</f>
        <v>13</v>
      </c>
      <c r="B1783" s="26" t="s">
        <v>422</v>
      </c>
      <c r="C1783" s="27">
        <v>20060368076766</v>
      </c>
      <c r="D1783" s="26" t="s">
        <v>488</v>
      </c>
      <c r="E1783" s="28">
        <v>9.5057034220532319</v>
      </c>
      <c r="F1783" s="9"/>
      <c r="G1783" s="14" t="str">
        <f t="shared" si="69"/>
        <v>O</v>
      </c>
      <c r="H1783" s="15">
        <f t="shared" si="70"/>
        <v>4.752851711026616</v>
      </c>
      <c r="L1783" s="35"/>
    </row>
    <row r="1784" spans="1:12" x14ac:dyDescent="0.3">
      <c r="A1784" s="19">
        <f>COUNTIFS($B$2:B1784,B1784)</f>
        <v>1</v>
      </c>
      <c r="B1784" s="20" t="s">
        <v>626</v>
      </c>
      <c r="C1784" s="21">
        <v>20060368076749</v>
      </c>
      <c r="D1784" s="20" t="s">
        <v>598</v>
      </c>
      <c r="E1784" s="22">
        <v>68.69409660107334</v>
      </c>
      <c r="F1784" s="9"/>
      <c r="G1784" s="14" t="str">
        <f t="shared" si="69"/>
        <v>O</v>
      </c>
      <c r="H1784" s="15">
        <f t="shared" si="70"/>
        <v>34.34704830053667</v>
      </c>
      <c r="L1784" s="35"/>
    </row>
    <row r="1785" spans="1:12" x14ac:dyDescent="0.3">
      <c r="A1785" s="19">
        <f>COUNTIFS($B$2:B1785,B1785)</f>
        <v>2</v>
      </c>
      <c r="B1785" s="20" t="s">
        <v>425</v>
      </c>
      <c r="C1785" s="21">
        <v>20060368076749</v>
      </c>
      <c r="D1785" s="20" t="s">
        <v>159</v>
      </c>
      <c r="E1785" s="22">
        <v>22.540250447227191</v>
      </c>
      <c r="F1785" s="9"/>
      <c r="G1785" s="14" t="str">
        <f t="shared" si="69"/>
        <v>O</v>
      </c>
      <c r="H1785" s="15">
        <f t="shared" si="70"/>
        <v>11.270125223613595</v>
      </c>
      <c r="L1785" s="35"/>
    </row>
    <row r="1786" spans="1:12" x14ac:dyDescent="0.3">
      <c r="A1786" s="19">
        <f>COUNTIFS($B$2:B1786,B1786)</f>
        <v>3</v>
      </c>
      <c r="B1786" s="20" t="s">
        <v>425</v>
      </c>
      <c r="C1786" s="21">
        <v>20060368076749</v>
      </c>
      <c r="D1786" s="20" t="s">
        <v>116</v>
      </c>
      <c r="E1786" s="22">
        <v>10.733452593917711</v>
      </c>
      <c r="F1786" s="9"/>
      <c r="G1786" s="14" t="str">
        <f t="shared" si="69"/>
        <v>O</v>
      </c>
      <c r="H1786" s="15">
        <f t="shared" si="70"/>
        <v>5.3667262969588556</v>
      </c>
      <c r="L1786" s="35"/>
    </row>
    <row r="1787" spans="1:12" x14ac:dyDescent="0.3">
      <c r="A1787" s="19">
        <f>COUNTIFS($B$2:B1787,B1787)</f>
        <v>4</v>
      </c>
      <c r="B1787" s="20" t="s">
        <v>425</v>
      </c>
      <c r="C1787" s="21">
        <v>20060368076749</v>
      </c>
      <c r="D1787" s="20" t="s">
        <v>54</v>
      </c>
      <c r="E1787" s="22">
        <v>8.5867620751341676</v>
      </c>
      <c r="F1787" s="9"/>
      <c r="G1787" s="14" t="str">
        <f t="shared" si="69"/>
        <v>O</v>
      </c>
      <c r="H1787" s="15">
        <f t="shared" si="70"/>
        <v>4.2933810375670838</v>
      </c>
      <c r="L1787" s="35"/>
    </row>
    <row r="1788" spans="1:12" x14ac:dyDescent="0.3">
      <c r="A1788" s="19">
        <f>COUNTIFS($B$2:B1788,B1788)</f>
        <v>5</v>
      </c>
      <c r="B1788" s="20" t="s">
        <v>425</v>
      </c>
      <c r="C1788" s="21">
        <v>20060368076749</v>
      </c>
      <c r="D1788" s="20" t="s">
        <v>531</v>
      </c>
      <c r="E1788" s="22">
        <v>31.127012522361362</v>
      </c>
      <c r="F1788" s="9"/>
      <c r="G1788" s="14" t="str">
        <f t="shared" si="69"/>
        <v>O</v>
      </c>
      <c r="H1788" s="15">
        <f t="shared" si="70"/>
        <v>15.563506261180681</v>
      </c>
      <c r="L1788" s="35"/>
    </row>
    <row r="1789" spans="1:12" x14ac:dyDescent="0.3">
      <c r="A1789" s="19">
        <f>COUNTIFS($B$2:B1789,B1789)</f>
        <v>6</v>
      </c>
      <c r="B1789" s="20" t="s">
        <v>425</v>
      </c>
      <c r="C1789" s="21">
        <v>20060368076749</v>
      </c>
      <c r="D1789" s="20" t="s">
        <v>600</v>
      </c>
      <c r="E1789" s="22">
        <v>1.0733452593917709</v>
      </c>
      <c r="F1789" s="9"/>
      <c r="G1789" s="14" t="str">
        <f t="shared" si="69"/>
        <v>O</v>
      </c>
      <c r="H1789" s="15">
        <f t="shared" si="70"/>
        <v>0.53667262969588547</v>
      </c>
      <c r="L1789" s="35"/>
    </row>
    <row r="1790" spans="1:12" x14ac:dyDescent="0.3">
      <c r="A1790" s="19">
        <f>COUNTIFS($B$2:B1790,B1790)</f>
        <v>7</v>
      </c>
      <c r="B1790" s="20" t="s">
        <v>425</v>
      </c>
      <c r="C1790" s="21">
        <v>20060368076749</v>
      </c>
      <c r="D1790" s="20" t="s">
        <v>599</v>
      </c>
      <c r="E1790" s="22">
        <v>4.2933810375670838</v>
      </c>
      <c r="F1790" s="9"/>
      <c r="G1790" s="14" t="str">
        <f t="shared" si="69"/>
        <v>O</v>
      </c>
      <c r="H1790" s="15">
        <f t="shared" si="70"/>
        <v>2.1466905187835419</v>
      </c>
      <c r="L1790" s="35"/>
    </row>
    <row r="1791" spans="1:12" x14ac:dyDescent="0.3">
      <c r="A1791" s="19">
        <f>COUNTIFS($B$2:B1791,B1791)</f>
        <v>8</v>
      </c>
      <c r="B1791" s="20" t="s">
        <v>425</v>
      </c>
      <c r="C1791" s="21">
        <v>20060368076749</v>
      </c>
      <c r="D1791" s="20" t="s">
        <v>96</v>
      </c>
      <c r="E1791" s="22">
        <v>2.9516994633273703</v>
      </c>
      <c r="F1791" s="9"/>
      <c r="G1791" s="14" t="str">
        <f t="shared" si="69"/>
        <v>O</v>
      </c>
      <c r="H1791" s="15">
        <f t="shared" si="70"/>
        <v>1.4758497316636852</v>
      </c>
      <c r="L1791" s="35"/>
    </row>
    <row r="1792" spans="1:12" x14ac:dyDescent="0.3">
      <c r="A1792" s="19">
        <f>COUNTIFS($B$2:B1792,B1792)</f>
        <v>1</v>
      </c>
      <c r="B1792" s="20" t="s">
        <v>426</v>
      </c>
      <c r="C1792" s="21">
        <v>20060368076750</v>
      </c>
      <c r="D1792" s="20" t="s">
        <v>598</v>
      </c>
      <c r="E1792" s="22">
        <v>49.051094890510946</v>
      </c>
      <c r="F1792" s="9"/>
      <c r="G1792" s="14" t="str">
        <f t="shared" si="69"/>
        <v>O</v>
      </c>
      <c r="H1792" s="15">
        <f t="shared" si="70"/>
        <v>24.525547445255473</v>
      </c>
      <c r="L1792" s="35"/>
    </row>
    <row r="1793" spans="1:12" x14ac:dyDescent="0.3">
      <c r="A1793" s="19">
        <f>COUNTIFS($B$2:B1793,B1793)</f>
        <v>2</v>
      </c>
      <c r="B1793" s="20" t="s">
        <v>426</v>
      </c>
      <c r="C1793" s="21">
        <v>20060368076750</v>
      </c>
      <c r="D1793" s="20" t="s">
        <v>159</v>
      </c>
      <c r="E1793" s="22">
        <v>16.094890510948904</v>
      </c>
      <c r="F1793" s="9"/>
      <c r="G1793" s="14" t="str">
        <f t="shared" si="69"/>
        <v>O</v>
      </c>
      <c r="H1793" s="15">
        <f t="shared" si="70"/>
        <v>8.047445255474452</v>
      </c>
      <c r="L1793" s="35"/>
    </row>
    <row r="1794" spans="1:12" x14ac:dyDescent="0.3">
      <c r="A1794" s="19">
        <f>COUNTIFS($B$2:B1794,B1794)</f>
        <v>3</v>
      </c>
      <c r="B1794" s="20" t="s">
        <v>426</v>
      </c>
      <c r="C1794" s="21">
        <v>20060368076750</v>
      </c>
      <c r="D1794" s="20" t="s">
        <v>116</v>
      </c>
      <c r="E1794" s="22">
        <v>7.6642335766423342</v>
      </c>
      <c r="F1794" s="9"/>
      <c r="G1794" s="14" t="str">
        <f t="shared" si="69"/>
        <v>O</v>
      </c>
      <c r="H1794" s="15">
        <f t="shared" si="70"/>
        <v>3.8321167883211671</v>
      </c>
      <c r="L1794" s="35"/>
    </row>
    <row r="1795" spans="1:12" x14ac:dyDescent="0.3">
      <c r="A1795" s="19">
        <f>COUNTIFS($B$2:B1795,B1795)</f>
        <v>4</v>
      </c>
      <c r="B1795" s="20" t="s">
        <v>426</v>
      </c>
      <c r="C1795" s="21">
        <v>20060368076750</v>
      </c>
      <c r="D1795" s="20" t="s">
        <v>54</v>
      </c>
      <c r="E1795" s="22">
        <v>6.1313868613138682</v>
      </c>
      <c r="F1795" s="9"/>
      <c r="G1795" s="14" t="str">
        <f t="shared" si="69"/>
        <v>O</v>
      </c>
      <c r="H1795" s="15">
        <f t="shared" si="70"/>
        <v>3.0656934306569341</v>
      </c>
      <c r="L1795" s="35"/>
    </row>
    <row r="1796" spans="1:12" x14ac:dyDescent="0.3">
      <c r="A1796" s="19">
        <f>COUNTIFS($B$2:B1796,B1796)</f>
        <v>5</v>
      </c>
      <c r="B1796" s="20" t="s">
        <v>426</v>
      </c>
      <c r="C1796" s="21">
        <v>20060368076750</v>
      </c>
      <c r="D1796" s="20" t="s">
        <v>531</v>
      </c>
      <c r="E1796" s="22">
        <v>22.226277372262771</v>
      </c>
      <c r="F1796" s="9"/>
      <c r="G1796" s="14" t="str">
        <f t="shared" si="69"/>
        <v>O</v>
      </c>
      <c r="H1796" s="15">
        <f t="shared" si="70"/>
        <v>11.113138686131386</v>
      </c>
      <c r="L1796" s="35"/>
    </row>
    <row r="1797" spans="1:12" x14ac:dyDescent="0.3">
      <c r="A1797" s="19">
        <f>COUNTIFS($B$2:B1797,B1797)</f>
        <v>6</v>
      </c>
      <c r="B1797" s="20" t="s">
        <v>426</v>
      </c>
      <c r="C1797" s="21">
        <v>20060368076750</v>
      </c>
      <c r="D1797" s="20" t="s">
        <v>600</v>
      </c>
      <c r="E1797" s="22">
        <v>0.76642335766423353</v>
      </c>
      <c r="F1797" s="9"/>
      <c r="G1797" s="14" t="str">
        <f t="shared" si="69"/>
        <v>O</v>
      </c>
      <c r="H1797" s="15">
        <f t="shared" si="70"/>
        <v>0.38321167883211676</v>
      </c>
      <c r="L1797" s="35"/>
    </row>
    <row r="1798" spans="1:12" x14ac:dyDescent="0.3">
      <c r="A1798" s="19">
        <f>COUNTIFS($B$2:B1798,B1798)</f>
        <v>7</v>
      </c>
      <c r="B1798" s="20" t="s">
        <v>426</v>
      </c>
      <c r="C1798" s="21">
        <v>20060368076750</v>
      </c>
      <c r="D1798" s="20" t="s">
        <v>599</v>
      </c>
      <c r="E1798" s="22">
        <v>3.0656934306569341</v>
      </c>
      <c r="F1798" s="9"/>
      <c r="G1798" s="14" t="str">
        <f t="shared" si="69"/>
        <v>O</v>
      </c>
      <c r="H1798" s="15">
        <f t="shared" si="70"/>
        <v>1.5328467153284671</v>
      </c>
      <c r="L1798" s="35"/>
    </row>
    <row r="1799" spans="1:12" x14ac:dyDescent="0.3">
      <c r="A1799" s="19">
        <f>COUNTIFS($B$2:B1799,B1799)</f>
        <v>8</v>
      </c>
      <c r="B1799" s="20" t="s">
        <v>426</v>
      </c>
      <c r="C1799" s="21">
        <v>20060368076750</v>
      </c>
      <c r="D1799" s="20" t="s">
        <v>531</v>
      </c>
      <c r="E1799" s="22">
        <v>19.224865694551035</v>
      </c>
      <c r="F1799" s="9"/>
      <c r="G1799" s="14" t="str">
        <f t="shared" si="69"/>
        <v>O</v>
      </c>
      <c r="H1799" s="15">
        <f t="shared" si="70"/>
        <v>9.6124328472755174</v>
      </c>
      <c r="L1799" s="35"/>
    </row>
    <row r="1800" spans="1:12" x14ac:dyDescent="0.3">
      <c r="A1800" s="19">
        <f>COUNTIFS($B$2:B1800,B1800)</f>
        <v>9</v>
      </c>
      <c r="B1800" s="20" t="s">
        <v>426</v>
      </c>
      <c r="C1800" s="21">
        <v>20060368076750</v>
      </c>
      <c r="D1800" s="20" t="s">
        <v>255</v>
      </c>
      <c r="E1800" s="22">
        <v>26.937835763622406</v>
      </c>
      <c r="F1800" s="9"/>
      <c r="G1800" s="14" t="str">
        <f t="shared" si="69"/>
        <v>O</v>
      </c>
      <c r="H1800" s="15">
        <f t="shared" si="70"/>
        <v>13.468917881811203</v>
      </c>
      <c r="L1800" s="35"/>
    </row>
    <row r="1801" spans="1:12" x14ac:dyDescent="0.3">
      <c r="A1801" s="19">
        <f>COUNTIFS($B$2:B1801,B1801)</f>
        <v>10</v>
      </c>
      <c r="B1801" s="20" t="s">
        <v>426</v>
      </c>
      <c r="C1801" s="21">
        <v>20060368076750</v>
      </c>
      <c r="D1801" s="20" t="s">
        <v>172</v>
      </c>
      <c r="E1801" s="22">
        <v>3.8372985418265544</v>
      </c>
      <c r="F1801" s="9"/>
      <c r="G1801" s="14" t="str">
        <f t="shared" si="69"/>
        <v>O</v>
      </c>
      <c r="H1801" s="15">
        <f t="shared" si="70"/>
        <v>1.9186492709132772</v>
      </c>
      <c r="L1801" s="35"/>
    </row>
    <row r="1802" spans="1:12" x14ac:dyDescent="0.3">
      <c r="A1802" s="19">
        <f>COUNTIFS($B$2:B1802,B1802)</f>
        <v>1</v>
      </c>
      <c r="B1802" s="20" t="s">
        <v>428</v>
      </c>
      <c r="C1802" s="21">
        <v>20060368076751</v>
      </c>
      <c r="D1802" s="20" t="s">
        <v>598</v>
      </c>
      <c r="E1802" s="22">
        <v>65.478547854785475</v>
      </c>
      <c r="F1802" s="9"/>
      <c r="G1802" s="14" t="str">
        <f t="shared" si="69"/>
        <v>O</v>
      </c>
      <c r="H1802" s="15">
        <f t="shared" si="70"/>
        <v>32.739273927392738</v>
      </c>
      <c r="L1802" s="35"/>
    </row>
    <row r="1803" spans="1:12" x14ac:dyDescent="0.3">
      <c r="A1803" s="19">
        <f>COUNTIFS($B$2:B1803,B1803)</f>
        <v>2</v>
      </c>
      <c r="B1803" s="20" t="s">
        <v>428</v>
      </c>
      <c r="C1803" s="21">
        <v>20060368076751</v>
      </c>
      <c r="D1803" s="20" t="s">
        <v>159</v>
      </c>
      <c r="E1803" s="22">
        <v>21.485148514851485</v>
      </c>
      <c r="F1803" s="9"/>
      <c r="G1803" s="14" t="str">
        <f t="shared" ref="G1803:G1866" si="71">IF(D1803="","",IF(COUNTIF(I:I,D1803)&gt;0,"O","X"))</f>
        <v>O</v>
      </c>
      <c r="H1803" s="15">
        <f t="shared" si="70"/>
        <v>10.742574257425742</v>
      </c>
      <c r="L1803" s="35"/>
    </row>
    <row r="1804" spans="1:12" x14ac:dyDescent="0.3">
      <c r="A1804" s="19">
        <f>COUNTIFS($B$2:B1804,B1804)</f>
        <v>3</v>
      </c>
      <c r="B1804" s="20" t="s">
        <v>428</v>
      </c>
      <c r="C1804" s="21">
        <v>20060368076751</v>
      </c>
      <c r="D1804" s="20" t="s">
        <v>116</v>
      </c>
      <c r="E1804" s="22">
        <v>10.23102310231023</v>
      </c>
      <c r="F1804" s="9"/>
      <c r="G1804" s="14" t="str">
        <f t="shared" si="71"/>
        <v>O</v>
      </c>
      <c r="H1804" s="15">
        <f t="shared" si="70"/>
        <v>5.115511551155115</v>
      </c>
      <c r="L1804" s="35"/>
    </row>
    <row r="1805" spans="1:12" x14ac:dyDescent="0.3">
      <c r="A1805" s="19">
        <f>COUNTIFS($B$2:B1805,B1805)</f>
        <v>4</v>
      </c>
      <c r="B1805" s="20" t="s">
        <v>428</v>
      </c>
      <c r="C1805" s="21">
        <v>20060368076751</v>
      </c>
      <c r="D1805" s="20" t="s">
        <v>54</v>
      </c>
      <c r="E1805" s="22">
        <v>8.1848184818481844</v>
      </c>
      <c r="F1805" s="9"/>
      <c r="G1805" s="14" t="str">
        <f t="shared" si="71"/>
        <v>O</v>
      </c>
      <c r="H1805" s="15">
        <f t="shared" si="70"/>
        <v>4.0924092409240922</v>
      </c>
      <c r="L1805" s="35"/>
    </row>
    <row r="1806" spans="1:12" x14ac:dyDescent="0.3">
      <c r="A1806" s="19">
        <f>COUNTIFS($B$2:B1806,B1806)</f>
        <v>5</v>
      </c>
      <c r="B1806" s="20" t="s">
        <v>428</v>
      </c>
      <c r="C1806" s="21">
        <v>20060368076751</v>
      </c>
      <c r="D1806" s="20" t="s">
        <v>531</v>
      </c>
      <c r="E1806" s="22">
        <v>29.669966996699667</v>
      </c>
      <c r="F1806" s="9"/>
      <c r="G1806" s="14" t="str">
        <f t="shared" si="71"/>
        <v>O</v>
      </c>
      <c r="H1806" s="15">
        <f t="shared" si="70"/>
        <v>14.834983498349834</v>
      </c>
      <c r="L1806" s="35"/>
    </row>
    <row r="1807" spans="1:12" x14ac:dyDescent="0.3">
      <c r="A1807" s="19">
        <f>COUNTIFS($B$2:B1807,B1807)</f>
        <v>6</v>
      </c>
      <c r="B1807" s="20" t="s">
        <v>428</v>
      </c>
      <c r="C1807" s="21">
        <v>20060368076751</v>
      </c>
      <c r="D1807" s="20" t="s">
        <v>600</v>
      </c>
      <c r="E1807" s="22">
        <v>1.023102310231023</v>
      </c>
      <c r="F1807" s="9"/>
      <c r="G1807" s="14" t="str">
        <f t="shared" si="71"/>
        <v>O</v>
      </c>
      <c r="H1807" s="15">
        <f t="shared" si="70"/>
        <v>0.51155115511551152</v>
      </c>
      <c r="L1807" s="35"/>
    </row>
    <row r="1808" spans="1:12" x14ac:dyDescent="0.3">
      <c r="A1808" s="19">
        <f>COUNTIFS($B$2:B1808,B1808)</f>
        <v>7</v>
      </c>
      <c r="B1808" s="20" t="s">
        <v>428</v>
      </c>
      <c r="C1808" s="21">
        <v>20060368076751</v>
      </c>
      <c r="D1808" s="20" t="s">
        <v>599</v>
      </c>
      <c r="E1808" s="22">
        <v>4.0924092409240922</v>
      </c>
      <c r="F1808" s="9"/>
      <c r="G1808" s="14" t="str">
        <f t="shared" si="71"/>
        <v>O</v>
      </c>
      <c r="H1808" s="15">
        <f t="shared" si="70"/>
        <v>2.0462046204620461</v>
      </c>
      <c r="L1808" s="35"/>
    </row>
    <row r="1809" spans="1:12" x14ac:dyDescent="0.3">
      <c r="A1809" s="19">
        <f>COUNTIFS($B$2:B1809,B1809)</f>
        <v>8</v>
      </c>
      <c r="B1809" s="20" t="s">
        <v>428</v>
      </c>
      <c r="C1809" s="21">
        <v>20060368076751</v>
      </c>
      <c r="D1809" s="20" t="s">
        <v>255</v>
      </c>
      <c r="E1809" s="22">
        <v>11.254125412541253</v>
      </c>
      <c r="F1809" s="9"/>
      <c r="G1809" s="14" t="str">
        <f t="shared" si="71"/>
        <v>O</v>
      </c>
      <c r="H1809" s="15">
        <f t="shared" si="70"/>
        <v>5.6270627062706264</v>
      </c>
      <c r="L1809" s="35"/>
    </row>
    <row r="1810" spans="1:12" x14ac:dyDescent="0.3">
      <c r="A1810" s="19">
        <f>COUNTIFS($B$2:B1810,B1810)</f>
        <v>9</v>
      </c>
      <c r="B1810" s="20" t="s">
        <v>428</v>
      </c>
      <c r="C1810" s="21">
        <v>20060368076751</v>
      </c>
      <c r="D1810" s="20" t="s">
        <v>172</v>
      </c>
      <c r="E1810" s="22">
        <v>3.5808580858085803</v>
      </c>
      <c r="F1810" s="9"/>
      <c r="G1810" s="14" t="str">
        <f t="shared" si="71"/>
        <v>O</v>
      </c>
      <c r="H1810" s="15">
        <f t="shared" si="70"/>
        <v>1.7904290429042902</v>
      </c>
      <c r="L1810" s="35"/>
    </row>
    <row r="1811" spans="1:12" x14ac:dyDescent="0.3">
      <c r="A1811" s="19">
        <f>COUNTIFS($B$2:B1811,B1811)</f>
        <v>1</v>
      </c>
      <c r="B1811" s="20" t="s">
        <v>430</v>
      </c>
      <c r="C1811" s="21">
        <v>20060368076752</v>
      </c>
      <c r="D1811" s="20" t="s">
        <v>86</v>
      </c>
      <c r="E1811" s="22">
        <v>69.064748201438846</v>
      </c>
      <c r="F1811" s="9"/>
      <c r="G1811" s="14" t="str">
        <f t="shared" si="71"/>
        <v>O</v>
      </c>
      <c r="H1811" s="15">
        <f t="shared" si="70"/>
        <v>34.532374100719423</v>
      </c>
      <c r="L1811" s="35"/>
    </row>
    <row r="1812" spans="1:12" x14ac:dyDescent="0.3">
      <c r="A1812" s="19">
        <f>COUNTIFS($B$2:B1812,B1812)</f>
        <v>2</v>
      </c>
      <c r="B1812" s="20" t="s">
        <v>430</v>
      </c>
      <c r="C1812" s="21">
        <v>20060368076752</v>
      </c>
      <c r="D1812" s="20" t="s">
        <v>159</v>
      </c>
      <c r="E1812" s="22">
        <v>22.661870503597122</v>
      </c>
      <c r="F1812" s="9"/>
      <c r="G1812" s="14" t="str">
        <f t="shared" si="71"/>
        <v>O</v>
      </c>
      <c r="H1812" s="15">
        <f t="shared" si="70"/>
        <v>11.330935251798561</v>
      </c>
      <c r="L1812" s="35"/>
    </row>
    <row r="1813" spans="1:12" x14ac:dyDescent="0.3">
      <c r="A1813" s="19">
        <f>COUNTIFS($B$2:B1813,B1813)</f>
        <v>3</v>
      </c>
      <c r="B1813" s="20" t="s">
        <v>430</v>
      </c>
      <c r="C1813" s="21">
        <v>20060368076752</v>
      </c>
      <c r="D1813" s="20" t="s">
        <v>116</v>
      </c>
      <c r="E1813" s="22">
        <v>10.791366906474821</v>
      </c>
      <c r="F1813" s="9"/>
      <c r="G1813" s="14" t="str">
        <f t="shared" si="71"/>
        <v>O</v>
      </c>
      <c r="H1813" s="15">
        <f t="shared" si="70"/>
        <v>5.3956834532374103</v>
      </c>
      <c r="L1813" s="35"/>
    </row>
    <row r="1814" spans="1:12" x14ac:dyDescent="0.3">
      <c r="A1814" s="19">
        <f>COUNTIFS($B$2:B1814,B1814)</f>
        <v>4</v>
      </c>
      <c r="B1814" s="20" t="s">
        <v>430</v>
      </c>
      <c r="C1814" s="21">
        <v>20060368076752</v>
      </c>
      <c r="D1814" s="20" t="s">
        <v>54</v>
      </c>
      <c r="E1814" s="22">
        <v>8.6330935251798557</v>
      </c>
      <c r="F1814" s="9"/>
      <c r="G1814" s="14" t="str">
        <f t="shared" si="71"/>
        <v>O</v>
      </c>
      <c r="H1814" s="15">
        <f t="shared" si="70"/>
        <v>4.3165467625899279</v>
      </c>
      <c r="L1814" s="35"/>
    </row>
    <row r="1815" spans="1:12" x14ac:dyDescent="0.3">
      <c r="A1815" s="19">
        <f>COUNTIFS($B$2:B1815,B1815)</f>
        <v>5</v>
      </c>
      <c r="B1815" s="20" t="s">
        <v>430</v>
      </c>
      <c r="C1815" s="21">
        <v>20060368076752</v>
      </c>
      <c r="D1815" s="20" t="s">
        <v>531</v>
      </c>
      <c r="E1815" s="22">
        <v>31.294964028776981</v>
      </c>
      <c r="F1815" s="9"/>
      <c r="G1815" s="14" t="str">
        <f t="shared" si="71"/>
        <v>O</v>
      </c>
      <c r="H1815" s="15">
        <f t="shared" si="70"/>
        <v>15.647482014388491</v>
      </c>
      <c r="L1815" s="35"/>
    </row>
    <row r="1816" spans="1:12" x14ac:dyDescent="0.3">
      <c r="A1816" s="19">
        <f>COUNTIFS($B$2:B1816,B1816)</f>
        <v>6</v>
      </c>
      <c r="B1816" s="20" t="s">
        <v>430</v>
      </c>
      <c r="C1816" s="21">
        <v>20060368076752</v>
      </c>
      <c r="D1816" s="20" t="s">
        <v>600</v>
      </c>
      <c r="E1816" s="22">
        <v>1.079136690647482</v>
      </c>
      <c r="F1816" s="9"/>
      <c r="G1816" s="14" t="str">
        <f t="shared" si="71"/>
        <v>O</v>
      </c>
      <c r="H1816" s="15">
        <f t="shared" si="70"/>
        <v>0.53956834532374098</v>
      </c>
      <c r="L1816" s="35"/>
    </row>
    <row r="1817" spans="1:12" x14ac:dyDescent="0.3">
      <c r="A1817" s="19">
        <f>COUNTIFS($B$2:B1817,B1817)</f>
        <v>7</v>
      </c>
      <c r="B1817" s="20" t="s">
        <v>430</v>
      </c>
      <c r="C1817" s="21">
        <v>20060368076752</v>
      </c>
      <c r="D1817" s="20" t="s">
        <v>599</v>
      </c>
      <c r="E1817" s="22">
        <v>4.3165467625899279</v>
      </c>
      <c r="F1817" s="9"/>
      <c r="G1817" s="14" t="str">
        <f t="shared" si="71"/>
        <v>O</v>
      </c>
      <c r="H1817" s="15">
        <f t="shared" si="70"/>
        <v>2.1582733812949639</v>
      </c>
      <c r="L1817" s="35"/>
    </row>
    <row r="1818" spans="1:12" x14ac:dyDescent="0.3">
      <c r="A1818" s="19">
        <f>COUNTIFS($B$2:B1818,B1818)</f>
        <v>8</v>
      </c>
      <c r="B1818" s="20" t="s">
        <v>430</v>
      </c>
      <c r="C1818" s="21">
        <v>20060368076752</v>
      </c>
      <c r="D1818" s="20" t="s">
        <v>496</v>
      </c>
      <c r="E1818" s="22">
        <v>2.1582733812949639</v>
      </c>
      <c r="F1818" s="9"/>
      <c r="G1818" s="14" t="str">
        <f t="shared" si="71"/>
        <v>O</v>
      </c>
      <c r="H1818" s="15">
        <f t="shared" si="70"/>
        <v>1.079136690647482</v>
      </c>
      <c r="L1818" s="35"/>
    </row>
    <row r="1819" spans="1:12" x14ac:dyDescent="0.3">
      <c r="A1819" s="19">
        <f>COUNTIFS($B$2:B1819,B1819)</f>
        <v>1</v>
      </c>
      <c r="B1819" s="20" t="s">
        <v>431</v>
      </c>
      <c r="C1819" s="21">
        <v>20060368076754</v>
      </c>
      <c r="D1819" s="20" t="s">
        <v>598</v>
      </c>
      <c r="E1819" s="22">
        <v>48.172043010752695</v>
      </c>
      <c r="F1819" s="9"/>
      <c r="G1819" s="14" t="str">
        <f t="shared" si="71"/>
        <v>O</v>
      </c>
      <c r="H1819" s="15">
        <f t="shared" si="70"/>
        <v>24.086021505376348</v>
      </c>
      <c r="L1819" s="35"/>
    </row>
    <row r="1820" spans="1:12" x14ac:dyDescent="0.3">
      <c r="A1820" s="19">
        <f>COUNTIFS($B$2:B1820,B1820)</f>
        <v>2</v>
      </c>
      <c r="B1820" s="20" t="s">
        <v>431</v>
      </c>
      <c r="C1820" s="21">
        <v>20060368076754</v>
      </c>
      <c r="D1820" s="20" t="s">
        <v>159</v>
      </c>
      <c r="E1820" s="22">
        <v>15.806451612903228</v>
      </c>
      <c r="F1820" s="9"/>
      <c r="G1820" s="14" t="str">
        <f t="shared" si="71"/>
        <v>O</v>
      </c>
      <c r="H1820" s="15">
        <f t="shared" si="70"/>
        <v>7.9032258064516139</v>
      </c>
      <c r="L1820" s="35"/>
    </row>
    <row r="1821" spans="1:12" x14ac:dyDescent="0.3">
      <c r="A1821" s="19">
        <f>COUNTIFS($B$2:B1821,B1821)</f>
        <v>3</v>
      </c>
      <c r="B1821" s="20" t="s">
        <v>431</v>
      </c>
      <c r="C1821" s="21">
        <v>20060368076754</v>
      </c>
      <c r="D1821" s="20" t="s">
        <v>116</v>
      </c>
      <c r="E1821" s="22">
        <v>7.5268817204301088</v>
      </c>
      <c r="F1821" s="9"/>
      <c r="G1821" s="14" t="str">
        <f t="shared" si="71"/>
        <v>O</v>
      </c>
      <c r="H1821" s="15">
        <f t="shared" si="70"/>
        <v>3.7634408602150544</v>
      </c>
      <c r="L1821" s="35"/>
    </row>
    <row r="1822" spans="1:12" x14ac:dyDescent="0.3">
      <c r="A1822" s="19">
        <f>COUNTIFS($B$2:B1822,B1822)</f>
        <v>4</v>
      </c>
      <c r="B1822" s="20" t="s">
        <v>431</v>
      </c>
      <c r="C1822" s="21">
        <v>20060368076754</v>
      </c>
      <c r="D1822" s="20" t="s">
        <v>54</v>
      </c>
      <c r="E1822" s="22">
        <v>6.0215053763440869</v>
      </c>
      <c r="F1822" s="9"/>
      <c r="G1822" s="14" t="str">
        <f t="shared" si="71"/>
        <v>O</v>
      </c>
      <c r="H1822" s="15">
        <f t="shared" si="70"/>
        <v>3.0107526881720434</v>
      </c>
      <c r="L1822" s="35"/>
    </row>
    <row r="1823" spans="1:12" x14ac:dyDescent="0.3">
      <c r="A1823" s="19">
        <f>COUNTIFS($B$2:B1823,B1823)</f>
        <v>5</v>
      </c>
      <c r="B1823" s="20" t="s">
        <v>431</v>
      </c>
      <c r="C1823" s="21">
        <v>20060368076754</v>
      </c>
      <c r="D1823" s="20" t="s">
        <v>162</v>
      </c>
      <c r="E1823" s="22">
        <v>21.827956989247312</v>
      </c>
      <c r="F1823" s="9"/>
      <c r="G1823" s="14" t="str">
        <f t="shared" si="71"/>
        <v>O</v>
      </c>
      <c r="H1823" s="15">
        <f t="shared" si="70"/>
        <v>10.913978494623656</v>
      </c>
      <c r="L1823" s="35"/>
    </row>
    <row r="1824" spans="1:12" x14ac:dyDescent="0.3">
      <c r="A1824" s="19">
        <f>COUNTIFS($B$2:B1824,B1824)</f>
        <v>6</v>
      </c>
      <c r="B1824" s="20" t="s">
        <v>431</v>
      </c>
      <c r="C1824" s="21">
        <v>20060368076754</v>
      </c>
      <c r="D1824" s="20" t="s">
        <v>600</v>
      </c>
      <c r="E1824" s="22">
        <v>0.75268817204301086</v>
      </c>
      <c r="F1824" s="9"/>
      <c r="G1824" s="14" t="str">
        <f t="shared" si="71"/>
        <v>O</v>
      </c>
      <c r="H1824" s="15">
        <f t="shared" si="70"/>
        <v>0.37634408602150543</v>
      </c>
      <c r="L1824" s="35"/>
    </row>
    <row r="1825" spans="1:12" x14ac:dyDescent="0.3">
      <c r="A1825" s="19">
        <f>COUNTIFS($B$2:B1825,B1825)</f>
        <v>7</v>
      </c>
      <c r="B1825" s="20" t="s">
        <v>431</v>
      </c>
      <c r="C1825" s="21">
        <v>20060368076754</v>
      </c>
      <c r="D1825" s="20" t="s">
        <v>599</v>
      </c>
      <c r="E1825" s="22">
        <v>3.0107526881720434</v>
      </c>
      <c r="F1825" s="9"/>
      <c r="G1825" s="14" t="str">
        <f t="shared" si="71"/>
        <v>O</v>
      </c>
      <c r="H1825" s="15">
        <f t="shared" si="70"/>
        <v>1.5053763440860217</v>
      </c>
      <c r="L1825" s="35"/>
    </row>
    <row r="1826" spans="1:12" x14ac:dyDescent="0.3">
      <c r="A1826" s="19">
        <f>COUNTIFS($B$2:B1826,B1826)</f>
        <v>8</v>
      </c>
      <c r="B1826" s="20" t="s">
        <v>431</v>
      </c>
      <c r="C1826" s="21">
        <v>20060368076754</v>
      </c>
      <c r="D1826" s="49" t="s">
        <v>185</v>
      </c>
      <c r="E1826" s="22">
        <v>1.8817204301075272</v>
      </c>
      <c r="F1826" s="9"/>
      <c r="G1826" s="14" t="str">
        <f t="shared" si="71"/>
        <v>O</v>
      </c>
      <c r="H1826" s="15">
        <f t="shared" si="70"/>
        <v>0.9408602150537636</v>
      </c>
      <c r="L1826" s="35"/>
    </row>
    <row r="1827" spans="1:12" x14ac:dyDescent="0.3">
      <c r="A1827" s="19">
        <f>COUNTIFS($B$2:B1827,B1827)</f>
        <v>9</v>
      </c>
      <c r="B1827" s="20" t="s">
        <v>431</v>
      </c>
      <c r="C1827" s="21">
        <v>20060368076754</v>
      </c>
      <c r="D1827" s="20" t="s">
        <v>531</v>
      </c>
      <c r="E1827" s="22">
        <v>19.23076923076923</v>
      </c>
      <c r="F1827" s="9"/>
      <c r="G1827" s="14" t="str">
        <f t="shared" si="71"/>
        <v>O</v>
      </c>
      <c r="H1827" s="15">
        <f t="shared" si="70"/>
        <v>9.615384615384615</v>
      </c>
      <c r="L1827" s="35"/>
    </row>
    <row r="1828" spans="1:12" x14ac:dyDescent="0.3">
      <c r="A1828" s="19">
        <f>COUNTIFS($B$2:B1828,B1828)</f>
        <v>10</v>
      </c>
      <c r="B1828" s="20" t="s">
        <v>431</v>
      </c>
      <c r="C1828" s="21">
        <v>20060368076754</v>
      </c>
      <c r="D1828" s="20" t="s">
        <v>21</v>
      </c>
      <c r="E1828" s="22">
        <v>26.923076923076923</v>
      </c>
      <c r="F1828" s="9"/>
      <c r="G1828" s="14" t="str">
        <f t="shared" si="71"/>
        <v>O</v>
      </c>
      <c r="H1828" s="15">
        <f t="shared" si="70"/>
        <v>13.461538461538462</v>
      </c>
      <c r="L1828" s="35"/>
    </row>
    <row r="1829" spans="1:12" x14ac:dyDescent="0.3">
      <c r="A1829" s="19">
        <f>COUNTIFS($B$2:B1829,B1829)</f>
        <v>11</v>
      </c>
      <c r="B1829" s="20" t="s">
        <v>431</v>
      </c>
      <c r="C1829" s="21">
        <v>20060368076754</v>
      </c>
      <c r="D1829" s="49" t="s">
        <v>185</v>
      </c>
      <c r="E1829" s="22">
        <v>3.8461538461538458</v>
      </c>
      <c r="F1829" s="9"/>
      <c r="G1829" s="14" t="str">
        <f t="shared" si="71"/>
        <v>O</v>
      </c>
      <c r="H1829" s="15">
        <f t="shared" si="70"/>
        <v>1.9230769230769229</v>
      </c>
      <c r="L1829" s="35"/>
    </row>
    <row r="1830" spans="1:12" x14ac:dyDescent="0.3">
      <c r="A1830" s="38">
        <f>COUNTIFS($B$2:B1830,B1830)</f>
        <v>1</v>
      </c>
      <c r="B1830" s="39" t="s">
        <v>435</v>
      </c>
      <c r="C1830" s="40">
        <v>20060368076756</v>
      </c>
      <c r="D1830" s="39" t="s">
        <v>284</v>
      </c>
      <c r="E1830" s="41">
        <v>69.4932050085648</v>
      </c>
      <c r="F1830" s="9"/>
      <c r="G1830" s="14" t="str">
        <f t="shared" si="71"/>
        <v>O</v>
      </c>
      <c r="H1830" s="15">
        <f t="shared" si="70"/>
        <v>34.7466025042824</v>
      </c>
      <c r="L1830" s="35"/>
    </row>
    <row r="1831" spans="1:12" x14ac:dyDescent="0.3">
      <c r="A1831" s="38">
        <f>COUNTIFS($B$2:B1831,B1831)</f>
        <v>2</v>
      </c>
      <c r="B1831" s="39" t="s">
        <v>435</v>
      </c>
      <c r="C1831" s="40">
        <v>20060368076756</v>
      </c>
      <c r="D1831" s="39" t="s">
        <v>563</v>
      </c>
      <c r="E1831" s="41">
        <v>55.59456400685184</v>
      </c>
      <c r="F1831" s="9"/>
      <c r="G1831" s="14" t="str">
        <f t="shared" si="71"/>
        <v>O</v>
      </c>
      <c r="H1831" s="15">
        <f t="shared" si="70"/>
        <v>27.79728200342592</v>
      </c>
      <c r="L1831" s="35"/>
    </row>
    <row r="1832" spans="1:12" x14ac:dyDescent="0.3">
      <c r="A1832" s="38">
        <f>COUNTIFS($B$2:B1832,B1832)</f>
        <v>3</v>
      </c>
      <c r="B1832" s="39" t="s">
        <v>435</v>
      </c>
      <c r="C1832" s="40">
        <v>20060368076756</v>
      </c>
      <c r="D1832" s="39" t="s">
        <v>421</v>
      </c>
      <c r="E1832" s="41">
        <v>34.7466025042824</v>
      </c>
      <c r="F1832" s="9"/>
      <c r="G1832" s="14" t="str">
        <f t="shared" si="71"/>
        <v>O</v>
      </c>
      <c r="H1832" s="15">
        <f t="shared" si="70"/>
        <v>17.3733012521412</v>
      </c>
      <c r="L1832" s="35"/>
    </row>
    <row r="1833" spans="1:12" x14ac:dyDescent="0.3">
      <c r="A1833" s="38">
        <f>COUNTIFS($B$2:B1833,B1833)</f>
        <v>4</v>
      </c>
      <c r="B1833" s="39" t="s">
        <v>435</v>
      </c>
      <c r="C1833" s="40">
        <v>20060368076756</v>
      </c>
      <c r="D1833" s="39" t="s">
        <v>489</v>
      </c>
      <c r="E1833" s="41">
        <v>8.95594564006851</v>
      </c>
      <c r="F1833" s="9"/>
      <c r="G1833" s="14" t="str">
        <f t="shared" si="71"/>
        <v>O</v>
      </c>
      <c r="H1833" s="15">
        <f t="shared" si="70"/>
        <v>4.477972820034255</v>
      </c>
      <c r="L1833" s="35"/>
    </row>
    <row r="1834" spans="1:12" x14ac:dyDescent="0.3">
      <c r="A1834" s="38">
        <f>COUNTIFS($B$2:B1834,B1834)</f>
        <v>5</v>
      </c>
      <c r="B1834" s="39" t="s">
        <v>435</v>
      </c>
      <c r="C1834" s="40">
        <v>20060368076756</v>
      </c>
      <c r="D1834" s="39" t="s">
        <v>528</v>
      </c>
      <c r="E1834" s="41">
        <v>125.08776901541664</v>
      </c>
      <c r="F1834" s="9"/>
      <c r="G1834" s="14" t="str">
        <f t="shared" si="71"/>
        <v>O</v>
      </c>
      <c r="H1834" s="15">
        <f t="shared" si="70"/>
        <v>62.54388450770832</v>
      </c>
      <c r="L1834" s="35"/>
    </row>
    <row r="1835" spans="1:12" x14ac:dyDescent="0.3">
      <c r="A1835" s="38">
        <f>COUNTIFS($B$2:B1835,B1835)</f>
        <v>6</v>
      </c>
      <c r="B1835" s="39" t="s">
        <v>435</v>
      </c>
      <c r="C1835" s="40">
        <v>20060368076756</v>
      </c>
      <c r="D1835" s="39" t="s">
        <v>561</v>
      </c>
      <c r="E1835" s="41">
        <v>69.4932050085648</v>
      </c>
      <c r="F1835" s="9"/>
      <c r="G1835" s="14" t="str">
        <f t="shared" si="71"/>
        <v>O</v>
      </c>
      <c r="H1835" s="15">
        <f t="shared" si="70"/>
        <v>34.7466025042824</v>
      </c>
      <c r="L1835" s="35"/>
    </row>
    <row r="1836" spans="1:12" x14ac:dyDescent="0.3">
      <c r="A1836" s="38">
        <f>COUNTIFS($B$2:B1836,B1836)</f>
        <v>7</v>
      </c>
      <c r="B1836" s="39" t="s">
        <v>435</v>
      </c>
      <c r="C1836" s="40">
        <v>20060368076756</v>
      </c>
      <c r="D1836" s="39" t="s">
        <v>421</v>
      </c>
      <c r="E1836" s="41">
        <v>69.4932050085648</v>
      </c>
      <c r="F1836" s="9"/>
      <c r="G1836" s="14" t="str">
        <f t="shared" si="71"/>
        <v>O</v>
      </c>
      <c r="H1836" s="15">
        <f t="shared" si="70"/>
        <v>34.7466025042824</v>
      </c>
      <c r="L1836" s="35"/>
    </row>
    <row r="1837" spans="1:12" x14ac:dyDescent="0.3">
      <c r="A1837" s="38">
        <f>COUNTIFS($B$2:B1837,B1837)</f>
        <v>8</v>
      </c>
      <c r="B1837" s="39" t="s">
        <v>435</v>
      </c>
      <c r="C1837" s="40">
        <v>20060368076756</v>
      </c>
      <c r="D1837" s="39" t="s">
        <v>284</v>
      </c>
      <c r="E1837" s="41">
        <v>187.63165352312495</v>
      </c>
      <c r="F1837" s="9"/>
      <c r="G1837" s="14" t="str">
        <f t="shared" si="71"/>
        <v>O</v>
      </c>
      <c r="H1837" s="15">
        <f t="shared" si="70"/>
        <v>93.815826761562477</v>
      </c>
      <c r="L1837" s="35"/>
    </row>
    <row r="1838" spans="1:12" x14ac:dyDescent="0.3">
      <c r="A1838" s="38">
        <f>COUNTIFS($B$2:B1838,B1838)</f>
        <v>9</v>
      </c>
      <c r="B1838" s="39" t="s">
        <v>435</v>
      </c>
      <c r="C1838" s="40">
        <v>20060368076756</v>
      </c>
      <c r="D1838" s="39" t="s">
        <v>418</v>
      </c>
      <c r="E1838" s="41">
        <v>4.1695923005138882</v>
      </c>
      <c r="F1838" s="9"/>
      <c r="G1838" s="14" t="str">
        <f t="shared" si="71"/>
        <v>O</v>
      </c>
      <c r="H1838" s="15">
        <f t="shared" si="70"/>
        <v>2.0847961502569441</v>
      </c>
      <c r="L1838" s="35"/>
    </row>
    <row r="1839" spans="1:12" x14ac:dyDescent="0.3">
      <c r="A1839" s="38">
        <f>COUNTIFS($B$2:B1839,B1839)</f>
        <v>10</v>
      </c>
      <c r="B1839" s="39" t="s">
        <v>435</v>
      </c>
      <c r="C1839" s="40">
        <v>20060368076756</v>
      </c>
      <c r="D1839" s="39" t="s">
        <v>511</v>
      </c>
      <c r="E1839" s="41">
        <v>41.69592300513888</v>
      </c>
      <c r="F1839" s="9"/>
      <c r="G1839" s="14" t="str">
        <f t="shared" si="71"/>
        <v>O</v>
      </c>
      <c r="H1839" s="15">
        <f t="shared" si="70"/>
        <v>20.84796150256944</v>
      </c>
      <c r="L1839" s="35"/>
    </row>
    <row r="1840" spans="1:12" x14ac:dyDescent="0.3">
      <c r="A1840" s="38">
        <f>COUNTIFS($B$2:B1840,B1840)</f>
        <v>11</v>
      </c>
      <c r="B1840" s="39" t="s">
        <v>435</v>
      </c>
      <c r="C1840" s="40">
        <v>20060368076756</v>
      </c>
      <c r="D1840" s="39" t="s">
        <v>528</v>
      </c>
      <c r="E1840" s="41">
        <v>83.39184601027776</v>
      </c>
      <c r="F1840" s="9"/>
      <c r="G1840" s="14" t="str">
        <f t="shared" si="71"/>
        <v>O</v>
      </c>
      <c r="H1840" s="15">
        <f t="shared" si="70"/>
        <v>41.69592300513888</v>
      </c>
      <c r="L1840" s="35"/>
    </row>
    <row r="1841" spans="1:12" x14ac:dyDescent="0.3">
      <c r="A1841" s="38">
        <f>COUNTIFS($B$2:B1841,B1841)</f>
        <v>12</v>
      </c>
      <c r="B1841" s="39" t="s">
        <v>435</v>
      </c>
      <c r="C1841" s="40">
        <v>20060368076756</v>
      </c>
      <c r="D1841" s="39" t="s">
        <v>218</v>
      </c>
      <c r="E1841" s="41">
        <v>3.47466025042824</v>
      </c>
      <c r="F1841" s="9"/>
      <c r="G1841" s="14" t="str">
        <f t="shared" si="71"/>
        <v>O</v>
      </c>
      <c r="H1841" s="15">
        <f t="shared" si="70"/>
        <v>1.73733012521412</v>
      </c>
      <c r="L1841" s="35"/>
    </row>
    <row r="1842" spans="1:12" x14ac:dyDescent="0.3">
      <c r="A1842" s="38">
        <f>COUNTIFS($B$2:B1842,B1842)</f>
        <v>13</v>
      </c>
      <c r="B1842" s="39" t="s">
        <v>435</v>
      </c>
      <c r="C1842" s="40">
        <v>20060368076756</v>
      </c>
      <c r="D1842" s="39" t="s">
        <v>553</v>
      </c>
      <c r="E1842" s="41">
        <v>20.84796150256944</v>
      </c>
      <c r="F1842" s="9"/>
      <c r="G1842" s="14" t="str">
        <f t="shared" si="71"/>
        <v>O</v>
      </c>
      <c r="H1842" s="15">
        <f t="shared" si="70"/>
        <v>10.42398075128472</v>
      </c>
      <c r="L1842" s="35"/>
    </row>
    <row r="1843" spans="1:12" x14ac:dyDescent="0.3">
      <c r="A1843" s="38">
        <f>COUNTIFS($B$2:B1843,B1843)</f>
        <v>14</v>
      </c>
      <c r="B1843" s="39" t="s">
        <v>435</v>
      </c>
      <c r="C1843" s="40">
        <v>20060368076756</v>
      </c>
      <c r="D1843" s="39" t="s">
        <v>295</v>
      </c>
      <c r="E1843" s="41">
        <v>7.713745755950692E-2</v>
      </c>
      <c r="F1843" s="9"/>
      <c r="G1843" s="14" t="str">
        <f t="shared" si="71"/>
        <v>O</v>
      </c>
      <c r="H1843" s="15">
        <f t="shared" si="70"/>
        <v>3.856872877975346E-2</v>
      </c>
      <c r="L1843" s="35"/>
    </row>
    <row r="1844" spans="1:12" x14ac:dyDescent="0.3">
      <c r="A1844" s="31">
        <f>COUNTIFS($B$2:B1844,B1844)</f>
        <v>1</v>
      </c>
      <c r="B1844" s="26" t="s">
        <v>436</v>
      </c>
      <c r="C1844" s="27">
        <v>20060368076757</v>
      </c>
      <c r="D1844" s="26" t="s">
        <v>82</v>
      </c>
      <c r="E1844" s="28">
        <v>164.1</v>
      </c>
      <c r="F1844" s="9"/>
      <c r="G1844" s="14" t="str">
        <f t="shared" si="71"/>
        <v>O</v>
      </c>
      <c r="H1844" s="15">
        <f t="shared" si="70"/>
        <v>82.05</v>
      </c>
      <c r="L1844" s="35"/>
    </row>
    <row r="1845" spans="1:12" x14ac:dyDescent="0.3">
      <c r="A1845" s="31">
        <f>COUNTIFS($B$2:B1845,B1845)</f>
        <v>2</v>
      </c>
      <c r="B1845" s="26" t="s">
        <v>436</v>
      </c>
      <c r="C1845" s="27">
        <v>20060368076757</v>
      </c>
      <c r="D1845" s="26" t="s">
        <v>155</v>
      </c>
      <c r="E1845" s="28">
        <v>3</v>
      </c>
      <c r="F1845" s="9"/>
      <c r="G1845" s="14" t="str">
        <f t="shared" si="71"/>
        <v>O</v>
      </c>
      <c r="H1845" s="15">
        <f t="shared" ref="H1845:H1908" si="72">E1845/2</f>
        <v>1.5</v>
      </c>
      <c r="L1845" s="35"/>
    </row>
    <row r="1846" spans="1:12" x14ac:dyDescent="0.3">
      <c r="A1846" s="31">
        <f>COUNTIFS($B$2:B1846,B1846)</f>
        <v>3</v>
      </c>
      <c r="B1846" s="26" t="s">
        <v>436</v>
      </c>
      <c r="C1846" s="27">
        <v>20060368076757</v>
      </c>
      <c r="D1846" s="26" t="s">
        <v>164</v>
      </c>
      <c r="E1846" s="28">
        <v>3.3</v>
      </c>
      <c r="F1846" s="9"/>
      <c r="G1846" s="14" t="str">
        <f t="shared" si="71"/>
        <v>O</v>
      </c>
      <c r="H1846" s="15">
        <f t="shared" si="72"/>
        <v>1.65</v>
      </c>
      <c r="L1846" s="35"/>
    </row>
    <row r="1847" spans="1:12" x14ac:dyDescent="0.3">
      <c r="A1847" s="31">
        <f>COUNTIFS($B$2:B1847,B1847)</f>
        <v>4</v>
      </c>
      <c r="B1847" s="26" t="s">
        <v>436</v>
      </c>
      <c r="C1847" s="27">
        <v>20060368076757</v>
      </c>
      <c r="D1847" s="26" t="s">
        <v>178</v>
      </c>
      <c r="E1847" s="28">
        <v>16.399999999999999</v>
      </c>
      <c r="F1847" s="9"/>
      <c r="G1847" s="14" t="str">
        <f t="shared" si="71"/>
        <v>O</v>
      </c>
      <c r="H1847" s="15">
        <f t="shared" si="72"/>
        <v>8.1999999999999993</v>
      </c>
      <c r="L1847" s="35"/>
    </row>
    <row r="1848" spans="1:12" x14ac:dyDescent="0.3">
      <c r="A1848" s="31">
        <f>COUNTIFS($B$2:B1848,B1848)</f>
        <v>5</v>
      </c>
      <c r="B1848" s="26" t="s">
        <v>436</v>
      </c>
      <c r="C1848" s="27">
        <v>20060368076757</v>
      </c>
      <c r="D1848" s="26" t="s">
        <v>272</v>
      </c>
      <c r="E1848" s="28">
        <v>32.799999999999997</v>
      </c>
      <c r="F1848" s="9"/>
      <c r="G1848" s="14" t="str">
        <f t="shared" si="71"/>
        <v>O</v>
      </c>
      <c r="H1848" s="15">
        <f t="shared" si="72"/>
        <v>16.399999999999999</v>
      </c>
      <c r="L1848" s="35"/>
    </row>
    <row r="1849" spans="1:12" x14ac:dyDescent="0.3">
      <c r="A1849" s="31">
        <f>COUNTIFS($B$2:B1849,B1849)</f>
        <v>6</v>
      </c>
      <c r="B1849" s="26" t="s">
        <v>436</v>
      </c>
      <c r="C1849" s="27">
        <v>20060368076757</v>
      </c>
      <c r="D1849" s="26" t="s">
        <v>564</v>
      </c>
      <c r="E1849" s="28">
        <v>27.9</v>
      </c>
      <c r="F1849" s="9"/>
      <c r="G1849" s="14" t="str">
        <f t="shared" si="71"/>
        <v>O</v>
      </c>
      <c r="H1849" s="15">
        <f t="shared" si="72"/>
        <v>13.95</v>
      </c>
      <c r="L1849" s="35"/>
    </row>
    <row r="1850" spans="1:12" x14ac:dyDescent="0.3">
      <c r="A1850" s="31">
        <f>COUNTIFS($B$2:B1850,B1850)</f>
        <v>7</v>
      </c>
      <c r="B1850" s="26" t="s">
        <v>436</v>
      </c>
      <c r="C1850" s="27">
        <v>20060368076757</v>
      </c>
      <c r="D1850" s="26" t="s">
        <v>114</v>
      </c>
      <c r="E1850" s="28">
        <v>106.6</v>
      </c>
      <c r="F1850" s="9"/>
      <c r="G1850" s="14" t="str">
        <f t="shared" si="71"/>
        <v>O</v>
      </c>
      <c r="H1850" s="15">
        <f t="shared" si="72"/>
        <v>53.3</v>
      </c>
      <c r="L1850" s="35"/>
    </row>
    <row r="1851" spans="1:12" x14ac:dyDescent="0.3">
      <c r="A1851" s="31">
        <f>COUNTIFS($B$2:B1851,B1851)</f>
        <v>8</v>
      </c>
      <c r="B1851" s="26" t="s">
        <v>436</v>
      </c>
      <c r="C1851" s="27">
        <v>20060368076757</v>
      </c>
      <c r="D1851" s="26" t="s">
        <v>80</v>
      </c>
      <c r="E1851" s="28">
        <v>65.599999999999994</v>
      </c>
      <c r="F1851" s="9"/>
      <c r="G1851" s="14" t="str">
        <f t="shared" si="71"/>
        <v>O</v>
      </c>
      <c r="H1851" s="15">
        <f t="shared" si="72"/>
        <v>32.799999999999997</v>
      </c>
      <c r="L1851" s="35"/>
    </row>
    <row r="1852" spans="1:12" x14ac:dyDescent="0.3">
      <c r="A1852" s="31">
        <f>COUNTIFS($B$2:B1852,B1852)</f>
        <v>9</v>
      </c>
      <c r="B1852" s="26" t="s">
        <v>436</v>
      </c>
      <c r="C1852" s="27">
        <v>20060368076757</v>
      </c>
      <c r="D1852" s="26" t="s">
        <v>78</v>
      </c>
      <c r="E1852" s="28">
        <v>57.4</v>
      </c>
      <c r="F1852" s="9"/>
      <c r="G1852" s="14" t="str">
        <f t="shared" si="71"/>
        <v>O</v>
      </c>
      <c r="H1852" s="15">
        <f t="shared" si="72"/>
        <v>28.7</v>
      </c>
      <c r="L1852" s="35"/>
    </row>
    <row r="1853" spans="1:12" x14ac:dyDescent="0.3">
      <c r="A1853" s="31">
        <f>COUNTIFS($B$2:B1853,B1853)</f>
        <v>10</v>
      </c>
      <c r="B1853" s="26" t="s">
        <v>436</v>
      </c>
      <c r="C1853" s="27">
        <v>20060368076757</v>
      </c>
      <c r="D1853" s="26" t="s">
        <v>48</v>
      </c>
      <c r="E1853" s="28">
        <v>13.1</v>
      </c>
      <c r="F1853" s="9"/>
      <c r="G1853" s="14" t="str">
        <f t="shared" si="71"/>
        <v>O</v>
      </c>
      <c r="H1853" s="15">
        <f t="shared" si="72"/>
        <v>6.55</v>
      </c>
      <c r="L1853" s="35"/>
    </row>
    <row r="1854" spans="1:12" x14ac:dyDescent="0.3">
      <c r="A1854" s="31">
        <f>COUNTIFS($B$2:B1854,B1854)</f>
        <v>11</v>
      </c>
      <c r="B1854" s="26" t="s">
        <v>436</v>
      </c>
      <c r="C1854" s="27">
        <v>20060368076757</v>
      </c>
      <c r="D1854" s="26" t="s">
        <v>518</v>
      </c>
      <c r="E1854" s="28">
        <v>19.7</v>
      </c>
      <c r="F1854" s="9"/>
      <c r="G1854" s="14" t="str">
        <f t="shared" si="71"/>
        <v>O</v>
      </c>
      <c r="H1854" s="15">
        <f t="shared" si="72"/>
        <v>9.85</v>
      </c>
      <c r="L1854" s="35"/>
    </row>
    <row r="1855" spans="1:12" x14ac:dyDescent="0.3">
      <c r="A1855" s="31">
        <f>COUNTIFS($B$2:B1855,B1855)</f>
        <v>1</v>
      </c>
      <c r="B1855" s="26" t="s">
        <v>438</v>
      </c>
      <c r="C1855" s="27">
        <v>20060368076758</v>
      </c>
      <c r="D1855" s="26" t="s">
        <v>463</v>
      </c>
      <c r="E1855" s="28">
        <v>174.99834907217857</v>
      </c>
      <c r="F1855" s="9"/>
      <c r="G1855" s="14" t="str">
        <f t="shared" si="71"/>
        <v>O</v>
      </c>
      <c r="H1855" s="15">
        <f t="shared" si="72"/>
        <v>87.499174536089285</v>
      </c>
      <c r="L1855" s="35"/>
    </row>
    <row r="1856" spans="1:12" x14ac:dyDescent="0.3">
      <c r="A1856" s="31">
        <f>COUNTIFS($B$2:B1856,B1856)</f>
        <v>2</v>
      </c>
      <c r="B1856" s="26" t="s">
        <v>438</v>
      </c>
      <c r="C1856" s="27">
        <v>20060368076758</v>
      </c>
      <c r="D1856" s="26" t="s">
        <v>418</v>
      </c>
      <c r="E1856" s="28">
        <v>3.1499702832992145</v>
      </c>
      <c r="F1856" s="9"/>
      <c r="G1856" s="14" t="str">
        <f t="shared" si="71"/>
        <v>O</v>
      </c>
      <c r="H1856" s="15">
        <f t="shared" si="72"/>
        <v>1.5749851416496072</v>
      </c>
      <c r="L1856" s="35"/>
    </row>
    <row r="1857" spans="1:12" x14ac:dyDescent="0.3">
      <c r="A1857" s="31">
        <f>COUNTIFS($B$2:B1857,B1857)</f>
        <v>3</v>
      </c>
      <c r="B1857" s="26" t="s">
        <v>438</v>
      </c>
      <c r="C1857" s="27">
        <v>20060368076758</v>
      </c>
      <c r="D1857" s="26" t="s">
        <v>489</v>
      </c>
      <c r="E1857" s="28">
        <v>5.2499504721653576</v>
      </c>
      <c r="F1857" s="9"/>
      <c r="G1857" s="14" t="str">
        <f t="shared" si="71"/>
        <v>O</v>
      </c>
      <c r="H1857" s="15">
        <f t="shared" si="72"/>
        <v>2.6249752360826788</v>
      </c>
      <c r="L1857" s="35"/>
    </row>
    <row r="1858" spans="1:12" x14ac:dyDescent="0.3">
      <c r="A1858" s="31">
        <f>COUNTIFS($B$2:B1858,B1858)</f>
        <v>4</v>
      </c>
      <c r="B1858" s="26" t="s">
        <v>438</v>
      </c>
      <c r="C1858" s="27">
        <v>20060368076758</v>
      </c>
      <c r="D1858" s="26" t="s">
        <v>505</v>
      </c>
      <c r="E1858" s="28">
        <v>20.99980188866143</v>
      </c>
      <c r="F1858" s="9"/>
      <c r="G1858" s="14" t="str">
        <f t="shared" si="71"/>
        <v>O</v>
      </c>
      <c r="H1858" s="15">
        <f t="shared" si="72"/>
        <v>10.499900944330715</v>
      </c>
      <c r="L1858" s="35"/>
    </row>
    <row r="1859" spans="1:12" x14ac:dyDescent="0.3">
      <c r="A1859" s="31">
        <f>COUNTIFS($B$2:B1859,B1859)</f>
        <v>5</v>
      </c>
      <c r="B1859" s="26" t="s">
        <v>438</v>
      </c>
      <c r="C1859" s="27">
        <v>20060368076758</v>
      </c>
      <c r="D1859" s="26" t="s">
        <v>564</v>
      </c>
      <c r="E1859" s="28">
        <v>48.999537740210002</v>
      </c>
      <c r="F1859" s="9"/>
      <c r="G1859" s="14" t="str">
        <f t="shared" si="71"/>
        <v>O</v>
      </c>
      <c r="H1859" s="15">
        <f t="shared" si="72"/>
        <v>24.499768870105001</v>
      </c>
      <c r="L1859" s="35"/>
    </row>
    <row r="1860" spans="1:12" x14ac:dyDescent="0.3">
      <c r="A1860" s="31">
        <f>COUNTIFS($B$2:B1860,B1860)</f>
        <v>6</v>
      </c>
      <c r="B1860" s="26" t="s">
        <v>438</v>
      </c>
      <c r="C1860" s="27">
        <v>20060368076758</v>
      </c>
      <c r="D1860" s="26" t="s">
        <v>15</v>
      </c>
      <c r="E1860" s="28">
        <v>19.249818397939645</v>
      </c>
      <c r="F1860" s="9"/>
      <c r="G1860" s="14" t="str">
        <f t="shared" si="71"/>
        <v>O</v>
      </c>
      <c r="H1860" s="15">
        <f t="shared" si="72"/>
        <v>9.6249091989698226</v>
      </c>
      <c r="L1860" s="35"/>
    </row>
    <row r="1861" spans="1:12" x14ac:dyDescent="0.3">
      <c r="A1861" s="31">
        <f>COUNTIFS($B$2:B1861,B1861)</f>
        <v>7</v>
      </c>
      <c r="B1861" s="26" t="s">
        <v>438</v>
      </c>
      <c r="C1861" s="27">
        <v>20060368076758</v>
      </c>
      <c r="D1861" s="26" t="s">
        <v>528</v>
      </c>
      <c r="E1861" s="28">
        <v>96.249091989698215</v>
      </c>
      <c r="F1861" s="9"/>
      <c r="G1861" s="14" t="str">
        <f t="shared" si="71"/>
        <v>O</v>
      </c>
      <c r="H1861" s="15">
        <f t="shared" si="72"/>
        <v>48.124545994849107</v>
      </c>
      <c r="L1861" s="35"/>
    </row>
    <row r="1862" spans="1:12" x14ac:dyDescent="0.3">
      <c r="A1862" s="31">
        <f>COUNTIFS($B$2:B1862,B1862)</f>
        <v>8</v>
      </c>
      <c r="B1862" s="26" t="s">
        <v>438</v>
      </c>
      <c r="C1862" s="27">
        <v>20060368076758</v>
      </c>
      <c r="D1862" s="26" t="s">
        <v>424</v>
      </c>
      <c r="E1862" s="28">
        <v>3.4999669814435714</v>
      </c>
      <c r="F1862" s="9"/>
      <c r="G1862" s="14" t="str">
        <f t="shared" si="71"/>
        <v>O</v>
      </c>
      <c r="H1862" s="15">
        <f t="shared" si="72"/>
        <v>1.7499834907217857</v>
      </c>
      <c r="L1862" s="35"/>
    </row>
    <row r="1863" spans="1:12" x14ac:dyDescent="0.3">
      <c r="A1863" s="31">
        <f>COUNTIFS($B$2:B1863,B1863)</f>
        <v>9</v>
      </c>
      <c r="B1863" s="26" t="s">
        <v>438</v>
      </c>
      <c r="C1863" s="27">
        <v>20060368076758</v>
      </c>
      <c r="D1863" s="26" t="s">
        <v>535</v>
      </c>
      <c r="E1863" s="28">
        <v>69.999339628871439</v>
      </c>
      <c r="F1863" s="9"/>
      <c r="G1863" s="14" t="str">
        <f t="shared" si="71"/>
        <v>O</v>
      </c>
      <c r="H1863" s="15">
        <f t="shared" si="72"/>
        <v>34.99966981443572</v>
      </c>
      <c r="L1863" s="35"/>
    </row>
    <row r="1864" spans="1:12" x14ac:dyDescent="0.3">
      <c r="A1864" s="31">
        <f>COUNTIFS($B$2:B1864,B1864)</f>
        <v>10</v>
      </c>
      <c r="B1864" s="26" t="s">
        <v>438</v>
      </c>
      <c r="C1864" s="27">
        <v>20060368076758</v>
      </c>
      <c r="D1864" s="26" t="s">
        <v>573</v>
      </c>
      <c r="E1864" s="28">
        <v>52.499504721653565</v>
      </c>
      <c r="F1864" s="9"/>
      <c r="G1864" s="14" t="str">
        <f t="shared" si="71"/>
        <v>O</v>
      </c>
      <c r="H1864" s="15">
        <f t="shared" si="72"/>
        <v>26.249752360826783</v>
      </c>
      <c r="L1864" s="35"/>
    </row>
    <row r="1865" spans="1:12" x14ac:dyDescent="0.3">
      <c r="A1865" s="31">
        <f>COUNTIFS($B$2:B1865,B1865)</f>
        <v>11</v>
      </c>
      <c r="B1865" s="26" t="s">
        <v>438</v>
      </c>
      <c r="C1865" s="27">
        <v>20060368076758</v>
      </c>
      <c r="D1865" s="26" t="s">
        <v>48</v>
      </c>
      <c r="E1865" s="28">
        <v>13.999867925774286</v>
      </c>
      <c r="F1865" s="9"/>
      <c r="G1865" s="14" t="str">
        <f t="shared" si="71"/>
        <v>O</v>
      </c>
      <c r="H1865" s="15">
        <f t="shared" si="72"/>
        <v>6.9999339628871429</v>
      </c>
      <c r="L1865" s="35"/>
    </row>
    <row r="1866" spans="1:12" x14ac:dyDescent="0.3">
      <c r="A1866" s="31">
        <f>COUNTIFS($B$2:B1866,B1866)</f>
        <v>12</v>
      </c>
      <c r="B1866" s="26" t="s">
        <v>438</v>
      </c>
      <c r="C1866" s="27">
        <v>20060368076758</v>
      </c>
      <c r="D1866" s="26" t="s">
        <v>518</v>
      </c>
      <c r="E1866" s="28">
        <v>20.99980188866143</v>
      </c>
      <c r="F1866" s="9"/>
      <c r="G1866" s="14" t="str">
        <f t="shared" si="71"/>
        <v>O</v>
      </c>
      <c r="H1866" s="15">
        <f t="shared" si="72"/>
        <v>10.499900944330715</v>
      </c>
      <c r="L1866" s="35"/>
    </row>
    <row r="1867" spans="1:12" x14ac:dyDescent="0.3">
      <c r="A1867" s="31">
        <f>COUNTIFS($B$2:B1867,B1867)</f>
        <v>13</v>
      </c>
      <c r="B1867" s="26" t="s">
        <v>438</v>
      </c>
      <c r="C1867" s="27">
        <v>20060368076758</v>
      </c>
      <c r="D1867" s="26" t="s">
        <v>295</v>
      </c>
      <c r="E1867" s="28">
        <v>0.10499900944330716</v>
      </c>
      <c r="F1867" s="9"/>
      <c r="G1867" s="14" t="str">
        <f t="shared" ref="G1867:G1930" si="73">IF(D1867="","",IF(COUNTIF(I:I,D1867)&gt;0,"O","X"))</f>
        <v>O</v>
      </c>
      <c r="H1867" s="15">
        <f t="shared" si="72"/>
        <v>5.249950472165358E-2</v>
      </c>
      <c r="L1867" s="35"/>
    </row>
    <row r="1868" spans="1:12" x14ac:dyDescent="0.3">
      <c r="A1868" s="38">
        <f>COUNTIFS($B$2:B1868,B1868)</f>
        <v>1</v>
      </c>
      <c r="B1868" s="39" t="s">
        <v>439</v>
      </c>
      <c r="C1868" s="40">
        <v>20060368076759</v>
      </c>
      <c r="D1868" s="39" t="s">
        <v>149</v>
      </c>
      <c r="E1868" s="22">
        <v>92.213114754098356</v>
      </c>
      <c r="F1868" s="9"/>
      <c r="G1868" s="14" t="str">
        <f t="shared" si="73"/>
        <v>O</v>
      </c>
      <c r="H1868" s="15">
        <f t="shared" si="72"/>
        <v>46.106557377049178</v>
      </c>
      <c r="L1868" s="35"/>
    </row>
    <row r="1869" spans="1:12" x14ac:dyDescent="0.3">
      <c r="A1869" s="38">
        <f>COUNTIFS($B$2:B1869,B1869)</f>
        <v>2</v>
      </c>
      <c r="B1869" s="39" t="s">
        <v>439</v>
      </c>
      <c r="C1869" s="40">
        <v>20060368076759</v>
      </c>
      <c r="D1869" s="39" t="s">
        <v>418</v>
      </c>
      <c r="E1869" s="22">
        <v>2.0491803278688523</v>
      </c>
      <c r="F1869" s="9"/>
      <c r="G1869" s="14" t="str">
        <f t="shared" si="73"/>
        <v>O</v>
      </c>
      <c r="H1869" s="15">
        <f t="shared" si="72"/>
        <v>1.0245901639344261</v>
      </c>
      <c r="L1869" s="35"/>
    </row>
    <row r="1870" spans="1:12" x14ac:dyDescent="0.3">
      <c r="A1870" s="38">
        <f>COUNTIFS($B$2:B1870,B1870)</f>
        <v>3</v>
      </c>
      <c r="B1870" s="39" t="s">
        <v>439</v>
      </c>
      <c r="C1870" s="40">
        <v>20060368076759</v>
      </c>
      <c r="D1870" s="39" t="s">
        <v>489</v>
      </c>
      <c r="E1870" s="22">
        <v>3.0737704918032787</v>
      </c>
      <c r="F1870" s="9"/>
      <c r="G1870" s="14" t="str">
        <f t="shared" si="73"/>
        <v>O</v>
      </c>
      <c r="H1870" s="15">
        <f t="shared" si="72"/>
        <v>1.5368852459016393</v>
      </c>
      <c r="L1870" s="35"/>
    </row>
    <row r="1871" spans="1:12" x14ac:dyDescent="0.3">
      <c r="A1871" s="38">
        <f>COUNTIFS($B$2:B1871,B1871)</f>
        <v>4</v>
      </c>
      <c r="B1871" s="39" t="s">
        <v>439</v>
      </c>
      <c r="C1871" s="40">
        <v>20060368076759</v>
      </c>
      <c r="D1871" s="39" t="s">
        <v>495</v>
      </c>
      <c r="E1871" s="22">
        <v>35.860655737704917</v>
      </c>
      <c r="F1871" s="9"/>
      <c r="G1871" s="14" t="str">
        <f t="shared" si="73"/>
        <v>O</v>
      </c>
      <c r="H1871" s="15">
        <f t="shared" si="72"/>
        <v>17.930327868852459</v>
      </c>
      <c r="L1871" s="35"/>
    </row>
    <row r="1872" spans="1:12" x14ac:dyDescent="0.3">
      <c r="A1872" s="38">
        <f>COUNTIFS($B$2:B1872,B1872)</f>
        <v>5</v>
      </c>
      <c r="B1872" s="39" t="s">
        <v>439</v>
      </c>
      <c r="C1872" s="40">
        <v>20060368076759</v>
      </c>
      <c r="D1872" s="39" t="s">
        <v>528</v>
      </c>
      <c r="E1872" s="22">
        <v>35.860655737704917</v>
      </c>
      <c r="F1872" s="9"/>
      <c r="G1872" s="14" t="str">
        <f t="shared" si="73"/>
        <v>O</v>
      </c>
      <c r="H1872" s="15">
        <f t="shared" si="72"/>
        <v>17.930327868852459</v>
      </c>
      <c r="L1872" s="35"/>
    </row>
    <row r="1873" spans="1:12" x14ac:dyDescent="0.3">
      <c r="A1873" s="38">
        <f>COUNTIFS($B$2:B1873,B1873)</f>
        <v>6</v>
      </c>
      <c r="B1873" s="39" t="s">
        <v>439</v>
      </c>
      <c r="C1873" s="40">
        <v>20060368076759</v>
      </c>
      <c r="D1873" s="39" t="s">
        <v>424</v>
      </c>
      <c r="E1873" s="22">
        <v>2.0491803278688523</v>
      </c>
      <c r="F1873" s="9"/>
      <c r="G1873" s="14" t="str">
        <f t="shared" si="73"/>
        <v>O</v>
      </c>
      <c r="H1873" s="15">
        <f t="shared" si="72"/>
        <v>1.0245901639344261</v>
      </c>
      <c r="L1873" s="35"/>
    </row>
    <row r="1874" spans="1:12" x14ac:dyDescent="0.3">
      <c r="A1874" s="38">
        <f>COUNTIFS($B$2:B1874,B1874)</f>
        <v>7</v>
      </c>
      <c r="B1874" s="39" t="s">
        <v>439</v>
      </c>
      <c r="C1874" s="40">
        <v>20060368076759</v>
      </c>
      <c r="D1874" s="39" t="s">
        <v>624</v>
      </c>
      <c r="E1874" s="22">
        <v>30.737704918032783</v>
      </c>
      <c r="F1874" s="9"/>
      <c r="G1874" s="14" t="str">
        <f t="shared" si="73"/>
        <v>O</v>
      </c>
      <c r="H1874" s="15">
        <f t="shared" si="72"/>
        <v>15.368852459016392</v>
      </c>
      <c r="L1874" s="35"/>
    </row>
    <row r="1875" spans="1:12" x14ac:dyDescent="0.3">
      <c r="A1875" s="38">
        <f>COUNTIFS($B$2:B1875,B1875)</f>
        <v>8</v>
      </c>
      <c r="B1875" s="39" t="s">
        <v>439</v>
      </c>
      <c r="C1875" s="40">
        <v>20060368076759</v>
      </c>
      <c r="D1875" s="39" t="s">
        <v>625</v>
      </c>
      <c r="E1875" s="22">
        <v>25.614754098360656</v>
      </c>
      <c r="F1875" s="9"/>
      <c r="G1875" s="14" t="str">
        <f t="shared" si="73"/>
        <v>O</v>
      </c>
      <c r="H1875" s="15">
        <f t="shared" si="72"/>
        <v>12.807377049180328</v>
      </c>
      <c r="L1875" s="35"/>
    </row>
    <row r="1876" spans="1:12" x14ac:dyDescent="0.3">
      <c r="A1876" s="38">
        <f>COUNTIFS($B$2:B1876,B1876)</f>
        <v>9</v>
      </c>
      <c r="B1876" s="39" t="s">
        <v>439</v>
      </c>
      <c r="C1876" s="40">
        <v>20060368076759</v>
      </c>
      <c r="D1876" s="39" t="s">
        <v>518</v>
      </c>
      <c r="E1876" s="22">
        <v>12.295081967213115</v>
      </c>
      <c r="F1876" s="9"/>
      <c r="G1876" s="14" t="str">
        <f t="shared" si="73"/>
        <v>O</v>
      </c>
      <c r="H1876" s="15">
        <f t="shared" si="72"/>
        <v>6.1475409836065573</v>
      </c>
      <c r="L1876" s="35"/>
    </row>
    <row r="1877" spans="1:12" x14ac:dyDescent="0.3">
      <c r="A1877" s="38">
        <f>COUNTIFS($B$2:B1877,B1877)</f>
        <v>10</v>
      </c>
      <c r="B1877" s="39" t="s">
        <v>439</v>
      </c>
      <c r="C1877" s="40">
        <v>20060368076759</v>
      </c>
      <c r="D1877" s="39" t="s">
        <v>488</v>
      </c>
      <c r="E1877" s="22">
        <v>10.245901639344263</v>
      </c>
      <c r="F1877" s="9"/>
      <c r="G1877" s="14" t="str">
        <f t="shared" si="73"/>
        <v>O</v>
      </c>
      <c r="H1877" s="15">
        <f t="shared" si="72"/>
        <v>5.1229508196721314</v>
      </c>
      <c r="L1877" s="35"/>
    </row>
    <row r="1878" spans="1:12" x14ac:dyDescent="0.3">
      <c r="A1878" s="31">
        <f>COUNTIFS($B$2:B1878,B1878)</f>
        <v>1</v>
      </c>
      <c r="B1878" s="26" t="s">
        <v>440</v>
      </c>
      <c r="C1878" s="27">
        <v>20060368076760</v>
      </c>
      <c r="D1878" s="26" t="s">
        <v>149</v>
      </c>
      <c r="E1878" s="22">
        <v>205.70617906683484</v>
      </c>
      <c r="F1878" s="9"/>
      <c r="G1878" s="14" t="str">
        <f t="shared" si="73"/>
        <v>O</v>
      </c>
      <c r="H1878" s="15">
        <f t="shared" si="72"/>
        <v>102.85308953341742</v>
      </c>
      <c r="L1878" s="35"/>
    </row>
    <row r="1879" spans="1:12" x14ac:dyDescent="0.3">
      <c r="A1879" s="31">
        <f>COUNTIFS($B$2:B1879,B1879)</f>
        <v>2</v>
      </c>
      <c r="B1879" s="26" t="s">
        <v>440</v>
      </c>
      <c r="C1879" s="27">
        <v>20060368076760</v>
      </c>
      <c r="D1879" s="26" t="s">
        <v>418</v>
      </c>
      <c r="E1879" s="22">
        <v>4.5712484237074396</v>
      </c>
      <c r="F1879" s="9"/>
      <c r="G1879" s="14" t="str">
        <f t="shared" si="73"/>
        <v>O</v>
      </c>
      <c r="H1879" s="15">
        <f t="shared" si="72"/>
        <v>2.2856242118537198</v>
      </c>
      <c r="L1879" s="35"/>
    </row>
    <row r="1880" spans="1:12" x14ac:dyDescent="0.3">
      <c r="A1880" s="31">
        <f>COUNTIFS($B$2:B1880,B1880)</f>
        <v>3</v>
      </c>
      <c r="B1880" s="26" t="s">
        <v>440</v>
      </c>
      <c r="C1880" s="27">
        <v>20060368076760</v>
      </c>
      <c r="D1880" s="26" t="s">
        <v>489</v>
      </c>
      <c r="E1880" s="22">
        <v>6.8568726355611602</v>
      </c>
      <c r="F1880" s="9"/>
      <c r="G1880" s="14" t="str">
        <f t="shared" si="73"/>
        <v>O</v>
      </c>
      <c r="H1880" s="15">
        <f t="shared" si="72"/>
        <v>3.4284363177805801</v>
      </c>
      <c r="L1880" s="35"/>
    </row>
    <row r="1881" spans="1:12" x14ac:dyDescent="0.3">
      <c r="A1881" s="31">
        <f>COUNTIFS($B$2:B1881,B1881)</f>
        <v>4</v>
      </c>
      <c r="B1881" s="26" t="s">
        <v>440</v>
      </c>
      <c r="C1881" s="27">
        <v>20060368076760</v>
      </c>
      <c r="D1881" s="26" t="s">
        <v>495</v>
      </c>
      <c r="E1881" s="22">
        <v>79.996847414880207</v>
      </c>
      <c r="F1881" s="9"/>
      <c r="G1881" s="14" t="str">
        <f t="shared" si="73"/>
        <v>O</v>
      </c>
      <c r="H1881" s="15">
        <f t="shared" si="72"/>
        <v>39.998423707440104</v>
      </c>
      <c r="L1881" s="35"/>
    </row>
    <row r="1882" spans="1:12" x14ac:dyDescent="0.3">
      <c r="A1882" s="31">
        <f>COUNTIFS($B$2:B1882,B1882)</f>
        <v>5</v>
      </c>
      <c r="B1882" s="26" t="s">
        <v>440</v>
      </c>
      <c r="C1882" s="27">
        <v>20060368076760</v>
      </c>
      <c r="D1882" s="26" t="s">
        <v>528</v>
      </c>
      <c r="E1882" s="22">
        <v>79.996847414880207</v>
      </c>
      <c r="F1882" s="9"/>
      <c r="G1882" s="14" t="str">
        <f t="shared" si="73"/>
        <v>O</v>
      </c>
      <c r="H1882" s="15">
        <f t="shared" si="72"/>
        <v>39.998423707440104</v>
      </c>
      <c r="L1882" s="35"/>
    </row>
    <row r="1883" spans="1:12" x14ac:dyDescent="0.3">
      <c r="A1883" s="31">
        <f>COUNTIFS($B$2:B1883,B1883)</f>
        <v>6</v>
      </c>
      <c r="B1883" s="26" t="s">
        <v>440</v>
      </c>
      <c r="C1883" s="27">
        <v>20060368076760</v>
      </c>
      <c r="D1883" s="26" t="s">
        <v>424</v>
      </c>
      <c r="E1883" s="22">
        <v>4.5712484237074396</v>
      </c>
      <c r="F1883" s="9"/>
      <c r="G1883" s="14" t="str">
        <f t="shared" si="73"/>
        <v>O</v>
      </c>
      <c r="H1883" s="15">
        <f t="shared" si="72"/>
        <v>2.2856242118537198</v>
      </c>
      <c r="L1883" s="35"/>
    </row>
    <row r="1884" spans="1:12" x14ac:dyDescent="0.3">
      <c r="A1884" s="31">
        <f>COUNTIFS($B$2:B1884,B1884)</f>
        <v>7</v>
      </c>
      <c r="B1884" s="26" t="s">
        <v>440</v>
      </c>
      <c r="C1884" s="27">
        <v>20060368076760</v>
      </c>
      <c r="D1884" s="26" t="s">
        <v>624</v>
      </c>
      <c r="E1884" s="22">
        <v>68.568726355611616</v>
      </c>
      <c r="F1884" s="9"/>
      <c r="G1884" s="14" t="str">
        <f t="shared" si="73"/>
        <v>O</v>
      </c>
      <c r="H1884" s="15">
        <f t="shared" si="72"/>
        <v>34.284363177805808</v>
      </c>
      <c r="L1884" s="35"/>
    </row>
    <row r="1885" spans="1:12" x14ac:dyDescent="0.3">
      <c r="A1885" s="31">
        <f>COUNTIFS($B$2:B1885,B1885)</f>
        <v>8</v>
      </c>
      <c r="B1885" s="26" t="s">
        <v>440</v>
      </c>
      <c r="C1885" s="27">
        <v>20060368076760</v>
      </c>
      <c r="D1885" s="26" t="s">
        <v>625</v>
      </c>
      <c r="E1885" s="22">
        <v>57.140605296343004</v>
      </c>
      <c r="F1885" s="9"/>
      <c r="G1885" s="14" t="str">
        <f t="shared" si="73"/>
        <v>O</v>
      </c>
      <c r="H1885" s="15">
        <f t="shared" si="72"/>
        <v>28.570302648171502</v>
      </c>
      <c r="L1885" s="35"/>
    </row>
    <row r="1886" spans="1:12" x14ac:dyDescent="0.3">
      <c r="A1886" s="31">
        <f>COUNTIFS($B$2:B1886,B1886)</f>
        <v>9</v>
      </c>
      <c r="B1886" s="26" t="s">
        <v>440</v>
      </c>
      <c r="C1886" s="27">
        <v>20060368076760</v>
      </c>
      <c r="D1886" s="26" t="s">
        <v>518</v>
      </c>
      <c r="E1886" s="22">
        <v>27.427490542244641</v>
      </c>
      <c r="F1886" s="9"/>
      <c r="G1886" s="14" t="str">
        <f t="shared" si="73"/>
        <v>O</v>
      </c>
      <c r="H1886" s="15">
        <f t="shared" si="72"/>
        <v>13.71374527112232</v>
      </c>
      <c r="L1886" s="35"/>
    </row>
    <row r="1887" spans="1:12" x14ac:dyDescent="0.3">
      <c r="A1887" s="31">
        <f>COUNTIFS($B$2:B1887,B1887)</f>
        <v>10</v>
      </c>
      <c r="B1887" s="26" t="s">
        <v>440</v>
      </c>
      <c r="C1887" s="27">
        <v>20060368076760</v>
      </c>
      <c r="D1887" s="26" t="s">
        <v>488</v>
      </c>
      <c r="E1887" s="22">
        <v>22.856242118537203</v>
      </c>
      <c r="F1887" s="9"/>
      <c r="G1887" s="14" t="str">
        <f t="shared" si="73"/>
        <v>O</v>
      </c>
      <c r="H1887" s="15">
        <f t="shared" si="72"/>
        <v>11.428121059268602</v>
      </c>
      <c r="L1887" s="35"/>
    </row>
    <row r="1888" spans="1:12" x14ac:dyDescent="0.3">
      <c r="A1888" s="38">
        <f>COUNTIFS($B$2:B1888,B1888)</f>
        <v>1</v>
      </c>
      <c r="B1888" s="39" t="s">
        <v>441</v>
      </c>
      <c r="C1888" s="40">
        <v>20060368076761</v>
      </c>
      <c r="D1888" s="39" t="s">
        <v>149</v>
      </c>
      <c r="E1888" s="22">
        <v>74.895146794487715</v>
      </c>
      <c r="F1888" s="9"/>
      <c r="G1888" s="14" t="str">
        <f t="shared" si="73"/>
        <v>O</v>
      </c>
      <c r="H1888" s="15">
        <f t="shared" si="72"/>
        <v>37.447573397243858</v>
      </c>
      <c r="L1888" s="35"/>
    </row>
    <row r="1889" spans="1:12" x14ac:dyDescent="0.3">
      <c r="A1889" s="38">
        <f>COUNTIFS($B$2:B1889,B1889)</f>
        <v>2</v>
      </c>
      <c r="B1889" s="39" t="s">
        <v>441</v>
      </c>
      <c r="C1889" s="40">
        <v>20060368076761</v>
      </c>
      <c r="D1889" s="39" t="s">
        <v>418</v>
      </c>
      <c r="E1889" s="22">
        <v>1.348112642300779</v>
      </c>
      <c r="F1889" s="9"/>
      <c r="G1889" s="14" t="str">
        <f t="shared" si="73"/>
        <v>O</v>
      </c>
      <c r="H1889" s="15">
        <f t="shared" si="72"/>
        <v>0.67405632115038949</v>
      </c>
      <c r="L1889" s="35"/>
    </row>
    <row r="1890" spans="1:12" x14ac:dyDescent="0.3">
      <c r="A1890" s="38">
        <f>COUNTIFS($B$2:B1890,B1890)</f>
        <v>3</v>
      </c>
      <c r="B1890" s="39" t="s">
        <v>441</v>
      </c>
      <c r="C1890" s="40">
        <v>20060368076761</v>
      </c>
      <c r="D1890" s="39" t="s">
        <v>489</v>
      </c>
      <c r="E1890" s="22">
        <v>2.2468544038346314</v>
      </c>
      <c r="F1890" s="9"/>
      <c r="G1890" s="14" t="str">
        <f t="shared" si="73"/>
        <v>O</v>
      </c>
      <c r="H1890" s="15">
        <f t="shared" si="72"/>
        <v>1.1234272019173157</v>
      </c>
      <c r="L1890" s="35"/>
    </row>
    <row r="1891" spans="1:12" x14ac:dyDescent="0.3">
      <c r="A1891" s="38">
        <f>COUNTIFS($B$2:B1891,B1891)</f>
        <v>4</v>
      </c>
      <c r="B1891" s="39" t="s">
        <v>441</v>
      </c>
      <c r="C1891" s="40">
        <v>20060368076761</v>
      </c>
      <c r="D1891" s="39" t="s">
        <v>178</v>
      </c>
      <c r="E1891" s="22">
        <v>7.4895146794487717</v>
      </c>
      <c r="F1891" s="9"/>
      <c r="G1891" s="14" t="str">
        <f t="shared" si="73"/>
        <v>O</v>
      </c>
      <c r="H1891" s="15">
        <f t="shared" si="72"/>
        <v>3.7447573397243858</v>
      </c>
      <c r="L1891" s="35"/>
    </row>
    <row r="1892" spans="1:12" x14ac:dyDescent="0.3">
      <c r="A1892" s="38">
        <f>COUNTIFS($B$2:B1892,B1892)</f>
        <v>5</v>
      </c>
      <c r="B1892" s="39" t="s">
        <v>441</v>
      </c>
      <c r="C1892" s="40">
        <v>20060368076761</v>
      </c>
      <c r="D1892" s="39" t="s">
        <v>272</v>
      </c>
      <c r="E1892" s="22">
        <v>22.468544038346316</v>
      </c>
      <c r="F1892" s="9"/>
      <c r="G1892" s="14" t="str">
        <f t="shared" si="73"/>
        <v>O</v>
      </c>
      <c r="H1892" s="15">
        <f t="shared" si="72"/>
        <v>11.234272019173158</v>
      </c>
      <c r="L1892" s="35"/>
    </row>
    <row r="1893" spans="1:12" x14ac:dyDescent="0.3">
      <c r="A1893" s="38">
        <f>COUNTIFS($B$2:B1893,B1893)</f>
        <v>6</v>
      </c>
      <c r="B1893" s="39" t="s">
        <v>441</v>
      </c>
      <c r="C1893" s="40">
        <v>20060368076761</v>
      </c>
      <c r="D1893" s="39" t="s">
        <v>564</v>
      </c>
      <c r="E1893" s="22">
        <v>18.723786698621929</v>
      </c>
      <c r="F1893" s="9"/>
      <c r="G1893" s="14" t="str">
        <f t="shared" si="73"/>
        <v>O</v>
      </c>
      <c r="H1893" s="15">
        <f t="shared" si="72"/>
        <v>9.3618933493109644</v>
      </c>
      <c r="L1893" s="35"/>
    </row>
    <row r="1894" spans="1:12" x14ac:dyDescent="0.3">
      <c r="A1894" s="38">
        <f>COUNTIFS($B$2:B1894,B1894)</f>
        <v>7</v>
      </c>
      <c r="B1894" s="39" t="s">
        <v>441</v>
      </c>
      <c r="C1894" s="40">
        <v>20060368076761</v>
      </c>
      <c r="D1894" s="39" t="s">
        <v>495</v>
      </c>
      <c r="E1894" s="22">
        <v>22.468544038346316</v>
      </c>
      <c r="F1894" s="9"/>
      <c r="G1894" s="14" t="str">
        <f t="shared" si="73"/>
        <v>O</v>
      </c>
      <c r="H1894" s="15">
        <f t="shared" si="72"/>
        <v>11.234272019173158</v>
      </c>
      <c r="L1894" s="35"/>
    </row>
    <row r="1895" spans="1:12" x14ac:dyDescent="0.3">
      <c r="A1895" s="38">
        <f>COUNTIFS($B$2:B1895,B1895)</f>
        <v>8</v>
      </c>
      <c r="B1895" s="39" t="s">
        <v>441</v>
      </c>
      <c r="C1895" s="40">
        <v>20060368076761</v>
      </c>
      <c r="D1895" s="39" t="s">
        <v>528</v>
      </c>
      <c r="E1895" s="22">
        <v>26.213301378070703</v>
      </c>
      <c r="F1895" s="9"/>
      <c r="G1895" s="14" t="str">
        <f t="shared" si="73"/>
        <v>O</v>
      </c>
      <c r="H1895" s="15">
        <f t="shared" si="72"/>
        <v>13.106650689035352</v>
      </c>
      <c r="L1895" s="35"/>
    </row>
    <row r="1896" spans="1:12" x14ac:dyDescent="0.3">
      <c r="A1896" s="38">
        <f>COUNTIFS($B$2:B1896,B1896)</f>
        <v>9</v>
      </c>
      <c r="B1896" s="39" t="s">
        <v>441</v>
      </c>
      <c r="C1896" s="40">
        <v>20060368076761</v>
      </c>
      <c r="D1896" s="39" t="s">
        <v>424</v>
      </c>
      <c r="E1896" s="22">
        <v>1.4979029358897542</v>
      </c>
      <c r="F1896" s="9"/>
      <c r="G1896" s="14" t="str">
        <f t="shared" si="73"/>
        <v>O</v>
      </c>
      <c r="H1896" s="15">
        <f t="shared" si="72"/>
        <v>0.7489514679448771</v>
      </c>
      <c r="L1896" s="35"/>
    </row>
    <row r="1897" spans="1:12" x14ac:dyDescent="0.3">
      <c r="A1897" s="38">
        <f>COUNTIFS($B$2:B1897,B1897)</f>
        <v>10</v>
      </c>
      <c r="B1897" s="39" t="s">
        <v>441</v>
      </c>
      <c r="C1897" s="40">
        <v>20060368076761</v>
      </c>
      <c r="D1897" s="39" t="s">
        <v>624</v>
      </c>
      <c r="E1897" s="22">
        <v>29.958058717795087</v>
      </c>
      <c r="F1897" s="9"/>
      <c r="G1897" s="14" t="str">
        <f t="shared" si="73"/>
        <v>O</v>
      </c>
      <c r="H1897" s="15">
        <f t="shared" si="72"/>
        <v>14.979029358897543</v>
      </c>
      <c r="L1897" s="35"/>
    </row>
    <row r="1898" spans="1:12" x14ac:dyDescent="0.3">
      <c r="A1898" s="38">
        <f>COUNTIFS($B$2:B1898,B1898)</f>
        <v>11</v>
      </c>
      <c r="B1898" s="39" t="s">
        <v>441</v>
      </c>
      <c r="C1898" s="40">
        <v>20060368076761</v>
      </c>
      <c r="D1898" s="39" t="s">
        <v>625</v>
      </c>
      <c r="E1898" s="22">
        <v>26.213301378070703</v>
      </c>
      <c r="F1898" s="9"/>
      <c r="G1898" s="14" t="str">
        <f t="shared" si="73"/>
        <v>O</v>
      </c>
      <c r="H1898" s="15">
        <f t="shared" si="72"/>
        <v>13.106650689035352</v>
      </c>
      <c r="L1898" s="35"/>
    </row>
    <row r="1899" spans="1:12" x14ac:dyDescent="0.3">
      <c r="A1899" s="38">
        <f>COUNTIFS($B$2:B1899,B1899)</f>
        <v>12</v>
      </c>
      <c r="B1899" s="39" t="s">
        <v>441</v>
      </c>
      <c r="C1899" s="40">
        <v>20060368076761</v>
      </c>
      <c r="D1899" s="39" t="s">
        <v>518</v>
      </c>
      <c r="E1899" s="22">
        <v>8.9874176153385257</v>
      </c>
      <c r="F1899" s="9"/>
      <c r="G1899" s="14" t="str">
        <f t="shared" si="73"/>
        <v>O</v>
      </c>
      <c r="H1899" s="15">
        <f t="shared" si="72"/>
        <v>4.4937088076692628</v>
      </c>
      <c r="L1899" s="35"/>
    </row>
    <row r="1900" spans="1:12" x14ac:dyDescent="0.3">
      <c r="A1900" s="38">
        <f>COUNTIFS($B$2:B1900,B1900)</f>
        <v>13</v>
      </c>
      <c r="B1900" s="39" t="s">
        <v>441</v>
      </c>
      <c r="C1900" s="40">
        <v>20060368076761</v>
      </c>
      <c r="D1900" s="39" t="s">
        <v>488</v>
      </c>
      <c r="E1900" s="22">
        <v>7.4895146794487717</v>
      </c>
      <c r="F1900" s="9"/>
      <c r="G1900" s="14" t="str">
        <f t="shared" si="73"/>
        <v>O</v>
      </c>
      <c r="H1900" s="15">
        <f t="shared" si="72"/>
        <v>3.7447573397243858</v>
      </c>
      <c r="L1900" s="35"/>
    </row>
    <row r="1901" spans="1:12" x14ac:dyDescent="0.3">
      <c r="A1901" s="19">
        <f>COUNTIFS($B$2:B1901,B1901)</f>
        <v>1</v>
      </c>
      <c r="B1901" s="26" t="s">
        <v>443</v>
      </c>
      <c r="C1901" s="27">
        <v>20060368076762</v>
      </c>
      <c r="D1901" s="26" t="s">
        <v>149</v>
      </c>
      <c r="E1901" s="28">
        <v>135.38738074388164</v>
      </c>
      <c r="F1901" s="9"/>
      <c r="G1901" s="14" t="str">
        <f t="shared" si="73"/>
        <v>O</v>
      </c>
      <c r="H1901" s="15">
        <f t="shared" si="72"/>
        <v>67.693690371940818</v>
      </c>
      <c r="I1901" s="50"/>
      <c r="L1901" s="35"/>
    </row>
    <row r="1902" spans="1:12" x14ac:dyDescent="0.3">
      <c r="A1902" s="19">
        <f>COUNTIFS($B$2:B1902,B1902)</f>
        <v>2</v>
      </c>
      <c r="B1902" s="26" t="s">
        <v>443</v>
      </c>
      <c r="C1902" s="27">
        <v>20060368076762</v>
      </c>
      <c r="D1902" s="26" t="s">
        <v>418</v>
      </c>
      <c r="E1902" s="28">
        <v>2.4369728533898698</v>
      </c>
      <c r="F1902" s="9"/>
      <c r="G1902" s="14" t="str">
        <f t="shared" si="73"/>
        <v>O</v>
      </c>
      <c r="H1902" s="15">
        <f t="shared" si="72"/>
        <v>1.2184864266949349</v>
      </c>
      <c r="I1902" s="50"/>
      <c r="L1902" s="35"/>
    </row>
    <row r="1903" spans="1:12" x14ac:dyDescent="0.3">
      <c r="A1903" s="19">
        <f>COUNTIFS($B$2:B1903,B1903)</f>
        <v>3</v>
      </c>
      <c r="B1903" s="26" t="s">
        <v>443</v>
      </c>
      <c r="C1903" s="27">
        <v>20060368076762</v>
      </c>
      <c r="D1903" s="26" t="s">
        <v>489</v>
      </c>
      <c r="E1903" s="28">
        <v>4.0616214223164491</v>
      </c>
      <c r="F1903" s="9"/>
      <c r="G1903" s="14" t="str">
        <f t="shared" si="73"/>
        <v>O</v>
      </c>
      <c r="H1903" s="15">
        <f t="shared" si="72"/>
        <v>2.0308107111582245</v>
      </c>
      <c r="I1903" s="50"/>
      <c r="L1903" s="35"/>
    </row>
    <row r="1904" spans="1:12" x14ac:dyDescent="0.3">
      <c r="A1904" s="19">
        <f>COUNTIFS($B$2:B1904,B1904)</f>
        <v>4</v>
      </c>
      <c r="B1904" s="26" t="s">
        <v>443</v>
      </c>
      <c r="C1904" s="27">
        <v>20060368076762</v>
      </c>
      <c r="D1904" s="26" t="s">
        <v>178</v>
      </c>
      <c r="E1904" s="28">
        <v>13.538738074388164</v>
      </c>
      <c r="F1904" s="9"/>
      <c r="G1904" s="14" t="str">
        <f t="shared" si="73"/>
        <v>O</v>
      </c>
      <c r="H1904" s="15">
        <f t="shared" si="72"/>
        <v>6.7693690371940818</v>
      </c>
      <c r="I1904" s="50"/>
      <c r="L1904" s="35"/>
    </row>
    <row r="1905" spans="1:12" x14ac:dyDescent="0.3">
      <c r="A1905" s="19">
        <f>COUNTIFS($B$2:B1905,B1905)</f>
        <v>5</v>
      </c>
      <c r="B1905" s="26" t="s">
        <v>443</v>
      </c>
      <c r="C1905" s="27">
        <v>20060368076762</v>
      </c>
      <c r="D1905" s="26" t="s">
        <v>272</v>
      </c>
      <c r="E1905" s="28">
        <v>40.616214223164498</v>
      </c>
      <c r="F1905" s="9"/>
      <c r="G1905" s="14" t="str">
        <f t="shared" si="73"/>
        <v>O</v>
      </c>
      <c r="H1905" s="15">
        <f t="shared" si="72"/>
        <v>20.308107111582249</v>
      </c>
      <c r="I1905" s="50"/>
      <c r="L1905" s="35"/>
    </row>
    <row r="1906" spans="1:12" x14ac:dyDescent="0.3">
      <c r="A1906" s="19">
        <f>COUNTIFS($B$2:B1906,B1906)</f>
        <v>6</v>
      </c>
      <c r="B1906" s="26" t="s">
        <v>443</v>
      </c>
      <c r="C1906" s="27">
        <v>20060368076762</v>
      </c>
      <c r="D1906" s="26" t="s">
        <v>564</v>
      </c>
      <c r="E1906" s="28">
        <v>33.846845185970409</v>
      </c>
      <c r="F1906" s="9"/>
      <c r="G1906" s="14" t="str">
        <f t="shared" si="73"/>
        <v>O</v>
      </c>
      <c r="H1906" s="15">
        <f t="shared" si="72"/>
        <v>16.923422592985204</v>
      </c>
      <c r="I1906" s="50"/>
      <c r="L1906" s="35"/>
    </row>
    <row r="1907" spans="1:12" x14ac:dyDescent="0.3">
      <c r="A1907" s="19">
        <f>COUNTIFS($B$2:B1907,B1907)</f>
        <v>7</v>
      </c>
      <c r="B1907" s="26" t="s">
        <v>443</v>
      </c>
      <c r="C1907" s="27">
        <v>20060368076762</v>
      </c>
      <c r="D1907" s="26" t="s">
        <v>495</v>
      </c>
      <c r="E1907" s="28">
        <v>40.616214223164498</v>
      </c>
      <c r="F1907" s="9"/>
      <c r="G1907" s="14" t="str">
        <f t="shared" si="73"/>
        <v>O</v>
      </c>
      <c r="H1907" s="15">
        <f t="shared" si="72"/>
        <v>20.308107111582249</v>
      </c>
      <c r="I1907" s="50"/>
      <c r="L1907" s="35"/>
    </row>
    <row r="1908" spans="1:12" x14ac:dyDescent="0.3">
      <c r="A1908" s="19">
        <f>COUNTIFS($B$2:B1908,B1908)</f>
        <v>8</v>
      </c>
      <c r="B1908" s="26" t="s">
        <v>443</v>
      </c>
      <c r="C1908" s="27">
        <v>20060368076762</v>
      </c>
      <c r="D1908" s="26" t="s">
        <v>528</v>
      </c>
      <c r="E1908" s="28">
        <v>47.385583260358572</v>
      </c>
      <c r="F1908" s="9"/>
      <c r="G1908" s="14" t="str">
        <f t="shared" si="73"/>
        <v>O</v>
      </c>
      <c r="H1908" s="15">
        <f t="shared" si="72"/>
        <v>23.692791630179286</v>
      </c>
      <c r="I1908" s="50"/>
      <c r="L1908" s="35"/>
    </row>
    <row r="1909" spans="1:12" x14ac:dyDescent="0.3">
      <c r="A1909" s="19">
        <f>COUNTIFS($B$2:B1909,B1909)</f>
        <v>9</v>
      </c>
      <c r="B1909" s="26" t="s">
        <v>443</v>
      </c>
      <c r="C1909" s="27">
        <v>20060368076762</v>
      </c>
      <c r="D1909" s="26" t="s">
        <v>424</v>
      </c>
      <c r="E1909" s="28">
        <v>2.7077476148776327</v>
      </c>
      <c r="F1909" s="9"/>
      <c r="G1909" s="14" t="str">
        <f t="shared" si="73"/>
        <v>O</v>
      </c>
      <c r="H1909" s="15">
        <f t="shared" ref="H1909:H1972" si="74">E1909/2</f>
        <v>1.3538738074388164</v>
      </c>
      <c r="I1909" s="50"/>
      <c r="L1909" s="35"/>
    </row>
    <row r="1910" spans="1:12" x14ac:dyDescent="0.3">
      <c r="A1910" s="19">
        <f>COUNTIFS($B$2:B1910,B1910)</f>
        <v>10</v>
      </c>
      <c r="B1910" s="26" t="s">
        <v>443</v>
      </c>
      <c r="C1910" s="27">
        <v>20060368076762</v>
      </c>
      <c r="D1910" s="26" t="s">
        <v>624</v>
      </c>
      <c r="E1910" s="28">
        <v>54.154952297552654</v>
      </c>
      <c r="F1910" s="9"/>
      <c r="G1910" s="14" t="str">
        <f t="shared" si="73"/>
        <v>O</v>
      </c>
      <c r="H1910" s="15">
        <f t="shared" si="74"/>
        <v>27.077476148776327</v>
      </c>
      <c r="I1910" s="50"/>
      <c r="L1910" s="35"/>
    </row>
    <row r="1911" spans="1:12" x14ac:dyDescent="0.3">
      <c r="A1911" s="19">
        <f>COUNTIFS($B$2:B1911,B1911)</f>
        <v>11</v>
      </c>
      <c r="B1911" s="26" t="s">
        <v>443</v>
      </c>
      <c r="C1911" s="27">
        <v>20060368076762</v>
      </c>
      <c r="D1911" s="26" t="s">
        <v>625</v>
      </c>
      <c r="E1911" s="28">
        <v>47.385583260358572</v>
      </c>
      <c r="F1911" s="9"/>
      <c r="G1911" s="14" t="str">
        <f t="shared" si="73"/>
        <v>O</v>
      </c>
      <c r="H1911" s="15">
        <f t="shared" si="74"/>
        <v>23.692791630179286</v>
      </c>
      <c r="I1911" s="50"/>
      <c r="L1911" s="35"/>
    </row>
    <row r="1912" spans="1:12" x14ac:dyDescent="0.3">
      <c r="A1912" s="19">
        <f>COUNTIFS($B$2:B1912,B1912)</f>
        <v>12</v>
      </c>
      <c r="B1912" s="26" t="s">
        <v>443</v>
      </c>
      <c r="C1912" s="27">
        <v>20060368076762</v>
      </c>
      <c r="D1912" s="26" t="s">
        <v>518</v>
      </c>
      <c r="E1912" s="28">
        <v>16.246485689265796</v>
      </c>
      <c r="F1912" s="9"/>
      <c r="G1912" s="14" t="str">
        <f t="shared" si="73"/>
        <v>O</v>
      </c>
      <c r="H1912" s="15">
        <f t="shared" si="74"/>
        <v>8.1232428446328981</v>
      </c>
      <c r="I1912" s="50"/>
      <c r="L1912" s="35"/>
    </row>
    <row r="1913" spans="1:12" x14ac:dyDescent="0.3">
      <c r="A1913" s="19">
        <f>COUNTIFS($B$2:B1913,B1913)</f>
        <v>13</v>
      </c>
      <c r="B1913" s="26" t="s">
        <v>443</v>
      </c>
      <c r="C1913" s="27">
        <v>20060368076762</v>
      </c>
      <c r="D1913" s="26" t="s">
        <v>488</v>
      </c>
      <c r="E1913" s="28">
        <v>13.538738074388164</v>
      </c>
      <c r="F1913" s="9"/>
      <c r="G1913" s="14" t="str">
        <f t="shared" si="73"/>
        <v>O</v>
      </c>
      <c r="H1913" s="15">
        <f t="shared" si="74"/>
        <v>6.7693690371940818</v>
      </c>
      <c r="I1913" s="50"/>
      <c r="L1913" s="35"/>
    </row>
    <row r="1914" spans="1:12" x14ac:dyDescent="0.3">
      <c r="A1914" s="19">
        <f>COUNTIFS($B$2:B1914,B1914)</f>
        <v>1</v>
      </c>
      <c r="B1914" s="39" t="s">
        <v>444</v>
      </c>
      <c r="C1914" s="40">
        <v>20060368076763</v>
      </c>
      <c r="D1914" s="39" t="s">
        <v>149</v>
      </c>
      <c r="E1914" s="41">
        <v>78.419071518193221</v>
      </c>
      <c r="F1914" s="9"/>
      <c r="G1914" s="14" t="str">
        <f t="shared" si="73"/>
        <v>O</v>
      </c>
      <c r="H1914" s="15">
        <f t="shared" si="74"/>
        <v>39.20953575909661</v>
      </c>
      <c r="I1914" s="50"/>
      <c r="L1914" s="35"/>
    </row>
    <row r="1915" spans="1:12" x14ac:dyDescent="0.3">
      <c r="A1915" s="19">
        <f>COUNTIFS($B$2:B1915,B1915)</f>
        <v>2</v>
      </c>
      <c r="B1915" s="39" t="s">
        <v>444</v>
      </c>
      <c r="C1915" s="40">
        <v>20060368076763</v>
      </c>
      <c r="D1915" s="39" t="s">
        <v>418</v>
      </c>
      <c r="E1915" s="41">
        <v>1.411543287327478</v>
      </c>
      <c r="F1915" s="9"/>
      <c r="G1915" s="14" t="str">
        <f t="shared" si="73"/>
        <v>O</v>
      </c>
      <c r="H1915" s="15">
        <f t="shared" si="74"/>
        <v>0.70577164366373901</v>
      </c>
      <c r="I1915" s="50"/>
      <c r="L1915" s="35"/>
    </row>
    <row r="1916" spans="1:12" x14ac:dyDescent="0.3">
      <c r="A1916" s="19">
        <f>COUNTIFS($B$2:B1916,B1916)</f>
        <v>3</v>
      </c>
      <c r="B1916" s="39" t="s">
        <v>444</v>
      </c>
      <c r="C1916" s="40">
        <v>20060368076763</v>
      </c>
      <c r="D1916" s="39" t="s">
        <v>489</v>
      </c>
      <c r="E1916" s="41">
        <v>2.3525721455457966</v>
      </c>
      <c r="F1916" s="9"/>
      <c r="G1916" s="14" t="str">
        <f t="shared" si="73"/>
        <v>O</v>
      </c>
      <c r="H1916" s="15">
        <f t="shared" si="74"/>
        <v>1.1762860727728983</v>
      </c>
      <c r="I1916" s="50"/>
      <c r="L1916" s="35"/>
    </row>
    <row r="1917" spans="1:12" x14ac:dyDescent="0.3">
      <c r="A1917" s="19">
        <f>COUNTIFS($B$2:B1917,B1917)</f>
        <v>4</v>
      </c>
      <c r="B1917" s="39" t="s">
        <v>444</v>
      </c>
      <c r="C1917" s="40">
        <v>20060368076763</v>
      </c>
      <c r="D1917" s="39" t="s">
        <v>66</v>
      </c>
      <c r="E1917" s="41">
        <v>7.8419071518193224</v>
      </c>
      <c r="F1917" s="9"/>
      <c r="G1917" s="14" t="str">
        <f t="shared" si="73"/>
        <v>O</v>
      </c>
      <c r="H1917" s="15">
        <f t="shared" si="74"/>
        <v>3.9209535759096612</v>
      </c>
      <c r="I1917" s="50"/>
      <c r="L1917" s="35"/>
    </row>
    <row r="1918" spans="1:12" x14ac:dyDescent="0.3">
      <c r="A1918" s="19">
        <f>COUNTIFS($B$2:B1918,B1918)</f>
        <v>5</v>
      </c>
      <c r="B1918" s="39" t="s">
        <v>444</v>
      </c>
      <c r="C1918" s="40">
        <v>20060368076763</v>
      </c>
      <c r="D1918" s="39" t="s">
        <v>272</v>
      </c>
      <c r="E1918" s="41">
        <v>23.525721455457965</v>
      </c>
      <c r="F1918" s="9"/>
      <c r="G1918" s="14" t="str">
        <f t="shared" si="73"/>
        <v>O</v>
      </c>
      <c r="H1918" s="15">
        <f t="shared" si="74"/>
        <v>11.762860727728983</v>
      </c>
      <c r="I1918" s="50"/>
      <c r="L1918" s="35"/>
    </row>
    <row r="1919" spans="1:12" x14ac:dyDescent="0.3">
      <c r="A1919" s="19">
        <f>COUNTIFS($B$2:B1919,B1919)</f>
        <v>6</v>
      </c>
      <c r="B1919" s="39" t="s">
        <v>444</v>
      </c>
      <c r="C1919" s="40">
        <v>20060368076763</v>
      </c>
      <c r="D1919" s="39" t="s">
        <v>505</v>
      </c>
      <c r="E1919" s="41">
        <v>23.525721455457965</v>
      </c>
      <c r="F1919" s="9"/>
      <c r="G1919" s="14" t="str">
        <f t="shared" si="73"/>
        <v>O</v>
      </c>
      <c r="H1919" s="15">
        <f t="shared" si="74"/>
        <v>11.762860727728983</v>
      </c>
      <c r="I1919" s="50"/>
      <c r="L1919" s="35"/>
    </row>
    <row r="1920" spans="1:12" x14ac:dyDescent="0.3">
      <c r="A1920" s="19">
        <f>COUNTIFS($B$2:B1920,B1920)</f>
        <v>7</v>
      </c>
      <c r="B1920" s="39" t="s">
        <v>444</v>
      </c>
      <c r="C1920" s="40">
        <v>20060368076763</v>
      </c>
      <c r="D1920" s="39" t="s">
        <v>495</v>
      </c>
      <c r="E1920" s="41">
        <v>19.604767879548305</v>
      </c>
      <c r="F1920" s="9"/>
      <c r="G1920" s="14" t="str">
        <f t="shared" si="73"/>
        <v>O</v>
      </c>
      <c r="H1920" s="15">
        <f t="shared" si="74"/>
        <v>9.8023839397741526</v>
      </c>
      <c r="L1920" s="35"/>
    </row>
    <row r="1921" spans="1:12" x14ac:dyDescent="0.3">
      <c r="A1921" s="19">
        <f>COUNTIFS($B$2:B1921,B1921)</f>
        <v>8</v>
      </c>
      <c r="B1921" s="39" t="s">
        <v>444</v>
      </c>
      <c r="C1921" s="40">
        <v>20060368076763</v>
      </c>
      <c r="D1921" s="39" t="s">
        <v>528</v>
      </c>
      <c r="E1921" s="41">
        <v>23.525721455457965</v>
      </c>
      <c r="F1921" s="9"/>
      <c r="G1921" s="14" t="str">
        <f t="shared" si="73"/>
        <v>O</v>
      </c>
      <c r="H1921" s="15">
        <f t="shared" si="74"/>
        <v>11.762860727728983</v>
      </c>
      <c r="L1921" s="35"/>
    </row>
    <row r="1922" spans="1:12" x14ac:dyDescent="0.3">
      <c r="A1922" s="19">
        <f>COUNTIFS($B$2:B1922,B1922)</f>
        <v>9</v>
      </c>
      <c r="B1922" s="39" t="s">
        <v>444</v>
      </c>
      <c r="C1922" s="40">
        <v>20060368076763</v>
      </c>
      <c r="D1922" s="39" t="s">
        <v>424</v>
      </c>
      <c r="E1922" s="41">
        <v>1.5683814303638643</v>
      </c>
      <c r="F1922" s="9"/>
      <c r="G1922" s="14" t="str">
        <f t="shared" si="73"/>
        <v>O</v>
      </c>
      <c r="H1922" s="15">
        <f t="shared" si="74"/>
        <v>0.78419071518193217</v>
      </c>
      <c r="L1922" s="35"/>
    </row>
    <row r="1923" spans="1:12" x14ac:dyDescent="0.3">
      <c r="A1923" s="19">
        <f>COUNTIFS($B$2:B1923,B1923)</f>
        <v>10</v>
      </c>
      <c r="B1923" s="39" t="s">
        <v>444</v>
      </c>
      <c r="C1923" s="40">
        <v>20060368076763</v>
      </c>
      <c r="D1923" s="39" t="s">
        <v>624</v>
      </c>
      <c r="E1923" s="41">
        <v>27.446675031367626</v>
      </c>
      <c r="F1923" s="9"/>
      <c r="G1923" s="14" t="str">
        <f t="shared" si="73"/>
        <v>O</v>
      </c>
      <c r="H1923" s="15">
        <f t="shared" si="74"/>
        <v>13.723337515683813</v>
      </c>
      <c r="L1923" s="35"/>
    </row>
    <row r="1924" spans="1:12" x14ac:dyDescent="0.3">
      <c r="A1924" s="19">
        <f>COUNTIFS($B$2:B1924,B1924)</f>
        <v>11</v>
      </c>
      <c r="B1924" s="39" t="s">
        <v>444</v>
      </c>
      <c r="C1924" s="40">
        <v>20060368076763</v>
      </c>
      <c r="D1924" s="39" t="s">
        <v>625</v>
      </c>
      <c r="E1924" s="41">
        <v>23.525721455457965</v>
      </c>
      <c r="F1924" s="9"/>
      <c r="G1924" s="14" t="str">
        <f t="shared" si="73"/>
        <v>O</v>
      </c>
      <c r="H1924" s="15">
        <f t="shared" si="74"/>
        <v>11.762860727728983</v>
      </c>
      <c r="L1924" s="35"/>
    </row>
    <row r="1925" spans="1:12" x14ac:dyDescent="0.3">
      <c r="A1925" s="19">
        <f>COUNTIFS($B$2:B1925,B1925)</f>
        <v>12</v>
      </c>
      <c r="B1925" s="39" t="s">
        <v>444</v>
      </c>
      <c r="C1925" s="40">
        <v>20060368076763</v>
      </c>
      <c r="D1925" s="39" t="s">
        <v>518</v>
      </c>
      <c r="E1925" s="41">
        <v>9.4102885821831865</v>
      </c>
      <c r="F1925" s="9"/>
      <c r="G1925" s="14" t="str">
        <f t="shared" si="73"/>
        <v>O</v>
      </c>
      <c r="H1925" s="15">
        <f t="shared" si="74"/>
        <v>4.7051442910915933</v>
      </c>
      <c r="L1925" s="35"/>
    </row>
    <row r="1926" spans="1:12" x14ac:dyDescent="0.3">
      <c r="A1926" s="19">
        <f>COUNTIFS($B$2:B1926,B1926)</f>
        <v>13</v>
      </c>
      <c r="B1926" s="39" t="s">
        <v>444</v>
      </c>
      <c r="C1926" s="40">
        <v>20060368076763</v>
      </c>
      <c r="D1926" s="39" t="s">
        <v>488</v>
      </c>
      <c r="E1926" s="41">
        <v>7.8419071518193224</v>
      </c>
      <c r="F1926" s="9"/>
      <c r="G1926" s="14" t="str">
        <f t="shared" si="73"/>
        <v>O</v>
      </c>
      <c r="H1926" s="15">
        <f t="shared" si="74"/>
        <v>3.9209535759096612</v>
      </c>
      <c r="L1926" s="35"/>
    </row>
    <row r="1927" spans="1:12" x14ac:dyDescent="0.3">
      <c r="A1927" s="19">
        <f>COUNTIFS($B$2:B1927,B1927)</f>
        <v>1</v>
      </c>
      <c r="B1927" s="39" t="s">
        <v>447</v>
      </c>
      <c r="C1927" s="40">
        <v>20060368076764</v>
      </c>
      <c r="D1927" s="39" t="s">
        <v>149</v>
      </c>
      <c r="E1927" s="41">
        <v>141.75755235981083</v>
      </c>
      <c r="F1927" s="9"/>
      <c r="G1927" s="14" t="str">
        <f t="shared" si="73"/>
        <v>O</v>
      </c>
      <c r="H1927" s="15">
        <f t="shared" si="74"/>
        <v>70.878776179905415</v>
      </c>
      <c r="L1927" s="35"/>
    </row>
    <row r="1928" spans="1:12" x14ac:dyDescent="0.3">
      <c r="A1928" s="19">
        <f>COUNTIFS($B$2:B1928,B1928)</f>
        <v>2</v>
      </c>
      <c r="B1928" s="39" t="s">
        <v>447</v>
      </c>
      <c r="C1928" s="40">
        <v>20060368076764</v>
      </c>
      <c r="D1928" s="39" t="s">
        <v>418</v>
      </c>
      <c r="E1928" s="41">
        <v>2.5516359424765946</v>
      </c>
      <c r="F1928" s="9"/>
      <c r="G1928" s="14" t="str">
        <f t="shared" si="73"/>
        <v>O</v>
      </c>
      <c r="H1928" s="15">
        <f t="shared" si="74"/>
        <v>1.2758179712382973</v>
      </c>
      <c r="L1928" s="35"/>
    </row>
    <row r="1929" spans="1:12" ht="15.75" customHeight="1" x14ac:dyDescent="0.3">
      <c r="A1929" s="19">
        <f>COUNTIFS($B$2:B1929,B1929)</f>
        <v>3</v>
      </c>
      <c r="B1929" s="39" t="s">
        <v>447</v>
      </c>
      <c r="C1929" s="40">
        <v>20060368076764</v>
      </c>
      <c r="D1929" s="39" t="s">
        <v>489</v>
      </c>
      <c r="E1929" s="41">
        <v>4.2527265707943247</v>
      </c>
      <c r="F1929" s="9"/>
      <c r="G1929" s="14" t="str">
        <f t="shared" si="73"/>
        <v>O</v>
      </c>
      <c r="H1929" s="15">
        <f t="shared" si="74"/>
        <v>2.1263632853971624</v>
      </c>
      <c r="L1929" s="35"/>
    </row>
    <row r="1930" spans="1:12" x14ac:dyDescent="0.3">
      <c r="A1930" s="19">
        <f>COUNTIFS($B$2:B1930,B1930)</f>
        <v>4</v>
      </c>
      <c r="B1930" s="39" t="s">
        <v>447</v>
      </c>
      <c r="C1930" s="40">
        <v>20060368076764</v>
      </c>
      <c r="D1930" s="39" t="s">
        <v>66</v>
      </c>
      <c r="E1930" s="41">
        <v>14.175755235981082</v>
      </c>
      <c r="F1930" s="9"/>
      <c r="G1930" s="14" t="str">
        <f t="shared" si="73"/>
        <v>O</v>
      </c>
      <c r="H1930" s="15">
        <f t="shared" si="74"/>
        <v>7.0878776179905412</v>
      </c>
      <c r="L1930" s="35"/>
    </row>
    <row r="1931" spans="1:12" x14ac:dyDescent="0.3">
      <c r="A1931" s="19">
        <f>COUNTIFS($B$2:B1931,B1931)</f>
        <v>5</v>
      </c>
      <c r="B1931" s="39" t="s">
        <v>447</v>
      </c>
      <c r="C1931" s="40">
        <v>20060368076764</v>
      </c>
      <c r="D1931" s="39" t="s">
        <v>272</v>
      </c>
      <c r="E1931" s="41">
        <v>42.527265707943243</v>
      </c>
      <c r="F1931" s="9"/>
      <c r="G1931" s="14" t="str">
        <f t="shared" ref="G1931:G1994" si="75">IF(D1931="","",IF(COUNTIF(I:I,D1931)&gt;0,"O","X"))</f>
        <v>O</v>
      </c>
      <c r="H1931" s="15">
        <f t="shared" si="74"/>
        <v>21.263632853971622</v>
      </c>
      <c r="L1931" s="35"/>
    </row>
    <row r="1932" spans="1:12" x14ac:dyDescent="0.3">
      <c r="A1932" s="19">
        <f>COUNTIFS($B$2:B1932,B1932)</f>
        <v>6</v>
      </c>
      <c r="B1932" s="39" t="s">
        <v>447</v>
      </c>
      <c r="C1932" s="40">
        <v>20060368076764</v>
      </c>
      <c r="D1932" s="39" t="s">
        <v>505</v>
      </c>
      <c r="E1932" s="41">
        <v>42.527265707943243</v>
      </c>
      <c r="F1932" s="9"/>
      <c r="G1932" s="14" t="str">
        <f t="shared" si="75"/>
        <v>O</v>
      </c>
      <c r="H1932" s="15">
        <f t="shared" si="74"/>
        <v>21.263632853971622</v>
      </c>
      <c r="L1932" s="35"/>
    </row>
    <row r="1933" spans="1:12" x14ac:dyDescent="0.3">
      <c r="A1933" s="19">
        <f>COUNTIFS($B$2:B1933,B1933)</f>
        <v>7</v>
      </c>
      <c r="B1933" s="39" t="s">
        <v>447</v>
      </c>
      <c r="C1933" s="40">
        <v>20060368076764</v>
      </c>
      <c r="D1933" s="39" t="s">
        <v>495</v>
      </c>
      <c r="E1933" s="41">
        <v>35.439388089952708</v>
      </c>
      <c r="F1933" s="9"/>
      <c r="G1933" s="14" t="str">
        <f t="shared" si="75"/>
        <v>O</v>
      </c>
      <c r="H1933" s="15">
        <f t="shared" si="74"/>
        <v>17.719694044976354</v>
      </c>
      <c r="L1933" s="35"/>
    </row>
    <row r="1934" spans="1:12" x14ac:dyDescent="0.3">
      <c r="A1934" s="19">
        <f>COUNTIFS($B$2:B1934,B1934)</f>
        <v>8</v>
      </c>
      <c r="B1934" s="39" t="s">
        <v>447</v>
      </c>
      <c r="C1934" s="40">
        <v>20060368076764</v>
      </c>
      <c r="D1934" s="39" t="s">
        <v>528</v>
      </c>
      <c r="E1934" s="41">
        <v>42.527265707943243</v>
      </c>
      <c r="F1934" s="9"/>
      <c r="G1934" s="14" t="str">
        <f t="shared" si="75"/>
        <v>O</v>
      </c>
      <c r="H1934" s="15">
        <f t="shared" si="74"/>
        <v>21.263632853971622</v>
      </c>
      <c r="L1934" s="35"/>
    </row>
    <row r="1935" spans="1:12" x14ac:dyDescent="0.3">
      <c r="A1935" s="19">
        <f>COUNTIFS($B$2:B1935,B1935)</f>
        <v>9</v>
      </c>
      <c r="B1935" s="39" t="s">
        <v>447</v>
      </c>
      <c r="C1935" s="40">
        <v>20060368076764</v>
      </c>
      <c r="D1935" s="39" t="s">
        <v>424</v>
      </c>
      <c r="E1935" s="41">
        <v>2.835151047196216</v>
      </c>
      <c r="F1935" s="9"/>
      <c r="G1935" s="14" t="str">
        <f t="shared" si="75"/>
        <v>O</v>
      </c>
      <c r="H1935" s="15">
        <f t="shared" si="74"/>
        <v>1.417575523598108</v>
      </c>
      <c r="L1935" s="35"/>
    </row>
    <row r="1936" spans="1:12" x14ac:dyDescent="0.3">
      <c r="A1936" s="19">
        <f>COUNTIFS($B$2:B1936,B1936)</f>
        <v>10</v>
      </c>
      <c r="B1936" s="39" t="s">
        <v>447</v>
      </c>
      <c r="C1936" s="40">
        <v>20060368076764</v>
      </c>
      <c r="D1936" s="39" t="s">
        <v>624</v>
      </c>
      <c r="E1936" s="41">
        <v>49.615143325933786</v>
      </c>
      <c r="F1936" s="9"/>
      <c r="G1936" s="14" t="str">
        <f t="shared" si="75"/>
        <v>O</v>
      </c>
      <c r="H1936" s="15">
        <f t="shared" si="74"/>
        <v>24.807571662966893</v>
      </c>
      <c r="L1936" s="35"/>
    </row>
    <row r="1937" spans="1:12" x14ac:dyDescent="0.3">
      <c r="A1937" s="19">
        <f>COUNTIFS($B$2:B1937,B1937)</f>
        <v>11</v>
      </c>
      <c r="B1937" s="39" t="s">
        <v>447</v>
      </c>
      <c r="C1937" s="40">
        <v>20060368076764</v>
      </c>
      <c r="D1937" s="39" t="s">
        <v>625</v>
      </c>
      <c r="E1937" s="41">
        <v>42.527265707943243</v>
      </c>
      <c r="F1937" s="9"/>
      <c r="G1937" s="14" t="str">
        <f t="shared" si="75"/>
        <v>O</v>
      </c>
      <c r="H1937" s="15">
        <f t="shared" si="74"/>
        <v>21.263632853971622</v>
      </c>
      <c r="L1937" s="35"/>
    </row>
    <row r="1938" spans="1:12" x14ac:dyDescent="0.3">
      <c r="A1938" s="19">
        <f>COUNTIFS($B$2:B1938,B1938)</f>
        <v>12</v>
      </c>
      <c r="B1938" s="39" t="s">
        <v>447</v>
      </c>
      <c r="C1938" s="40">
        <v>20060368076764</v>
      </c>
      <c r="D1938" s="39" t="s">
        <v>518</v>
      </c>
      <c r="E1938" s="41">
        <v>17.010906283177299</v>
      </c>
      <c r="F1938" s="9"/>
      <c r="G1938" s="14" t="str">
        <f t="shared" si="75"/>
        <v>O</v>
      </c>
      <c r="H1938" s="15">
        <f t="shared" si="74"/>
        <v>8.5054531415886494</v>
      </c>
      <c r="L1938" s="35"/>
    </row>
    <row r="1939" spans="1:12" x14ac:dyDescent="0.3">
      <c r="A1939" s="19">
        <f>COUNTIFS($B$2:B1939,B1939)</f>
        <v>13</v>
      </c>
      <c r="B1939" s="39" t="s">
        <v>447</v>
      </c>
      <c r="C1939" s="40">
        <v>20060368076764</v>
      </c>
      <c r="D1939" s="39" t="s">
        <v>196</v>
      </c>
      <c r="E1939" s="41">
        <v>14.175755235981082</v>
      </c>
      <c r="F1939" s="9"/>
      <c r="G1939" s="14" t="str">
        <f t="shared" si="75"/>
        <v>O</v>
      </c>
      <c r="H1939" s="15">
        <f t="shared" si="74"/>
        <v>7.0878776179905412</v>
      </c>
      <c r="L1939" s="35"/>
    </row>
    <row r="1940" spans="1:12" x14ac:dyDescent="0.3">
      <c r="A1940" s="19">
        <f>COUNTIFS($B$2:B1940,B1940)</f>
        <v>1</v>
      </c>
      <c r="B1940" s="26" t="s">
        <v>448</v>
      </c>
      <c r="C1940" s="27">
        <v>20060368076765</v>
      </c>
      <c r="D1940" s="26" t="s">
        <v>149</v>
      </c>
      <c r="E1940" s="28">
        <v>95.310539618272983</v>
      </c>
      <c r="F1940" s="9"/>
      <c r="G1940" s="14" t="str">
        <f t="shared" si="75"/>
        <v>O</v>
      </c>
      <c r="H1940" s="15">
        <f t="shared" si="74"/>
        <v>47.655269809136492</v>
      </c>
      <c r="L1940" s="35"/>
    </row>
    <row r="1941" spans="1:12" x14ac:dyDescent="0.3">
      <c r="A1941" s="19">
        <f>COUNTIFS($B$2:B1941,B1941)</f>
        <v>2</v>
      </c>
      <c r="B1941" s="26" t="s">
        <v>448</v>
      </c>
      <c r="C1941" s="27">
        <v>20060368076765</v>
      </c>
      <c r="D1941" s="26" t="s">
        <v>418</v>
      </c>
      <c r="E1941" s="28">
        <v>1.7122561171486244</v>
      </c>
      <c r="F1941" s="9"/>
      <c r="G1941" s="14" t="str">
        <f t="shared" si="75"/>
        <v>O</v>
      </c>
      <c r="H1941" s="15">
        <f t="shared" si="74"/>
        <v>0.85612805857431218</v>
      </c>
      <c r="I1941" s="15" t="s">
        <v>164</v>
      </c>
      <c r="L1941" s="35"/>
    </row>
    <row r="1942" spans="1:12" x14ac:dyDescent="0.3">
      <c r="A1942" s="19">
        <f>COUNTIFS($B$2:B1942,B1942)</f>
        <v>3</v>
      </c>
      <c r="B1942" s="26" t="s">
        <v>448</v>
      </c>
      <c r="C1942" s="27">
        <v>20060368076765</v>
      </c>
      <c r="D1942" s="26" t="s">
        <v>489</v>
      </c>
      <c r="E1942" s="28">
        <v>2.8593161885481893</v>
      </c>
      <c r="F1942" s="9"/>
      <c r="G1942" s="14" t="str">
        <f t="shared" si="75"/>
        <v>O</v>
      </c>
      <c r="H1942" s="15">
        <f t="shared" si="74"/>
        <v>1.4296580942740946</v>
      </c>
      <c r="I1942" s="15" t="s">
        <v>166</v>
      </c>
      <c r="L1942" s="35"/>
    </row>
    <row r="1943" spans="1:12" x14ac:dyDescent="0.3">
      <c r="A1943" s="19">
        <f>COUNTIFS($B$2:B1943,B1943)</f>
        <v>4</v>
      </c>
      <c r="B1943" s="26" t="s">
        <v>448</v>
      </c>
      <c r="C1943" s="27">
        <v>20060368076765</v>
      </c>
      <c r="D1943" s="26" t="s">
        <v>496</v>
      </c>
      <c r="E1943" s="28">
        <v>2.3820058550067587</v>
      </c>
      <c r="F1943" s="9"/>
      <c r="G1943" s="14" t="str">
        <f t="shared" si="75"/>
        <v>O</v>
      </c>
      <c r="H1943" s="15">
        <f t="shared" si="74"/>
        <v>1.1910029275033793</v>
      </c>
      <c r="I1943" s="15" t="s">
        <v>168</v>
      </c>
      <c r="L1943" s="35"/>
    </row>
    <row r="1944" spans="1:12" x14ac:dyDescent="0.3">
      <c r="A1944" s="19">
        <f>COUNTIFS($B$2:B1944,B1944)</f>
        <v>5</v>
      </c>
      <c r="B1944" s="26" t="s">
        <v>448</v>
      </c>
      <c r="C1944" s="27">
        <v>20060368076765</v>
      </c>
      <c r="D1944" s="26" t="s">
        <v>495</v>
      </c>
      <c r="E1944" s="28">
        <v>28.593161885481898</v>
      </c>
      <c r="F1944" s="9"/>
      <c r="G1944" s="14" t="str">
        <f t="shared" si="75"/>
        <v>O</v>
      </c>
      <c r="H1944" s="15">
        <f t="shared" si="74"/>
        <v>14.296580942740949</v>
      </c>
      <c r="I1944" s="15" t="s">
        <v>170</v>
      </c>
      <c r="L1944" s="35"/>
    </row>
    <row r="1945" spans="1:12" x14ac:dyDescent="0.3">
      <c r="A1945" s="19">
        <f>COUNTIFS($B$2:B1945,B1945)</f>
        <v>6</v>
      </c>
      <c r="B1945" s="26" t="s">
        <v>448</v>
      </c>
      <c r="C1945" s="27">
        <v>20060368076765</v>
      </c>
      <c r="D1945" s="26" t="s">
        <v>528</v>
      </c>
      <c r="E1945" s="28">
        <v>34.313309533478403</v>
      </c>
      <c r="F1945" s="9"/>
      <c r="G1945" s="14" t="str">
        <f t="shared" si="75"/>
        <v>O</v>
      </c>
      <c r="H1945" s="15">
        <f t="shared" si="74"/>
        <v>17.156654766739202</v>
      </c>
      <c r="I1945" s="15" t="s">
        <v>172</v>
      </c>
      <c r="L1945" s="35"/>
    </row>
    <row r="1946" spans="1:12" x14ac:dyDescent="0.3">
      <c r="A1946" s="19">
        <f>COUNTIFS($B$2:B1946,B1946)</f>
        <v>7</v>
      </c>
      <c r="B1946" s="26" t="s">
        <v>448</v>
      </c>
      <c r="C1946" s="27">
        <v>20060368076765</v>
      </c>
      <c r="D1946" s="26" t="s">
        <v>424</v>
      </c>
      <c r="E1946" s="28">
        <v>1.9062107923654594</v>
      </c>
      <c r="F1946" s="9"/>
      <c r="G1946" s="14" t="str">
        <f t="shared" si="75"/>
        <v>O</v>
      </c>
      <c r="H1946" s="15">
        <f t="shared" si="74"/>
        <v>0.95310539618272971</v>
      </c>
      <c r="I1946" s="15" t="s">
        <v>96</v>
      </c>
      <c r="L1946" s="35"/>
    </row>
    <row r="1947" spans="1:12" x14ac:dyDescent="0.3">
      <c r="A1947" s="19">
        <f>COUNTIFS($B$2:B1947,B1947)</f>
        <v>8</v>
      </c>
      <c r="B1947" s="26" t="s">
        <v>448</v>
      </c>
      <c r="C1947" s="27">
        <v>20060368076765</v>
      </c>
      <c r="D1947" s="26" t="s">
        <v>624</v>
      </c>
      <c r="E1947" s="28">
        <v>33.360204137295675</v>
      </c>
      <c r="F1947" s="9"/>
      <c r="G1947" s="14" t="str">
        <f t="shared" si="75"/>
        <v>O</v>
      </c>
      <c r="H1947" s="15">
        <f t="shared" si="74"/>
        <v>16.680102068647837</v>
      </c>
      <c r="I1947" s="15" t="s">
        <v>38</v>
      </c>
      <c r="L1947" s="35"/>
    </row>
    <row r="1948" spans="1:12" x14ac:dyDescent="0.3">
      <c r="A1948" s="19">
        <f>COUNTIFS($B$2:B1948,B1948)</f>
        <v>9</v>
      </c>
      <c r="B1948" s="26" t="s">
        <v>448</v>
      </c>
      <c r="C1948" s="27">
        <v>20060368076765</v>
      </c>
      <c r="D1948" s="26" t="s">
        <v>625</v>
      </c>
      <c r="E1948" s="28">
        <v>28.594677156382023</v>
      </c>
      <c r="F1948" s="9"/>
      <c r="G1948" s="14" t="str">
        <f t="shared" si="75"/>
        <v>O</v>
      </c>
      <c r="H1948" s="15">
        <f t="shared" si="74"/>
        <v>14.297338578191011</v>
      </c>
      <c r="I1948" s="15" t="s">
        <v>516</v>
      </c>
      <c r="L1948" s="35"/>
    </row>
    <row r="1949" spans="1:12" x14ac:dyDescent="0.3">
      <c r="A1949" s="19">
        <f>COUNTIFS($B$2:B1949,B1949)</f>
        <v>10</v>
      </c>
      <c r="B1949" s="26" t="s">
        <v>448</v>
      </c>
      <c r="C1949" s="27">
        <v>20060368076765</v>
      </c>
      <c r="D1949" s="26" t="s">
        <v>518</v>
      </c>
      <c r="E1949" s="28">
        <v>11.437264754192757</v>
      </c>
      <c r="F1949" s="9"/>
      <c r="G1949" s="14" t="str">
        <f t="shared" si="75"/>
        <v>O</v>
      </c>
      <c r="H1949" s="15">
        <f t="shared" si="74"/>
        <v>5.7186323770963785</v>
      </c>
      <c r="I1949" s="15" t="s">
        <v>126</v>
      </c>
      <c r="L1949" s="35"/>
    </row>
    <row r="1950" spans="1:12" x14ac:dyDescent="0.3">
      <c r="A1950" s="19">
        <f>COUNTIFS($B$2:B1950,B1950)</f>
        <v>11</v>
      </c>
      <c r="B1950" s="26" t="s">
        <v>448</v>
      </c>
      <c r="C1950" s="27">
        <v>20060368076765</v>
      </c>
      <c r="D1950" s="26" t="s">
        <v>488</v>
      </c>
      <c r="E1950" s="28">
        <v>9.5310539618272987</v>
      </c>
      <c r="F1950" s="9"/>
      <c r="G1950" s="14" t="str">
        <f t="shared" si="75"/>
        <v>O</v>
      </c>
      <c r="H1950" s="15">
        <f t="shared" si="74"/>
        <v>4.7655269809136493</v>
      </c>
      <c r="I1950" s="15" t="s">
        <v>141</v>
      </c>
      <c r="L1950" s="35"/>
    </row>
    <row r="1951" spans="1:12" x14ac:dyDescent="0.3">
      <c r="A1951" s="19"/>
      <c r="B1951" s="20"/>
      <c r="C1951" s="25"/>
      <c r="D1951" s="20"/>
      <c r="E1951" s="22"/>
      <c r="F1951" s="9"/>
      <c r="G1951" s="14" t="str">
        <f t="shared" si="75"/>
        <v/>
      </c>
      <c r="H1951" s="15">
        <f t="shared" si="74"/>
        <v>0</v>
      </c>
      <c r="I1951" s="15" t="s">
        <v>178</v>
      </c>
      <c r="L1951" s="35"/>
    </row>
    <row r="1952" spans="1:12" x14ac:dyDescent="0.3">
      <c r="A1952" s="19"/>
      <c r="B1952" s="20"/>
      <c r="C1952" s="25"/>
      <c r="D1952" s="20"/>
      <c r="E1952" s="22"/>
      <c r="F1952" s="9"/>
      <c r="G1952" s="14" t="str">
        <f t="shared" si="75"/>
        <v/>
      </c>
      <c r="H1952" s="15">
        <f t="shared" si="74"/>
        <v>0</v>
      </c>
      <c r="I1952" s="15" t="s">
        <v>66</v>
      </c>
      <c r="L1952" s="35"/>
    </row>
    <row r="1953" spans="1:12" x14ac:dyDescent="0.3">
      <c r="A1953" s="19"/>
      <c r="B1953" s="20"/>
      <c r="C1953" s="25"/>
      <c r="D1953" s="20"/>
      <c r="E1953" s="22"/>
      <c r="F1953" s="9"/>
      <c r="G1953" s="14" t="str">
        <f t="shared" si="75"/>
        <v/>
      </c>
      <c r="H1953" s="15">
        <f t="shared" si="74"/>
        <v>0</v>
      </c>
      <c r="I1953" s="15" t="s">
        <v>172</v>
      </c>
      <c r="L1953" s="35"/>
    </row>
    <row r="1954" spans="1:12" x14ac:dyDescent="0.3">
      <c r="A1954" s="19"/>
      <c r="B1954" s="20"/>
      <c r="C1954" s="25"/>
      <c r="D1954" s="20"/>
      <c r="E1954" s="22"/>
      <c r="F1954" s="9"/>
      <c r="G1954" s="14" t="str">
        <f t="shared" si="75"/>
        <v/>
      </c>
      <c r="H1954" s="15">
        <f t="shared" si="74"/>
        <v>0</v>
      </c>
      <c r="I1954" s="15" t="s">
        <v>185</v>
      </c>
      <c r="L1954" s="35"/>
    </row>
    <row r="1955" spans="1:12" x14ac:dyDescent="0.3">
      <c r="A1955" s="19"/>
      <c r="B1955" s="20"/>
      <c r="C1955" s="25"/>
      <c r="D1955" s="20"/>
      <c r="E1955" s="22"/>
      <c r="F1955" s="9"/>
      <c r="G1955" s="14" t="str">
        <f t="shared" si="75"/>
        <v/>
      </c>
      <c r="H1955" s="15">
        <f t="shared" si="74"/>
        <v>0</v>
      </c>
      <c r="L1955" s="35"/>
    </row>
    <row r="1956" spans="1:12" x14ac:dyDescent="0.3">
      <c r="A1956" s="19"/>
      <c r="B1956" s="20"/>
      <c r="C1956" s="25"/>
      <c r="D1956" s="20"/>
      <c r="E1956" s="22"/>
      <c r="F1956" s="9"/>
      <c r="G1956" s="14" t="str">
        <f t="shared" si="75"/>
        <v/>
      </c>
      <c r="H1956" s="15">
        <f t="shared" si="74"/>
        <v>0</v>
      </c>
      <c r="L1956" s="35"/>
    </row>
    <row r="1957" spans="1:12" x14ac:dyDescent="0.3">
      <c r="A1957" s="19"/>
      <c r="B1957" s="20"/>
      <c r="C1957" s="25"/>
      <c r="D1957" s="20"/>
      <c r="E1957" s="22"/>
      <c r="F1957" s="9"/>
      <c r="G1957" s="14" t="str">
        <f t="shared" si="75"/>
        <v/>
      </c>
      <c r="H1957" s="15">
        <f t="shared" si="74"/>
        <v>0</v>
      </c>
      <c r="L1957" s="35"/>
    </row>
    <row r="1958" spans="1:12" x14ac:dyDescent="0.3">
      <c r="A1958" s="19"/>
      <c r="B1958" s="20"/>
      <c r="C1958" s="25"/>
      <c r="D1958" s="20"/>
      <c r="E1958" s="22"/>
      <c r="F1958" s="9"/>
      <c r="G1958" s="14" t="str">
        <f t="shared" si="75"/>
        <v/>
      </c>
      <c r="H1958" s="15">
        <f t="shared" si="74"/>
        <v>0</v>
      </c>
      <c r="L1958" s="35"/>
    </row>
    <row r="1959" spans="1:12" x14ac:dyDescent="0.3">
      <c r="A1959" s="19"/>
      <c r="B1959" s="20"/>
      <c r="C1959" s="25"/>
      <c r="D1959" s="20"/>
      <c r="E1959" s="22"/>
      <c r="F1959" s="9"/>
      <c r="G1959" s="14" t="str">
        <f t="shared" si="75"/>
        <v/>
      </c>
      <c r="H1959" s="15">
        <f t="shared" si="74"/>
        <v>0</v>
      </c>
      <c r="L1959" s="35"/>
    </row>
    <row r="1960" spans="1:12" x14ac:dyDescent="0.3">
      <c r="A1960" s="19"/>
      <c r="B1960" s="20"/>
      <c r="C1960" s="25"/>
      <c r="D1960" s="20"/>
      <c r="E1960" s="22"/>
      <c r="F1960" s="9"/>
      <c r="G1960" s="14" t="str">
        <f t="shared" si="75"/>
        <v/>
      </c>
      <c r="H1960" s="15">
        <f t="shared" si="74"/>
        <v>0</v>
      </c>
      <c r="L1960" s="35"/>
    </row>
    <row r="1961" spans="1:12" x14ac:dyDescent="0.3">
      <c r="A1961" s="19"/>
      <c r="B1961" s="20"/>
      <c r="C1961" s="25"/>
      <c r="D1961" s="20"/>
      <c r="E1961" s="22"/>
      <c r="F1961" s="9"/>
      <c r="G1961" s="14" t="str">
        <f t="shared" si="75"/>
        <v/>
      </c>
      <c r="H1961" s="15">
        <f t="shared" si="74"/>
        <v>0</v>
      </c>
      <c r="L1961" s="35"/>
    </row>
    <row r="1962" spans="1:12" x14ac:dyDescent="0.3">
      <c r="A1962" s="19"/>
      <c r="B1962" s="20"/>
      <c r="C1962" s="25"/>
      <c r="D1962" s="20"/>
      <c r="E1962" s="22"/>
      <c r="F1962" s="9"/>
      <c r="G1962" s="14" t="str">
        <f t="shared" si="75"/>
        <v/>
      </c>
      <c r="H1962" s="15">
        <f t="shared" si="74"/>
        <v>0</v>
      </c>
      <c r="L1962" s="35"/>
    </row>
    <row r="1963" spans="1:12" x14ac:dyDescent="0.3">
      <c r="A1963" s="19"/>
      <c r="B1963" s="20"/>
      <c r="C1963" s="25"/>
      <c r="D1963" s="20"/>
      <c r="E1963" s="22"/>
      <c r="F1963" s="9"/>
      <c r="G1963" s="14" t="str">
        <f t="shared" si="75"/>
        <v/>
      </c>
      <c r="H1963" s="15">
        <f t="shared" si="74"/>
        <v>0</v>
      </c>
      <c r="L1963" s="35"/>
    </row>
    <row r="1964" spans="1:12" x14ac:dyDescent="0.3">
      <c r="A1964" s="19">
        <f>COUNTIFS($B$2:B1964,B1964)</f>
        <v>1</v>
      </c>
      <c r="B1964" s="39" t="s">
        <v>450</v>
      </c>
      <c r="C1964" s="40">
        <v>20060368076767</v>
      </c>
      <c r="D1964" s="20" t="s">
        <v>149</v>
      </c>
      <c r="E1964" s="22">
        <v>154.65048259725066</v>
      </c>
      <c r="F1964" s="9"/>
      <c r="G1964" s="14" t="str">
        <f t="shared" si="75"/>
        <v>O</v>
      </c>
      <c r="H1964" s="15">
        <f t="shared" si="74"/>
        <v>77.325241298625329</v>
      </c>
      <c r="L1964" s="35"/>
    </row>
    <row r="1965" spans="1:12" x14ac:dyDescent="0.3">
      <c r="A1965" s="19">
        <f>COUNTIFS($B$2:B1965,B1965)</f>
        <v>2</v>
      </c>
      <c r="B1965" s="39" t="s">
        <v>450</v>
      </c>
      <c r="C1965" s="40">
        <v>20060368076767</v>
      </c>
      <c r="D1965" s="20" t="s">
        <v>418</v>
      </c>
      <c r="E1965" s="22">
        <v>3.4366773910500141</v>
      </c>
      <c r="F1965" s="9"/>
      <c r="G1965" s="14" t="str">
        <f t="shared" si="75"/>
        <v>O</v>
      </c>
      <c r="H1965" s="15">
        <f t="shared" si="74"/>
        <v>1.7183386955250071</v>
      </c>
      <c r="L1965" s="35"/>
    </row>
    <row r="1966" spans="1:12" x14ac:dyDescent="0.3">
      <c r="A1966" s="19">
        <f>COUNTIFS($B$2:B1966,B1966)</f>
        <v>3</v>
      </c>
      <c r="B1966" s="39" t="s">
        <v>450</v>
      </c>
      <c r="C1966" s="40">
        <v>20060368076767</v>
      </c>
      <c r="D1966" s="20" t="s">
        <v>489</v>
      </c>
      <c r="E1966" s="22">
        <v>5.1550160865750225</v>
      </c>
      <c r="F1966" s="9"/>
      <c r="G1966" s="14" t="str">
        <f t="shared" si="75"/>
        <v>O</v>
      </c>
      <c r="H1966" s="15">
        <f t="shared" si="74"/>
        <v>2.5775080432875113</v>
      </c>
      <c r="L1966" s="35"/>
    </row>
    <row r="1967" spans="1:12" x14ac:dyDescent="0.3">
      <c r="A1967" s="19">
        <f>COUNTIFS($B$2:B1967,B1967)</f>
        <v>4</v>
      </c>
      <c r="B1967" s="39" t="s">
        <v>450</v>
      </c>
      <c r="C1967" s="40">
        <v>20060368076767</v>
      </c>
      <c r="D1967" s="20" t="s">
        <v>62</v>
      </c>
      <c r="E1967" s="22">
        <v>17.183386955250072</v>
      </c>
      <c r="F1967" s="9"/>
      <c r="G1967" s="14" t="str">
        <f t="shared" si="75"/>
        <v>O</v>
      </c>
      <c r="H1967" s="15">
        <f t="shared" si="74"/>
        <v>8.5916934776250358</v>
      </c>
      <c r="L1967" s="35"/>
    </row>
    <row r="1968" spans="1:12" x14ac:dyDescent="0.3">
      <c r="A1968" s="19">
        <f>COUNTIFS($B$2:B1968,B1968)</f>
        <v>5</v>
      </c>
      <c r="B1968" s="39" t="s">
        <v>450</v>
      </c>
      <c r="C1968" s="40">
        <v>20060368076767</v>
      </c>
      <c r="D1968" s="20" t="s">
        <v>50</v>
      </c>
      <c r="E1968" s="22">
        <v>17.183386955250072</v>
      </c>
      <c r="F1968" s="9"/>
      <c r="G1968" s="14" t="str">
        <f t="shared" si="75"/>
        <v>O</v>
      </c>
      <c r="H1968" s="15">
        <f t="shared" si="74"/>
        <v>8.5916934776250358</v>
      </c>
      <c r="L1968" s="35"/>
    </row>
    <row r="1969" spans="1:12" x14ac:dyDescent="0.3">
      <c r="A1969" s="19">
        <f>COUNTIFS($B$2:B1969,B1969)</f>
        <v>6</v>
      </c>
      <c r="B1969" s="39" t="s">
        <v>450</v>
      </c>
      <c r="C1969" s="40">
        <v>20060368076767</v>
      </c>
      <c r="D1969" s="20" t="s">
        <v>537</v>
      </c>
      <c r="E1969" s="22">
        <v>12.028370868675053</v>
      </c>
      <c r="F1969" s="9"/>
      <c r="G1969" s="14" t="str">
        <f t="shared" si="75"/>
        <v>O</v>
      </c>
      <c r="H1969" s="15">
        <f t="shared" si="74"/>
        <v>6.0141854343375263</v>
      </c>
      <c r="L1969" s="35"/>
    </row>
    <row r="1970" spans="1:12" x14ac:dyDescent="0.3">
      <c r="A1970" s="19">
        <f>COUNTIFS($B$2:B1970,B1970)</f>
        <v>7</v>
      </c>
      <c r="B1970" s="39" t="s">
        <v>450</v>
      </c>
      <c r="C1970" s="40">
        <v>20060368076767</v>
      </c>
      <c r="D1970" s="20" t="s">
        <v>495</v>
      </c>
      <c r="E1970" s="22">
        <v>60.141854343375257</v>
      </c>
      <c r="F1970" s="9"/>
      <c r="G1970" s="14" t="str">
        <f t="shared" si="75"/>
        <v>O</v>
      </c>
      <c r="H1970" s="15">
        <f t="shared" si="74"/>
        <v>30.070927171687629</v>
      </c>
      <c r="L1970" s="35"/>
    </row>
    <row r="1971" spans="1:12" x14ac:dyDescent="0.3">
      <c r="A1971" s="19">
        <f>COUNTIFS($B$2:B1971,B1971)</f>
        <v>8</v>
      </c>
      <c r="B1971" s="39" t="s">
        <v>450</v>
      </c>
      <c r="C1971" s="40">
        <v>20060368076767</v>
      </c>
      <c r="D1971" s="20" t="s">
        <v>528</v>
      </c>
      <c r="E1971" s="22">
        <v>46.395144779175197</v>
      </c>
      <c r="F1971" s="9"/>
      <c r="G1971" s="14" t="str">
        <f t="shared" si="75"/>
        <v>O</v>
      </c>
      <c r="H1971" s="15">
        <f t="shared" si="74"/>
        <v>23.197572389587599</v>
      </c>
      <c r="L1971" s="35"/>
    </row>
    <row r="1972" spans="1:12" x14ac:dyDescent="0.3">
      <c r="A1972" s="19">
        <f>COUNTIFS($B$2:B1972,B1972)</f>
        <v>9</v>
      </c>
      <c r="B1972" s="39" t="s">
        <v>450</v>
      </c>
      <c r="C1972" s="40">
        <v>20060368076767</v>
      </c>
      <c r="D1972" s="20" t="s">
        <v>424</v>
      </c>
      <c r="E1972" s="22">
        <v>3.4366773910500141</v>
      </c>
      <c r="F1972" s="9"/>
      <c r="G1972" s="14" t="str">
        <f t="shared" si="75"/>
        <v>O</v>
      </c>
      <c r="H1972" s="15">
        <f t="shared" si="74"/>
        <v>1.7183386955250071</v>
      </c>
      <c r="L1972" s="35"/>
    </row>
    <row r="1973" spans="1:12" x14ac:dyDescent="0.3">
      <c r="A1973" s="19">
        <f>COUNTIFS($B$2:B1973,B1973)</f>
        <v>10</v>
      </c>
      <c r="B1973" s="39" t="s">
        <v>450</v>
      </c>
      <c r="C1973" s="40">
        <v>20060368076767</v>
      </c>
      <c r="D1973" s="20" t="s">
        <v>624</v>
      </c>
      <c r="E1973" s="22">
        <v>51.550160865750215</v>
      </c>
      <c r="F1973" s="9"/>
      <c r="G1973" s="14" t="str">
        <f t="shared" si="75"/>
        <v>O</v>
      </c>
      <c r="H1973" s="15">
        <f t="shared" ref="H1973:H2036" si="76">E1973/2</f>
        <v>25.775080432875107</v>
      </c>
      <c r="L1973" s="35"/>
    </row>
    <row r="1974" spans="1:12" x14ac:dyDescent="0.3">
      <c r="A1974" s="19">
        <f>COUNTIFS($B$2:B1974,B1974)</f>
        <v>11</v>
      </c>
      <c r="B1974" s="39" t="s">
        <v>450</v>
      </c>
      <c r="C1974" s="40">
        <v>20060368076767</v>
      </c>
      <c r="D1974" s="20" t="s">
        <v>625</v>
      </c>
      <c r="E1974" s="22">
        <v>42.958467388125186</v>
      </c>
      <c r="F1974" s="9"/>
      <c r="G1974" s="14" t="str">
        <f t="shared" si="75"/>
        <v>O</v>
      </c>
      <c r="H1974" s="15">
        <f t="shared" si="76"/>
        <v>21.479233694062593</v>
      </c>
      <c r="L1974" s="35"/>
    </row>
    <row r="1975" spans="1:12" x14ac:dyDescent="0.3">
      <c r="A1975" s="19">
        <f>COUNTIFS($B$2:B1975,B1975)</f>
        <v>12</v>
      </c>
      <c r="B1975" s="39" t="s">
        <v>450</v>
      </c>
      <c r="C1975" s="40">
        <v>20060368076767</v>
      </c>
      <c r="D1975" s="20" t="s">
        <v>518</v>
      </c>
      <c r="E1975" s="22">
        <v>20.62006434630009</v>
      </c>
      <c r="F1975" s="9"/>
      <c r="G1975" s="14" t="str">
        <f t="shared" si="75"/>
        <v>O</v>
      </c>
      <c r="H1975" s="15">
        <f t="shared" si="76"/>
        <v>10.310032173150045</v>
      </c>
      <c r="L1975" s="35"/>
    </row>
    <row r="1976" spans="1:12" x14ac:dyDescent="0.3">
      <c r="A1976" s="19">
        <f>COUNTIFS($B$2:B1976,B1976)</f>
        <v>13</v>
      </c>
      <c r="B1976" s="39" t="s">
        <v>450</v>
      </c>
      <c r="C1976" s="40">
        <v>20060368076767</v>
      </c>
      <c r="D1976" s="20" t="s">
        <v>488</v>
      </c>
      <c r="E1976" s="22">
        <v>17.183386955250072</v>
      </c>
      <c r="F1976" s="9"/>
      <c r="G1976" s="14" t="str">
        <f t="shared" si="75"/>
        <v>O</v>
      </c>
      <c r="H1976" s="15">
        <f t="shared" si="76"/>
        <v>8.5916934776250358</v>
      </c>
      <c r="L1976" s="35"/>
    </row>
    <row r="1977" spans="1:12" x14ac:dyDescent="0.3">
      <c r="A1977" s="19">
        <f>COUNTIFS($B$2:B1977,B1977)</f>
        <v>1</v>
      </c>
      <c r="B1977" s="39" t="s">
        <v>451</v>
      </c>
      <c r="C1977" s="40">
        <v>20060368076768</v>
      </c>
      <c r="D1977" s="39" t="s">
        <v>149</v>
      </c>
      <c r="E1977" s="41">
        <v>82.290980908492429</v>
      </c>
      <c r="F1977" s="9"/>
      <c r="G1977" s="14" t="str">
        <f t="shared" si="75"/>
        <v>O</v>
      </c>
      <c r="H1977" s="15">
        <f t="shared" si="76"/>
        <v>41.145490454246215</v>
      </c>
      <c r="L1977" s="35"/>
    </row>
    <row r="1978" spans="1:12" x14ac:dyDescent="0.3">
      <c r="A1978" s="19">
        <f>COUNTIFS($B$2:B1978,B1978)</f>
        <v>2</v>
      </c>
      <c r="B1978" s="39" t="s">
        <v>451</v>
      </c>
      <c r="C1978" s="40">
        <v>20060368076768</v>
      </c>
      <c r="D1978" s="39" t="s">
        <v>418</v>
      </c>
      <c r="E1978" s="41">
        <v>1.4812376563528638</v>
      </c>
      <c r="F1978" s="9"/>
      <c r="G1978" s="14" t="str">
        <f t="shared" si="75"/>
        <v>O</v>
      </c>
      <c r="H1978" s="15">
        <f t="shared" si="76"/>
        <v>0.74061882817643188</v>
      </c>
      <c r="L1978" s="35"/>
    </row>
    <row r="1979" spans="1:12" x14ac:dyDescent="0.3">
      <c r="A1979" s="19">
        <f>COUNTIFS($B$2:B1979,B1979)</f>
        <v>3</v>
      </c>
      <c r="B1979" s="39" t="s">
        <v>451</v>
      </c>
      <c r="C1979" s="40">
        <v>20060368076768</v>
      </c>
      <c r="D1979" s="39" t="s">
        <v>489</v>
      </c>
      <c r="E1979" s="41">
        <v>2.4687294272547731</v>
      </c>
      <c r="F1979" s="9"/>
      <c r="G1979" s="14" t="str">
        <f t="shared" si="75"/>
        <v>O</v>
      </c>
      <c r="H1979" s="15">
        <f t="shared" si="76"/>
        <v>1.2343647136273865</v>
      </c>
      <c r="L1979" s="35"/>
    </row>
    <row r="1980" spans="1:12" x14ac:dyDescent="0.3">
      <c r="A1980" s="19">
        <f>COUNTIFS($B$2:B1980,B1980)</f>
        <v>4</v>
      </c>
      <c r="B1980" s="39" t="s">
        <v>451</v>
      </c>
      <c r="C1980" s="40">
        <v>20060368076768</v>
      </c>
      <c r="D1980" s="39" t="s">
        <v>505</v>
      </c>
      <c r="E1980" s="41">
        <v>12.343647136273866</v>
      </c>
      <c r="F1980" s="9"/>
      <c r="G1980" s="14" t="str">
        <f t="shared" si="75"/>
        <v>O</v>
      </c>
      <c r="H1980" s="15">
        <f t="shared" si="76"/>
        <v>6.1718235681369329</v>
      </c>
      <c r="L1980" s="35"/>
    </row>
    <row r="1981" spans="1:12" x14ac:dyDescent="0.3">
      <c r="A1981" s="19">
        <f>COUNTIFS($B$2:B1981,B1981)</f>
        <v>5</v>
      </c>
      <c r="B1981" s="39" t="s">
        <v>451</v>
      </c>
      <c r="C1981" s="40">
        <v>20060368076768</v>
      </c>
      <c r="D1981" s="39" t="s">
        <v>564</v>
      </c>
      <c r="E1981" s="41">
        <v>20.572745227123107</v>
      </c>
      <c r="F1981" s="9"/>
      <c r="G1981" s="14" t="str">
        <f t="shared" si="75"/>
        <v>O</v>
      </c>
      <c r="H1981" s="15">
        <f t="shared" si="76"/>
        <v>10.286372613561554</v>
      </c>
      <c r="L1981" s="35"/>
    </row>
    <row r="1982" spans="1:12" x14ac:dyDescent="0.3">
      <c r="A1982" s="19">
        <f>COUNTIFS($B$2:B1982,B1982)</f>
        <v>6</v>
      </c>
      <c r="B1982" s="39" t="s">
        <v>451</v>
      </c>
      <c r="C1982" s="40">
        <v>20060368076768</v>
      </c>
      <c r="D1982" s="39" t="s">
        <v>15</v>
      </c>
      <c r="E1982" s="41">
        <v>8.2290980908492433</v>
      </c>
      <c r="F1982" s="9"/>
      <c r="G1982" s="14" t="str">
        <f t="shared" si="75"/>
        <v>O</v>
      </c>
      <c r="H1982" s="15">
        <f t="shared" si="76"/>
        <v>4.1145490454246216</v>
      </c>
      <c r="L1982" s="35"/>
    </row>
    <row r="1983" spans="1:12" x14ac:dyDescent="0.3">
      <c r="A1983" s="19">
        <f>COUNTIFS($B$2:B1983,B1983)</f>
        <v>7</v>
      </c>
      <c r="B1983" s="39" t="s">
        <v>451</v>
      </c>
      <c r="C1983" s="40">
        <v>20060368076768</v>
      </c>
      <c r="D1983" s="39" t="s">
        <v>495</v>
      </c>
      <c r="E1983" s="41">
        <v>16.458196181698487</v>
      </c>
      <c r="F1983" s="9"/>
      <c r="G1983" s="14" t="str">
        <f t="shared" si="75"/>
        <v>O</v>
      </c>
      <c r="H1983" s="15">
        <f t="shared" si="76"/>
        <v>8.2290980908492433</v>
      </c>
      <c r="L1983" s="35"/>
    </row>
    <row r="1984" spans="1:12" x14ac:dyDescent="0.3">
      <c r="A1984" s="19">
        <f>COUNTIFS($B$2:B1984,B1984)</f>
        <v>8</v>
      </c>
      <c r="B1984" s="39" t="s">
        <v>451</v>
      </c>
      <c r="C1984" s="40">
        <v>20060368076768</v>
      </c>
      <c r="D1984" s="39" t="s">
        <v>528</v>
      </c>
      <c r="E1984" s="41">
        <v>28.801843317972349</v>
      </c>
      <c r="F1984" s="9"/>
      <c r="G1984" s="14" t="str">
        <f t="shared" si="75"/>
        <v>O</v>
      </c>
      <c r="H1984" s="15">
        <f t="shared" si="76"/>
        <v>14.400921658986174</v>
      </c>
      <c r="L1984" s="35"/>
    </row>
    <row r="1985" spans="1:12" x14ac:dyDescent="0.3">
      <c r="A1985" s="19">
        <f>COUNTIFS($B$2:B1985,B1985)</f>
        <v>9</v>
      </c>
      <c r="B1985" s="39" t="s">
        <v>451</v>
      </c>
      <c r="C1985" s="40">
        <v>20060368076768</v>
      </c>
      <c r="D1985" s="39" t="s">
        <v>424</v>
      </c>
      <c r="E1985" s="41">
        <v>1.6458196181698486</v>
      </c>
      <c r="F1985" s="9"/>
      <c r="G1985" s="14" t="str">
        <f t="shared" si="75"/>
        <v>O</v>
      </c>
      <c r="H1985" s="15">
        <f t="shared" si="76"/>
        <v>0.82290980908492428</v>
      </c>
      <c r="L1985" s="35"/>
    </row>
    <row r="1986" spans="1:12" x14ac:dyDescent="0.3">
      <c r="A1986" s="19">
        <f>COUNTIFS($B$2:B1986,B1986)</f>
        <v>10</v>
      </c>
      <c r="B1986" s="39" t="s">
        <v>451</v>
      </c>
      <c r="C1986" s="40">
        <v>20060368076768</v>
      </c>
      <c r="D1986" s="39" t="s">
        <v>624</v>
      </c>
      <c r="E1986" s="41">
        <v>32.916392363396973</v>
      </c>
      <c r="F1986" s="9"/>
      <c r="G1986" s="14" t="str">
        <f t="shared" si="75"/>
        <v>O</v>
      </c>
      <c r="H1986" s="15">
        <f t="shared" si="76"/>
        <v>16.458196181698487</v>
      </c>
      <c r="L1986" s="35"/>
    </row>
    <row r="1987" spans="1:12" x14ac:dyDescent="0.3">
      <c r="A1987" s="19">
        <f>COUNTIFS($B$2:B1987,B1987)</f>
        <v>11</v>
      </c>
      <c r="B1987" s="39" t="s">
        <v>451</v>
      </c>
      <c r="C1987" s="40">
        <v>20060368076768</v>
      </c>
      <c r="D1987" s="39" t="s">
        <v>625</v>
      </c>
      <c r="E1987" s="41">
        <v>24.687294272547732</v>
      </c>
      <c r="F1987" s="9"/>
      <c r="G1987" s="14" t="str">
        <f t="shared" si="75"/>
        <v>O</v>
      </c>
      <c r="H1987" s="15">
        <f t="shared" si="76"/>
        <v>12.343647136273866</v>
      </c>
      <c r="L1987" s="35"/>
    </row>
    <row r="1988" spans="1:12" x14ac:dyDescent="0.3">
      <c r="A1988" s="19">
        <f>COUNTIFS($B$2:B1988,B1988)</f>
        <v>12</v>
      </c>
      <c r="B1988" s="39" t="s">
        <v>451</v>
      </c>
      <c r="C1988" s="40">
        <v>20060368076768</v>
      </c>
      <c r="D1988" s="39" t="s">
        <v>518</v>
      </c>
      <c r="E1988" s="41">
        <v>9.8749177090190923</v>
      </c>
      <c r="F1988" s="9"/>
      <c r="G1988" s="14" t="str">
        <f t="shared" si="75"/>
        <v>O</v>
      </c>
      <c r="H1988" s="15">
        <f t="shared" si="76"/>
        <v>4.9374588545095461</v>
      </c>
      <c r="L1988" s="35"/>
    </row>
    <row r="1989" spans="1:12" x14ac:dyDescent="0.3">
      <c r="A1989" s="19">
        <f>COUNTIFS($B$2:B1989,B1989)</f>
        <v>13</v>
      </c>
      <c r="B1989" s="39" t="s">
        <v>451</v>
      </c>
      <c r="C1989" s="40">
        <v>20060368076768</v>
      </c>
      <c r="D1989" s="39" t="s">
        <v>488</v>
      </c>
      <c r="E1989" s="41">
        <v>8.2290980908492433</v>
      </c>
      <c r="F1989" s="9"/>
      <c r="G1989" s="14" t="str">
        <f t="shared" si="75"/>
        <v>O</v>
      </c>
      <c r="H1989" s="15">
        <f t="shared" si="76"/>
        <v>4.1145490454246216</v>
      </c>
      <c r="L1989" s="35"/>
    </row>
    <row r="1990" spans="1:12" x14ac:dyDescent="0.3">
      <c r="A1990" s="31">
        <f>COUNTIFS($B$2:B1990,B1990)</f>
        <v>1</v>
      </c>
      <c r="B1990" s="26" t="s">
        <v>453</v>
      </c>
      <c r="C1990" s="51">
        <v>20060368076769</v>
      </c>
      <c r="D1990" s="26" t="s">
        <v>149</v>
      </c>
      <c r="E1990" s="28">
        <v>148.7567731807363</v>
      </c>
      <c r="F1990" s="9"/>
      <c r="G1990" s="14" t="str">
        <f t="shared" si="75"/>
        <v>O</v>
      </c>
      <c r="H1990" s="15">
        <f t="shared" si="76"/>
        <v>74.378386590368152</v>
      </c>
      <c r="L1990" s="35"/>
    </row>
    <row r="1991" spans="1:12" x14ac:dyDescent="0.3">
      <c r="A1991" s="31">
        <f>COUNTIFS($B$2:B1991,B1991)</f>
        <v>2</v>
      </c>
      <c r="B1991" s="26" t="s">
        <v>453</v>
      </c>
      <c r="C1991" s="51">
        <v>20060368076769</v>
      </c>
      <c r="D1991" s="26" t="s">
        <v>418</v>
      </c>
      <c r="E1991" s="28">
        <v>2.6776219172532536</v>
      </c>
      <c r="F1991" s="9"/>
      <c r="G1991" s="14" t="str">
        <f t="shared" si="75"/>
        <v>O</v>
      </c>
      <c r="H1991" s="15">
        <f t="shared" si="76"/>
        <v>1.3388109586266268</v>
      </c>
      <c r="L1991" s="35"/>
    </row>
    <row r="1992" spans="1:12" x14ac:dyDescent="0.3">
      <c r="A1992" s="31">
        <f>COUNTIFS($B$2:B1992,B1992)</f>
        <v>3</v>
      </c>
      <c r="B1992" s="26" t="s">
        <v>453</v>
      </c>
      <c r="C1992" s="51">
        <v>20060368076769</v>
      </c>
      <c r="D1992" s="26" t="s">
        <v>489</v>
      </c>
      <c r="E1992" s="28">
        <v>4.4627031954220895</v>
      </c>
      <c r="F1992" s="9"/>
      <c r="G1992" s="14" t="str">
        <f t="shared" si="75"/>
        <v>O</v>
      </c>
      <c r="H1992" s="15">
        <f t="shared" si="76"/>
        <v>2.2313515977110447</v>
      </c>
      <c r="L1992" s="35"/>
    </row>
    <row r="1993" spans="1:12" x14ac:dyDescent="0.3">
      <c r="A1993" s="31">
        <f>COUNTIFS($B$2:B1993,B1993)</f>
        <v>4</v>
      </c>
      <c r="B1993" s="26" t="s">
        <v>453</v>
      </c>
      <c r="C1993" s="51">
        <v>20060368076769</v>
      </c>
      <c r="D1993" s="26" t="s">
        <v>505</v>
      </c>
      <c r="E1993" s="28">
        <v>22.313515977110448</v>
      </c>
      <c r="F1993" s="9"/>
      <c r="G1993" s="14" t="str">
        <f t="shared" si="75"/>
        <v>O</v>
      </c>
      <c r="H1993" s="15">
        <f t="shared" si="76"/>
        <v>11.156757988555224</v>
      </c>
      <c r="L1993" s="35"/>
    </row>
    <row r="1994" spans="1:12" x14ac:dyDescent="0.3">
      <c r="A1994" s="31">
        <f>COUNTIFS($B$2:B1994,B1994)</f>
        <v>5</v>
      </c>
      <c r="B1994" s="26" t="s">
        <v>453</v>
      </c>
      <c r="C1994" s="51">
        <v>20060368076769</v>
      </c>
      <c r="D1994" s="26" t="s">
        <v>564</v>
      </c>
      <c r="E1994" s="28">
        <v>37.189193295184076</v>
      </c>
      <c r="F1994" s="9"/>
      <c r="G1994" s="14" t="str">
        <f t="shared" si="75"/>
        <v>O</v>
      </c>
      <c r="H1994" s="15">
        <f t="shared" si="76"/>
        <v>18.594596647592038</v>
      </c>
      <c r="L1994" s="35"/>
    </row>
    <row r="1995" spans="1:12" x14ac:dyDescent="0.3">
      <c r="A1995" s="31">
        <f>COUNTIFS($B$2:B1995,B1995)</f>
        <v>6</v>
      </c>
      <c r="B1995" s="26" t="s">
        <v>453</v>
      </c>
      <c r="C1995" s="51">
        <v>20060368076769</v>
      </c>
      <c r="D1995" s="26" t="s">
        <v>15</v>
      </c>
      <c r="E1995" s="28">
        <v>14.875677318073633</v>
      </c>
      <c r="F1995" s="9"/>
      <c r="G1995" s="14" t="str">
        <f t="shared" ref="G1995:G2058" si="77">IF(D1995="","",IF(COUNTIF(I:I,D1995)&gt;0,"O","X"))</f>
        <v>O</v>
      </c>
      <c r="H1995" s="15">
        <f t="shared" si="76"/>
        <v>7.4378386590368164</v>
      </c>
      <c r="L1995" s="35"/>
    </row>
    <row r="1996" spans="1:12" x14ac:dyDescent="0.3">
      <c r="A1996" s="31">
        <f>COUNTIFS($B$2:B1996,B1996)</f>
        <v>7</v>
      </c>
      <c r="B1996" s="26" t="s">
        <v>453</v>
      </c>
      <c r="C1996" s="51">
        <v>20060368076769</v>
      </c>
      <c r="D1996" s="26" t="s">
        <v>495</v>
      </c>
      <c r="E1996" s="28">
        <v>29.751354636147266</v>
      </c>
      <c r="F1996" s="9"/>
      <c r="G1996" s="14" t="str">
        <f t="shared" si="77"/>
        <v>O</v>
      </c>
      <c r="H1996" s="15">
        <f t="shared" si="76"/>
        <v>14.875677318073633</v>
      </c>
      <c r="L1996" s="35"/>
    </row>
    <row r="1997" spans="1:12" x14ac:dyDescent="0.3">
      <c r="A1997" s="31">
        <f>COUNTIFS($B$2:B1997,B1997)</f>
        <v>8</v>
      </c>
      <c r="B1997" s="26" t="s">
        <v>453</v>
      </c>
      <c r="C1997" s="51">
        <v>20060368076769</v>
      </c>
      <c r="D1997" s="26" t="s">
        <v>528</v>
      </c>
      <c r="E1997" s="28">
        <v>52.06487061325771</v>
      </c>
      <c r="F1997" s="9"/>
      <c r="G1997" s="14" t="str">
        <f t="shared" si="77"/>
        <v>O</v>
      </c>
      <c r="H1997" s="15">
        <f t="shared" si="76"/>
        <v>26.032435306628855</v>
      </c>
      <c r="L1997" s="35"/>
    </row>
    <row r="1998" spans="1:12" x14ac:dyDescent="0.3">
      <c r="A1998" s="31">
        <f>COUNTIFS($B$2:B1998,B1998)</f>
        <v>9</v>
      </c>
      <c r="B1998" s="26" t="s">
        <v>453</v>
      </c>
      <c r="C1998" s="51">
        <v>20060368076769</v>
      </c>
      <c r="D1998" s="26" t="s">
        <v>424</v>
      </c>
      <c r="E1998" s="28">
        <v>2.9751354636147265</v>
      </c>
      <c r="F1998" s="9"/>
      <c r="G1998" s="14" t="str">
        <f t="shared" si="77"/>
        <v>O</v>
      </c>
      <c r="H1998" s="15">
        <f t="shared" si="76"/>
        <v>1.4875677318073632</v>
      </c>
      <c r="L1998" s="35"/>
    </row>
    <row r="1999" spans="1:12" x14ac:dyDescent="0.3">
      <c r="A1999" s="31">
        <f>COUNTIFS($B$2:B1999,B1999)</f>
        <v>10</v>
      </c>
      <c r="B1999" s="26" t="s">
        <v>453</v>
      </c>
      <c r="C1999" s="51">
        <v>20060368076769</v>
      </c>
      <c r="D1999" s="26" t="s">
        <v>624</v>
      </c>
      <c r="E1999" s="28">
        <v>59.502709272294531</v>
      </c>
      <c r="F1999" s="9"/>
      <c r="G1999" s="14" t="str">
        <f t="shared" si="77"/>
        <v>O</v>
      </c>
      <c r="H1999" s="15">
        <f t="shared" si="76"/>
        <v>29.751354636147266</v>
      </c>
      <c r="L1999" s="35"/>
    </row>
    <row r="2000" spans="1:12" x14ac:dyDescent="0.3">
      <c r="A2000" s="31">
        <f>COUNTIFS($B$2:B2000,B2000)</f>
        <v>11</v>
      </c>
      <c r="B2000" s="26" t="s">
        <v>453</v>
      </c>
      <c r="C2000" s="51">
        <v>20060368076769</v>
      </c>
      <c r="D2000" s="26" t="s">
        <v>625</v>
      </c>
      <c r="E2000" s="28">
        <v>44.627031954220897</v>
      </c>
      <c r="F2000" s="9"/>
      <c r="G2000" s="14" t="str">
        <f t="shared" si="77"/>
        <v>O</v>
      </c>
      <c r="H2000" s="15">
        <f t="shared" si="76"/>
        <v>22.313515977110448</v>
      </c>
      <c r="L2000" s="35"/>
    </row>
    <row r="2001" spans="1:12" x14ac:dyDescent="0.3">
      <c r="A2001" s="31">
        <f>COUNTIFS($B$2:B2001,B2001)</f>
        <v>12</v>
      </c>
      <c r="B2001" s="26" t="s">
        <v>453</v>
      </c>
      <c r="C2001" s="51">
        <v>20060368076769</v>
      </c>
      <c r="D2001" s="26" t="s">
        <v>518</v>
      </c>
      <c r="E2001" s="28">
        <v>17.850812781688358</v>
      </c>
      <c r="F2001" s="9"/>
      <c r="G2001" s="14" t="str">
        <f t="shared" si="77"/>
        <v>O</v>
      </c>
      <c r="H2001" s="15">
        <f t="shared" si="76"/>
        <v>8.925406390844179</v>
      </c>
      <c r="L2001" s="35"/>
    </row>
    <row r="2002" spans="1:12" x14ac:dyDescent="0.3">
      <c r="A2002" s="31">
        <f>COUNTIFS($B$2:B2002,B2002)</f>
        <v>13</v>
      </c>
      <c r="B2002" s="26" t="s">
        <v>453</v>
      </c>
      <c r="C2002" s="51">
        <v>20060368076769</v>
      </c>
      <c r="D2002" s="26" t="s">
        <v>488</v>
      </c>
      <c r="E2002" s="28">
        <v>14.875677318073633</v>
      </c>
      <c r="F2002" s="9"/>
      <c r="G2002" s="14" t="str">
        <f t="shared" si="77"/>
        <v>O</v>
      </c>
      <c r="H2002" s="15">
        <f t="shared" si="76"/>
        <v>7.4378386590368164</v>
      </c>
      <c r="L2002" s="35"/>
    </row>
    <row r="2003" spans="1:12" x14ac:dyDescent="0.3">
      <c r="A2003" s="19">
        <f>COUNTIFS($B$2:B2003,B2003)</f>
        <v>1</v>
      </c>
      <c r="B2003" s="39" t="s">
        <v>455</v>
      </c>
      <c r="C2003" s="40">
        <v>20060368076771</v>
      </c>
      <c r="D2003" s="39" t="s">
        <v>149</v>
      </c>
      <c r="E2003" s="22">
        <v>118.03843752724576</v>
      </c>
      <c r="F2003" s="9"/>
      <c r="G2003" s="14" t="str">
        <f t="shared" si="77"/>
        <v>O</v>
      </c>
      <c r="H2003" s="15">
        <f t="shared" si="76"/>
        <v>59.019218763622881</v>
      </c>
      <c r="L2003" s="35"/>
    </row>
    <row r="2004" spans="1:12" x14ac:dyDescent="0.3">
      <c r="A2004" s="19">
        <f>COUNTIFS($B$2:B2004,B2004)</f>
        <v>2</v>
      </c>
      <c r="B2004" s="39" t="s">
        <v>455</v>
      </c>
      <c r="C2004" s="40">
        <v>20060368076771</v>
      </c>
      <c r="D2004" s="39" t="s">
        <v>418</v>
      </c>
      <c r="E2004" s="22">
        <v>2.120563345084066</v>
      </c>
      <c r="F2004" s="9"/>
      <c r="G2004" s="14" t="str">
        <f t="shared" si="77"/>
        <v>O</v>
      </c>
      <c r="H2004" s="15">
        <f t="shared" si="76"/>
        <v>1.060281672542033</v>
      </c>
      <c r="L2004" s="35"/>
    </row>
    <row r="2005" spans="1:12" x14ac:dyDescent="0.3">
      <c r="A2005" s="19">
        <f>COUNTIFS($B$2:B2005,B2005)</f>
        <v>3</v>
      </c>
      <c r="B2005" s="39" t="s">
        <v>455</v>
      </c>
      <c r="C2005" s="40">
        <v>20060368076771</v>
      </c>
      <c r="D2005" s="39" t="s">
        <v>489</v>
      </c>
      <c r="E2005" s="22">
        <v>3.541153125817373</v>
      </c>
      <c r="F2005" s="9"/>
      <c r="G2005" s="14" t="str">
        <f t="shared" si="77"/>
        <v>O</v>
      </c>
      <c r="H2005" s="15">
        <f t="shared" si="76"/>
        <v>1.7705765629086865</v>
      </c>
      <c r="L2005" s="35"/>
    </row>
    <row r="2006" spans="1:12" x14ac:dyDescent="0.3">
      <c r="A2006" s="19">
        <f>COUNTIFS($B$2:B2006,B2006)</f>
        <v>4</v>
      </c>
      <c r="B2006" s="39" t="s">
        <v>455</v>
      </c>
      <c r="C2006" s="40">
        <v>20060368076771</v>
      </c>
      <c r="D2006" s="39" t="s">
        <v>496</v>
      </c>
      <c r="E2006" s="22">
        <v>2.9500226358160626</v>
      </c>
      <c r="F2006" s="9"/>
      <c r="G2006" s="14" t="str">
        <f t="shared" si="77"/>
        <v>O</v>
      </c>
      <c r="H2006" s="15">
        <f t="shared" si="76"/>
        <v>1.4750113179080313</v>
      </c>
      <c r="L2006" s="35"/>
    </row>
    <row r="2007" spans="1:12" x14ac:dyDescent="0.3">
      <c r="A2007" s="19">
        <f>COUNTIFS($B$2:B2007,B2007)</f>
        <v>5</v>
      </c>
      <c r="B2007" s="39" t="s">
        <v>455</v>
      </c>
      <c r="C2007" s="40">
        <v>20060368076771</v>
      </c>
      <c r="D2007" s="39" t="s">
        <v>272</v>
      </c>
      <c r="E2007" s="22">
        <v>39.020000000000003</v>
      </c>
      <c r="F2007" s="9"/>
      <c r="G2007" s="14" t="str">
        <f t="shared" si="77"/>
        <v>O</v>
      </c>
      <c r="H2007" s="15">
        <f t="shared" si="76"/>
        <v>19.510000000000002</v>
      </c>
      <c r="L2007" s="35"/>
    </row>
    <row r="2008" spans="1:12" x14ac:dyDescent="0.3">
      <c r="A2008" s="19">
        <f>COUNTIFS($B$2:B2008,B2008)</f>
        <v>6</v>
      </c>
      <c r="B2008" s="39" t="s">
        <v>455</v>
      </c>
      <c r="C2008" s="40">
        <v>20060368076771</v>
      </c>
      <c r="D2008" s="39" t="s">
        <v>429</v>
      </c>
      <c r="E2008" s="22">
        <v>39.020000000000003</v>
      </c>
      <c r="F2008" s="9"/>
      <c r="G2008" s="14" t="str">
        <f t="shared" si="77"/>
        <v>O</v>
      </c>
      <c r="H2008" s="15">
        <f t="shared" si="76"/>
        <v>19.510000000000002</v>
      </c>
      <c r="L2008" s="35"/>
    </row>
    <row r="2009" spans="1:12" x14ac:dyDescent="0.3">
      <c r="A2009" s="19">
        <f>COUNTIFS($B$2:B2009,B2009)</f>
        <v>7</v>
      </c>
      <c r="B2009" s="39" t="s">
        <v>455</v>
      </c>
      <c r="C2009" s="40">
        <v>20060368076771</v>
      </c>
      <c r="D2009" s="39" t="s">
        <v>495</v>
      </c>
      <c r="E2009" s="22">
        <v>35.411531258173731</v>
      </c>
      <c r="F2009" s="9"/>
      <c r="G2009" s="14" t="str">
        <f t="shared" si="77"/>
        <v>O</v>
      </c>
      <c r="H2009" s="15">
        <f t="shared" si="76"/>
        <v>17.705765629086866</v>
      </c>
      <c r="L2009" s="35"/>
    </row>
    <row r="2010" spans="1:12" x14ac:dyDescent="0.3">
      <c r="A2010" s="19">
        <f>COUNTIFS($B$2:B2010,B2010)</f>
        <v>8</v>
      </c>
      <c r="B2010" s="39" t="s">
        <v>455</v>
      </c>
      <c r="C2010" s="40">
        <v>20060368076771</v>
      </c>
      <c r="D2010" s="39" t="s">
        <v>528</v>
      </c>
      <c r="E2010" s="22">
        <v>42.495714114538643</v>
      </c>
      <c r="F2010" s="9"/>
      <c r="G2010" s="14" t="str">
        <f t="shared" si="77"/>
        <v>O</v>
      </c>
      <c r="H2010" s="15">
        <f t="shared" si="76"/>
        <v>21.247857057269322</v>
      </c>
      <c r="L2010" s="35"/>
    </row>
    <row r="2011" spans="1:12" x14ac:dyDescent="0.3">
      <c r="A2011" s="19">
        <f>COUNTIFS($B$2:B2011,B2011)</f>
        <v>9</v>
      </c>
      <c r="B2011" s="39" t="s">
        <v>455</v>
      </c>
      <c r="C2011" s="40">
        <v>20060368076771</v>
      </c>
      <c r="D2011" s="39" t="s">
        <v>424</v>
      </c>
      <c r="E2011" s="22">
        <v>2.3607687505449153</v>
      </c>
      <c r="F2011" s="9"/>
      <c r="G2011" s="14" t="str">
        <f t="shared" si="77"/>
        <v>O</v>
      </c>
      <c r="H2011" s="15">
        <f t="shared" si="76"/>
        <v>1.1803843752724577</v>
      </c>
      <c r="L2011" s="35"/>
    </row>
    <row r="2012" spans="1:12" x14ac:dyDescent="0.3">
      <c r="A2012" s="19">
        <f>COUNTIFS($B$2:B2012,B2012)</f>
        <v>10</v>
      </c>
      <c r="B2012" s="39" t="s">
        <v>455</v>
      </c>
      <c r="C2012" s="40">
        <v>20060368076771</v>
      </c>
      <c r="D2012" s="39" t="s">
        <v>624</v>
      </c>
      <c r="E2012" s="22">
        <v>41.315329739266183</v>
      </c>
      <c r="F2012" s="9"/>
      <c r="G2012" s="14" t="str">
        <f t="shared" si="77"/>
        <v>O</v>
      </c>
      <c r="H2012" s="15">
        <f t="shared" si="76"/>
        <v>20.657664869633091</v>
      </c>
      <c r="I2012" s="15" t="s">
        <v>627</v>
      </c>
      <c r="L2012" s="35"/>
    </row>
    <row r="2013" spans="1:12" x14ac:dyDescent="0.3">
      <c r="A2013" s="19">
        <f>COUNTIFS($B$2:B2013,B2013)</f>
        <v>11</v>
      </c>
      <c r="B2013" s="39" t="s">
        <v>455</v>
      </c>
      <c r="C2013" s="40">
        <v>20060368076771</v>
      </c>
      <c r="D2013" s="39" t="s">
        <v>625</v>
      </c>
      <c r="E2013" s="22">
        <v>35.413407862903895</v>
      </c>
      <c r="F2013" s="9"/>
      <c r="G2013" s="14" t="str">
        <f t="shared" si="77"/>
        <v>O</v>
      </c>
      <c r="H2013" s="15">
        <f t="shared" si="76"/>
        <v>17.706703931451948</v>
      </c>
      <c r="I2013" s="15" t="s">
        <v>192</v>
      </c>
      <c r="L2013" s="35"/>
    </row>
    <row r="2014" spans="1:12" x14ac:dyDescent="0.3">
      <c r="A2014" s="19">
        <f>COUNTIFS($B$2:B2014,B2014)</f>
        <v>12</v>
      </c>
      <c r="B2014" s="39" t="s">
        <v>455</v>
      </c>
      <c r="C2014" s="40">
        <v>20060368076771</v>
      </c>
      <c r="D2014" s="39" t="s">
        <v>518</v>
      </c>
      <c r="E2014" s="22">
        <v>14.164612503269492</v>
      </c>
      <c r="F2014" s="9"/>
      <c r="G2014" s="14" t="str">
        <f t="shared" si="77"/>
        <v>O</v>
      </c>
      <c r="H2014" s="15">
        <f t="shared" si="76"/>
        <v>7.0823062516347459</v>
      </c>
      <c r="I2014" s="15" t="s">
        <v>190</v>
      </c>
      <c r="L2014" s="35"/>
    </row>
    <row r="2015" spans="1:12" x14ac:dyDescent="0.3">
      <c r="A2015" s="19">
        <f>COUNTIFS($B$2:B2015,B2015)</f>
        <v>13</v>
      </c>
      <c r="B2015" s="39" t="s">
        <v>455</v>
      </c>
      <c r="C2015" s="40">
        <v>20060368076771</v>
      </c>
      <c r="D2015" s="39" t="s">
        <v>488</v>
      </c>
      <c r="E2015" s="22">
        <v>11.803843752724578</v>
      </c>
      <c r="F2015" s="9"/>
      <c r="G2015" s="14" t="str">
        <f t="shared" si="77"/>
        <v>O</v>
      </c>
      <c r="H2015" s="15">
        <f t="shared" si="76"/>
        <v>5.9019218763622892</v>
      </c>
      <c r="I2015" s="15" t="s">
        <v>111</v>
      </c>
      <c r="L2015" s="35"/>
    </row>
    <row r="2016" spans="1:12" x14ac:dyDescent="0.3">
      <c r="A2016" s="19"/>
      <c r="B2016" s="20"/>
      <c r="C2016" s="25"/>
      <c r="D2016" s="20"/>
      <c r="E2016" s="22"/>
      <c r="F2016" s="9"/>
      <c r="G2016" s="14" t="str">
        <f t="shared" si="77"/>
        <v/>
      </c>
      <c r="H2016" s="15">
        <f t="shared" si="76"/>
        <v>0</v>
      </c>
      <c r="I2016" s="15" t="s">
        <v>185</v>
      </c>
      <c r="L2016" s="35"/>
    </row>
    <row r="2017" spans="1:12" x14ac:dyDescent="0.3">
      <c r="A2017" s="19"/>
      <c r="B2017" s="20"/>
      <c r="C2017" s="25"/>
      <c r="D2017" s="20"/>
      <c r="E2017" s="22"/>
      <c r="F2017" s="9"/>
      <c r="G2017" s="14" t="str">
        <f t="shared" si="77"/>
        <v/>
      </c>
      <c r="H2017" s="15">
        <f t="shared" si="76"/>
        <v>0</v>
      </c>
      <c r="L2017" s="35"/>
    </row>
    <row r="2018" spans="1:12" x14ac:dyDescent="0.3">
      <c r="A2018" s="19"/>
      <c r="B2018" s="20"/>
      <c r="C2018" s="25"/>
      <c r="D2018" s="20"/>
      <c r="E2018" s="22"/>
      <c r="F2018" s="9"/>
      <c r="G2018" s="14" t="str">
        <f t="shared" si="77"/>
        <v/>
      </c>
      <c r="H2018" s="15">
        <f t="shared" si="76"/>
        <v>0</v>
      </c>
      <c r="L2018" s="35"/>
    </row>
    <row r="2019" spans="1:12" x14ac:dyDescent="0.3">
      <c r="A2019" s="19"/>
      <c r="B2019" s="20"/>
      <c r="C2019" s="25"/>
      <c r="D2019" s="20"/>
      <c r="E2019" s="22"/>
      <c r="F2019" s="9"/>
      <c r="G2019" s="14" t="str">
        <f t="shared" si="77"/>
        <v/>
      </c>
      <c r="H2019" s="15">
        <f t="shared" si="76"/>
        <v>0</v>
      </c>
      <c r="L2019" s="35"/>
    </row>
    <row r="2020" spans="1:12" x14ac:dyDescent="0.3">
      <c r="A2020" s="19"/>
      <c r="B2020" s="20"/>
      <c r="C2020" s="25"/>
      <c r="D2020" s="20"/>
      <c r="E2020" s="22"/>
      <c r="F2020" s="9"/>
      <c r="G2020" s="14" t="str">
        <f t="shared" si="77"/>
        <v/>
      </c>
      <c r="H2020" s="15">
        <f t="shared" si="76"/>
        <v>0</v>
      </c>
      <c r="L2020" s="35"/>
    </row>
    <row r="2021" spans="1:12" x14ac:dyDescent="0.3">
      <c r="A2021" s="19"/>
      <c r="B2021" s="20"/>
      <c r="C2021" s="25"/>
      <c r="D2021" s="20"/>
      <c r="E2021" s="22"/>
      <c r="F2021" s="9"/>
      <c r="G2021" s="14" t="str">
        <f t="shared" si="77"/>
        <v/>
      </c>
      <c r="H2021" s="15">
        <f t="shared" si="76"/>
        <v>0</v>
      </c>
      <c r="L2021" s="35"/>
    </row>
    <row r="2022" spans="1:12" x14ac:dyDescent="0.3">
      <c r="A2022" s="19"/>
      <c r="B2022" s="20"/>
      <c r="C2022" s="25"/>
      <c r="D2022" s="20"/>
      <c r="E2022" s="22"/>
      <c r="F2022" s="9"/>
      <c r="G2022" s="14" t="str">
        <f t="shared" si="77"/>
        <v/>
      </c>
      <c r="H2022" s="15">
        <f t="shared" si="76"/>
        <v>0</v>
      </c>
      <c r="L2022" s="35"/>
    </row>
    <row r="2023" spans="1:12" x14ac:dyDescent="0.3">
      <c r="A2023" s="19"/>
      <c r="B2023" s="20"/>
      <c r="C2023" s="25"/>
      <c r="D2023" s="20"/>
      <c r="E2023" s="22"/>
      <c r="F2023" s="9"/>
      <c r="G2023" s="14" t="str">
        <f t="shared" si="77"/>
        <v/>
      </c>
      <c r="H2023" s="15">
        <f t="shared" si="76"/>
        <v>0</v>
      </c>
      <c r="L2023" s="35"/>
    </row>
    <row r="2024" spans="1:12" x14ac:dyDescent="0.3">
      <c r="A2024" s="19"/>
      <c r="B2024" s="20"/>
      <c r="C2024" s="25"/>
      <c r="D2024" s="20"/>
      <c r="E2024" s="22"/>
      <c r="F2024" s="9"/>
      <c r="G2024" s="14" t="str">
        <f t="shared" si="77"/>
        <v/>
      </c>
      <c r="H2024" s="15">
        <f t="shared" si="76"/>
        <v>0</v>
      </c>
      <c r="L2024" s="35"/>
    </row>
    <row r="2025" spans="1:12" x14ac:dyDescent="0.3">
      <c r="A2025" s="19"/>
      <c r="B2025" s="20"/>
      <c r="C2025" s="25"/>
      <c r="D2025" s="20"/>
      <c r="E2025" s="22"/>
      <c r="F2025" s="9"/>
      <c r="G2025" s="14" t="str">
        <f t="shared" si="77"/>
        <v/>
      </c>
      <c r="H2025" s="15">
        <f t="shared" si="76"/>
        <v>0</v>
      </c>
      <c r="L2025" s="35"/>
    </row>
    <row r="2026" spans="1:12" x14ac:dyDescent="0.3">
      <c r="A2026" s="19"/>
      <c r="B2026" s="20"/>
      <c r="C2026" s="25"/>
      <c r="D2026" s="20"/>
      <c r="E2026" s="22"/>
      <c r="F2026" s="9"/>
      <c r="G2026" s="14" t="str">
        <f t="shared" si="77"/>
        <v/>
      </c>
      <c r="H2026" s="15">
        <f t="shared" si="76"/>
        <v>0</v>
      </c>
      <c r="L2026" s="35"/>
    </row>
    <row r="2027" spans="1:12" x14ac:dyDescent="0.3">
      <c r="A2027" s="19"/>
      <c r="B2027" s="20"/>
      <c r="C2027" s="25"/>
      <c r="D2027" s="20"/>
      <c r="E2027" s="22"/>
      <c r="F2027" s="9"/>
      <c r="G2027" s="14" t="str">
        <f t="shared" si="77"/>
        <v/>
      </c>
      <c r="H2027" s="15">
        <f t="shared" si="76"/>
        <v>0</v>
      </c>
      <c r="L2027" s="35"/>
    </row>
    <row r="2028" spans="1:12" x14ac:dyDescent="0.3">
      <c r="A2028" s="19"/>
      <c r="B2028" s="20"/>
      <c r="C2028" s="25"/>
      <c r="D2028" s="20"/>
      <c r="E2028" s="22"/>
      <c r="F2028" s="9"/>
      <c r="G2028" s="14" t="str">
        <f t="shared" si="77"/>
        <v/>
      </c>
      <c r="H2028" s="15">
        <f t="shared" si="76"/>
        <v>0</v>
      </c>
      <c r="L2028" s="35"/>
    </row>
    <row r="2029" spans="1:12" x14ac:dyDescent="0.3">
      <c r="A2029" s="19"/>
      <c r="B2029" s="20"/>
      <c r="C2029" s="25"/>
      <c r="D2029" s="20"/>
      <c r="E2029" s="22"/>
      <c r="F2029" s="9"/>
      <c r="G2029" s="14" t="str">
        <f t="shared" si="77"/>
        <v/>
      </c>
      <c r="H2029" s="15">
        <f t="shared" si="76"/>
        <v>0</v>
      </c>
      <c r="L2029" s="35"/>
    </row>
    <row r="2030" spans="1:12" x14ac:dyDescent="0.3">
      <c r="A2030" s="19"/>
      <c r="B2030" s="20"/>
      <c r="C2030" s="25"/>
      <c r="D2030" s="20"/>
      <c r="E2030" s="22"/>
      <c r="F2030" s="9"/>
      <c r="G2030" s="14" t="str">
        <f t="shared" si="77"/>
        <v/>
      </c>
      <c r="H2030" s="15">
        <f t="shared" si="76"/>
        <v>0</v>
      </c>
      <c r="L2030" s="35"/>
    </row>
    <row r="2031" spans="1:12" x14ac:dyDescent="0.3">
      <c r="A2031" s="19"/>
      <c r="B2031" s="20"/>
      <c r="C2031" s="25"/>
      <c r="D2031" s="20"/>
      <c r="E2031" s="22"/>
      <c r="F2031" s="9"/>
      <c r="G2031" s="14" t="str">
        <f t="shared" si="77"/>
        <v/>
      </c>
      <c r="H2031" s="15">
        <f t="shared" si="76"/>
        <v>0</v>
      </c>
      <c r="I2031" s="15" t="s">
        <v>84</v>
      </c>
      <c r="L2031" s="35"/>
    </row>
    <row r="2032" spans="1:12" x14ac:dyDescent="0.3">
      <c r="A2032" s="19"/>
      <c r="B2032" s="20"/>
      <c r="C2032" s="25"/>
      <c r="D2032" s="20"/>
      <c r="E2032" s="22"/>
      <c r="F2032" s="9"/>
      <c r="G2032" s="14" t="str">
        <f t="shared" si="77"/>
        <v/>
      </c>
      <c r="H2032" s="15">
        <f t="shared" si="76"/>
        <v>0</v>
      </c>
      <c r="I2032" s="15" t="s">
        <v>598</v>
      </c>
      <c r="L2032" s="35"/>
    </row>
    <row r="2033" spans="1:12" x14ac:dyDescent="0.3">
      <c r="A2033" s="19"/>
      <c r="B2033" s="20"/>
      <c r="C2033" s="25"/>
      <c r="D2033" s="20"/>
      <c r="E2033" s="22"/>
      <c r="F2033" s="9"/>
      <c r="G2033" s="14" t="str">
        <f t="shared" si="77"/>
        <v/>
      </c>
      <c r="H2033" s="15">
        <f t="shared" si="76"/>
        <v>0</v>
      </c>
      <c r="I2033" s="15" t="s">
        <v>272</v>
      </c>
      <c r="L2033" s="35"/>
    </row>
    <row r="2034" spans="1:12" x14ac:dyDescent="0.3">
      <c r="A2034" s="19"/>
      <c r="B2034" s="20"/>
      <c r="C2034" s="25"/>
      <c r="D2034" s="20"/>
      <c r="E2034" s="22"/>
      <c r="F2034" s="9"/>
      <c r="G2034" s="14" t="str">
        <f t="shared" si="77"/>
        <v/>
      </c>
      <c r="H2034" s="15">
        <f t="shared" si="76"/>
        <v>0</v>
      </c>
      <c r="I2034" s="15" t="s">
        <v>272</v>
      </c>
      <c r="L2034" s="35"/>
    </row>
    <row r="2035" spans="1:12" x14ac:dyDescent="0.3">
      <c r="A2035" s="19"/>
      <c r="B2035" s="20"/>
      <c r="C2035" s="25"/>
      <c r="D2035" s="20"/>
      <c r="E2035" s="22"/>
      <c r="F2035" s="9"/>
      <c r="G2035" s="14" t="str">
        <f t="shared" si="77"/>
        <v/>
      </c>
      <c r="H2035" s="15">
        <f t="shared" si="76"/>
        <v>0</v>
      </c>
      <c r="I2035" s="15" t="s">
        <v>92</v>
      </c>
      <c r="L2035" s="35"/>
    </row>
    <row r="2036" spans="1:12" x14ac:dyDescent="0.3">
      <c r="A2036" s="52">
        <f>COUNTIFS($B$2:B2036,B2036)</f>
        <v>1</v>
      </c>
      <c r="B2036" s="20" t="s">
        <v>628</v>
      </c>
      <c r="C2036" s="53">
        <v>20060368076913</v>
      </c>
      <c r="D2036" s="54" t="s">
        <v>463</v>
      </c>
      <c r="E2036" s="55">
        <v>336.35553654401065</v>
      </c>
      <c r="F2036" s="9"/>
      <c r="G2036" s="50" t="str">
        <f t="shared" si="77"/>
        <v>O</v>
      </c>
      <c r="H2036" s="15">
        <f t="shared" si="76"/>
        <v>168.17776827200532</v>
      </c>
      <c r="I2036" s="15" t="s">
        <v>94</v>
      </c>
      <c r="L2036" s="35"/>
    </row>
    <row r="2037" spans="1:12" x14ac:dyDescent="0.3">
      <c r="A2037" s="52">
        <f>COUNTIFS($B$2:B2037,B2037)</f>
        <v>2</v>
      </c>
      <c r="B2037" s="20" t="s">
        <v>628</v>
      </c>
      <c r="C2037" s="53">
        <v>20060368076913</v>
      </c>
      <c r="D2037" s="54" t="s">
        <v>30</v>
      </c>
      <c r="E2037" s="55">
        <v>84.821394319267171</v>
      </c>
      <c r="F2037" s="9"/>
      <c r="G2037" s="50" t="str">
        <f t="shared" si="77"/>
        <v>O</v>
      </c>
      <c r="H2037" s="15">
        <f t="shared" ref="H2037:H2100" si="78">E2037/2</f>
        <v>42.410697159633585</v>
      </c>
      <c r="I2037" s="15" t="s">
        <v>96</v>
      </c>
      <c r="L2037" s="35"/>
    </row>
    <row r="2038" spans="1:12" x14ac:dyDescent="0.3">
      <c r="A2038" s="52">
        <f>COUNTIFS($B$2:B2038,B2038)</f>
        <v>3</v>
      </c>
      <c r="B2038" s="20" t="s">
        <v>628</v>
      </c>
      <c r="C2038" s="53">
        <v>20060368076913</v>
      </c>
      <c r="D2038" s="54" t="s">
        <v>418</v>
      </c>
      <c r="E2038" s="55">
        <v>7.5568185651795146</v>
      </c>
      <c r="F2038" s="9"/>
      <c r="G2038" s="50" t="str">
        <f t="shared" si="77"/>
        <v>O</v>
      </c>
      <c r="H2038" s="15">
        <f t="shared" si="78"/>
        <v>3.7784092825897573</v>
      </c>
      <c r="I2038" s="15" t="s">
        <v>629</v>
      </c>
      <c r="L2038" s="35"/>
    </row>
    <row r="2039" spans="1:12" x14ac:dyDescent="0.3">
      <c r="A2039" s="52">
        <f>COUNTIFS($B$2:B2039,B2039)</f>
        <v>4</v>
      </c>
      <c r="B2039" s="20" t="s">
        <v>628</v>
      </c>
      <c r="C2039" s="53">
        <v>20060368076913</v>
      </c>
      <c r="D2039" s="54" t="s">
        <v>164</v>
      </c>
      <c r="E2039" s="55">
        <v>3.3928573149785572</v>
      </c>
      <c r="F2039" s="9"/>
      <c r="G2039" s="50" t="str">
        <f t="shared" si="77"/>
        <v>O</v>
      </c>
      <c r="H2039" s="15">
        <f t="shared" si="78"/>
        <v>1.6964286574892786</v>
      </c>
      <c r="I2039" s="15" t="s">
        <v>172</v>
      </c>
      <c r="L2039" s="35"/>
    </row>
    <row r="2040" spans="1:12" x14ac:dyDescent="0.3">
      <c r="A2040" s="52">
        <f>COUNTIFS($B$2:B2040,B2040)</f>
        <v>5</v>
      </c>
      <c r="B2040" s="20" t="s">
        <v>628</v>
      </c>
      <c r="C2040" s="53">
        <v>20060368076913</v>
      </c>
      <c r="D2040" s="54" t="s">
        <v>80</v>
      </c>
      <c r="E2040" s="55">
        <v>33.620131575696611</v>
      </c>
      <c r="F2040" s="9"/>
      <c r="G2040" s="50" t="str">
        <f t="shared" si="77"/>
        <v>O</v>
      </c>
      <c r="H2040" s="15">
        <f t="shared" si="78"/>
        <v>16.810065787848306</v>
      </c>
      <c r="I2040" s="15" t="s">
        <v>114</v>
      </c>
      <c r="L2040" s="35"/>
    </row>
    <row r="2041" spans="1:12" x14ac:dyDescent="0.3">
      <c r="A2041" s="52">
        <f>COUNTIFS($B$2:B2041,B2041)</f>
        <v>6</v>
      </c>
      <c r="B2041" s="20" t="s">
        <v>628</v>
      </c>
      <c r="C2041" s="53">
        <v>20060368076913</v>
      </c>
      <c r="D2041" s="54" t="s">
        <v>588</v>
      </c>
      <c r="E2041" s="55">
        <v>84.050328939241524</v>
      </c>
      <c r="F2041" s="9"/>
      <c r="G2041" s="50" t="str">
        <f t="shared" si="77"/>
        <v>O</v>
      </c>
      <c r="H2041" s="15">
        <f t="shared" si="78"/>
        <v>42.025164469620762</v>
      </c>
      <c r="I2041" s="15" t="s">
        <v>630</v>
      </c>
      <c r="L2041" s="35"/>
    </row>
    <row r="2042" spans="1:12" x14ac:dyDescent="0.3">
      <c r="A2042" s="52">
        <f>COUNTIFS($B$2:B2042,B2042)</f>
        <v>7</v>
      </c>
      <c r="B2042" s="20" t="s">
        <v>628</v>
      </c>
      <c r="C2042" s="53">
        <v>20060368076913</v>
      </c>
      <c r="D2042" s="54" t="s">
        <v>528</v>
      </c>
      <c r="E2042" s="55">
        <v>210.20293274162606</v>
      </c>
      <c r="F2042" s="9"/>
      <c r="G2042" s="50" t="str">
        <f t="shared" si="77"/>
        <v>O</v>
      </c>
      <c r="H2042" s="15">
        <f t="shared" si="78"/>
        <v>105.10146637081303</v>
      </c>
      <c r="I2042" s="15" t="s">
        <v>103</v>
      </c>
      <c r="L2042" s="35"/>
    </row>
    <row r="2043" spans="1:12" x14ac:dyDescent="0.3">
      <c r="A2043" s="52">
        <f>COUNTIFS($B$2:B2043,B2043)</f>
        <v>8</v>
      </c>
      <c r="B2043" s="20" t="s">
        <v>628</v>
      </c>
      <c r="C2043" s="53">
        <v>20060368076913</v>
      </c>
      <c r="D2043" s="54" t="s">
        <v>424</v>
      </c>
      <c r="E2043" s="55">
        <v>3.3928557727706865</v>
      </c>
      <c r="F2043" s="9"/>
      <c r="G2043" s="50" t="str">
        <f t="shared" si="77"/>
        <v>O</v>
      </c>
      <c r="H2043" s="15">
        <f t="shared" si="78"/>
        <v>1.6964278863853433</v>
      </c>
      <c r="I2043" s="15" t="s">
        <v>318</v>
      </c>
      <c r="L2043" s="35"/>
    </row>
    <row r="2044" spans="1:12" x14ac:dyDescent="0.3">
      <c r="A2044" s="56"/>
      <c r="B2044" s="54"/>
      <c r="C2044" s="53"/>
      <c r="D2044" s="54"/>
      <c r="E2044" s="55"/>
      <c r="F2044" s="57"/>
      <c r="G2044" s="14" t="str">
        <f t="shared" si="77"/>
        <v/>
      </c>
      <c r="H2044" s="15">
        <f t="shared" si="78"/>
        <v>0</v>
      </c>
      <c r="I2044" s="15" t="s">
        <v>525</v>
      </c>
      <c r="L2044" s="35"/>
    </row>
    <row r="2045" spans="1:12" x14ac:dyDescent="0.3">
      <c r="A2045" s="56"/>
      <c r="B2045" s="54"/>
      <c r="C2045" s="53"/>
      <c r="D2045" s="54"/>
      <c r="E2045" s="55"/>
      <c r="F2045" s="57"/>
      <c r="G2045" s="14" t="str">
        <f t="shared" si="77"/>
        <v/>
      </c>
      <c r="H2045" s="15">
        <f t="shared" si="78"/>
        <v>0</v>
      </c>
      <c r="L2045" s="35"/>
    </row>
    <row r="2046" spans="1:12" x14ac:dyDescent="0.3">
      <c r="A2046" s="56"/>
      <c r="B2046" s="54"/>
      <c r="C2046" s="53"/>
      <c r="D2046" s="54"/>
      <c r="E2046" s="55"/>
      <c r="F2046" s="57"/>
      <c r="G2046" s="14" t="str">
        <f t="shared" si="77"/>
        <v/>
      </c>
      <c r="H2046" s="15">
        <f t="shared" si="78"/>
        <v>0</v>
      </c>
      <c r="L2046" s="35"/>
    </row>
    <row r="2047" spans="1:12" x14ac:dyDescent="0.3">
      <c r="A2047" s="56"/>
      <c r="B2047" s="54"/>
      <c r="C2047" s="53"/>
      <c r="D2047" s="54"/>
      <c r="E2047" s="55"/>
      <c r="F2047" s="57"/>
      <c r="G2047" s="14" t="str">
        <f t="shared" si="77"/>
        <v/>
      </c>
      <c r="H2047" s="15">
        <f t="shared" si="78"/>
        <v>0</v>
      </c>
      <c r="L2047" s="35"/>
    </row>
    <row r="2048" spans="1:12" x14ac:dyDescent="0.3">
      <c r="A2048" s="56"/>
      <c r="B2048" s="54"/>
      <c r="C2048" s="53"/>
      <c r="D2048" s="54"/>
      <c r="E2048" s="55"/>
      <c r="F2048" s="57"/>
      <c r="G2048" s="14" t="str">
        <f t="shared" si="77"/>
        <v/>
      </c>
      <c r="H2048" s="15">
        <f t="shared" si="78"/>
        <v>0</v>
      </c>
      <c r="L2048" s="35"/>
    </row>
    <row r="2049" spans="1:12" x14ac:dyDescent="0.3">
      <c r="A2049" s="56"/>
      <c r="B2049" s="54"/>
      <c r="C2049" s="53"/>
      <c r="D2049" s="54"/>
      <c r="E2049" s="55"/>
      <c r="F2049" s="57"/>
      <c r="G2049" s="14" t="str">
        <f t="shared" si="77"/>
        <v/>
      </c>
      <c r="H2049" s="15">
        <f t="shared" si="78"/>
        <v>0</v>
      </c>
      <c r="L2049" s="35"/>
    </row>
    <row r="2050" spans="1:12" x14ac:dyDescent="0.3">
      <c r="A2050" s="56"/>
      <c r="B2050" s="54"/>
      <c r="C2050" s="53"/>
      <c r="D2050" s="54"/>
      <c r="E2050" s="55"/>
      <c r="F2050" s="57"/>
      <c r="G2050" s="14" t="str">
        <f t="shared" si="77"/>
        <v/>
      </c>
      <c r="H2050" s="15">
        <f t="shared" si="78"/>
        <v>0</v>
      </c>
      <c r="L2050" s="35"/>
    </row>
    <row r="2051" spans="1:12" x14ac:dyDescent="0.3">
      <c r="A2051" s="56"/>
      <c r="B2051" s="54"/>
      <c r="C2051" s="53"/>
      <c r="D2051" s="54"/>
      <c r="E2051" s="55"/>
      <c r="F2051" s="57"/>
      <c r="G2051" s="14" t="str">
        <f t="shared" si="77"/>
        <v/>
      </c>
      <c r="H2051" s="15">
        <f t="shared" si="78"/>
        <v>0</v>
      </c>
      <c r="L2051" s="35"/>
    </row>
    <row r="2052" spans="1:12" x14ac:dyDescent="0.3">
      <c r="A2052" s="52">
        <f>COUNTIFS($B$2:B2052,B2052)</f>
        <v>1</v>
      </c>
      <c r="B2052" s="58" t="s">
        <v>462</v>
      </c>
      <c r="C2052" s="59">
        <v>20060368076789</v>
      </c>
      <c r="D2052" s="58" t="s">
        <v>463</v>
      </c>
      <c r="E2052" s="60">
        <v>336.35553654401065</v>
      </c>
      <c r="F2052" s="9"/>
      <c r="G2052" s="14" t="str">
        <f t="shared" si="77"/>
        <v>O</v>
      </c>
      <c r="H2052" s="15">
        <f t="shared" si="78"/>
        <v>168.17776827200532</v>
      </c>
      <c r="L2052" s="35"/>
    </row>
    <row r="2053" spans="1:12" x14ac:dyDescent="0.3">
      <c r="A2053" s="52">
        <f>COUNTIFS($B$2:B2053,B2053)</f>
        <v>2</v>
      </c>
      <c r="B2053" s="58" t="s">
        <v>462</v>
      </c>
      <c r="C2053" s="59">
        <v>20060368076789</v>
      </c>
      <c r="D2053" s="58" t="s">
        <v>30</v>
      </c>
      <c r="E2053" s="60">
        <v>84.821394319267171</v>
      </c>
      <c r="F2053" s="9"/>
      <c r="G2053" s="14" t="str">
        <f t="shared" si="77"/>
        <v>O</v>
      </c>
      <c r="H2053" s="15">
        <f t="shared" si="78"/>
        <v>42.410697159633585</v>
      </c>
      <c r="L2053" s="35"/>
    </row>
    <row r="2054" spans="1:12" x14ac:dyDescent="0.3">
      <c r="A2054" s="52">
        <f>COUNTIFS($B$2:B2054,B2054)</f>
        <v>3</v>
      </c>
      <c r="B2054" s="58" t="s">
        <v>462</v>
      </c>
      <c r="C2054" s="59">
        <v>20060368076789</v>
      </c>
      <c r="D2054" s="58" t="s">
        <v>418</v>
      </c>
      <c r="E2054" s="60">
        <v>7.5568185651795146</v>
      </c>
      <c r="F2054" s="9"/>
      <c r="G2054" s="14" t="str">
        <f t="shared" si="77"/>
        <v>O</v>
      </c>
      <c r="H2054" s="15">
        <f t="shared" si="78"/>
        <v>3.7784092825897573</v>
      </c>
      <c r="L2054" s="35"/>
    </row>
    <row r="2055" spans="1:12" x14ac:dyDescent="0.3">
      <c r="A2055" s="52">
        <f>COUNTIFS($B$2:B2055,B2055)</f>
        <v>4</v>
      </c>
      <c r="B2055" s="58" t="s">
        <v>462</v>
      </c>
      <c r="C2055" s="59">
        <v>20060368076789</v>
      </c>
      <c r="D2055" s="58" t="s">
        <v>164</v>
      </c>
      <c r="E2055" s="61">
        <v>3.3928573149785572</v>
      </c>
      <c r="F2055" s="9"/>
      <c r="G2055" s="14" t="str">
        <f t="shared" si="77"/>
        <v>O</v>
      </c>
      <c r="H2055" s="15">
        <f t="shared" si="78"/>
        <v>1.6964286574892786</v>
      </c>
      <c r="L2055" s="35"/>
    </row>
    <row r="2056" spans="1:12" x14ac:dyDescent="0.3">
      <c r="A2056" s="52">
        <f>COUNTIFS($B$2:B2056,B2056)</f>
        <v>5</v>
      </c>
      <c r="B2056" s="58" t="s">
        <v>462</v>
      </c>
      <c r="C2056" s="59">
        <v>20060368076789</v>
      </c>
      <c r="D2056" s="58" t="s">
        <v>80</v>
      </c>
      <c r="E2056" s="61">
        <v>33.620131575696611</v>
      </c>
      <c r="F2056" s="9"/>
      <c r="G2056" s="14" t="str">
        <f t="shared" si="77"/>
        <v>O</v>
      </c>
      <c r="H2056" s="15">
        <f t="shared" si="78"/>
        <v>16.810065787848306</v>
      </c>
      <c r="L2056" s="35"/>
    </row>
    <row r="2057" spans="1:12" x14ac:dyDescent="0.3">
      <c r="A2057" s="52">
        <f>COUNTIFS($B$2:B2057,B2057)</f>
        <v>6</v>
      </c>
      <c r="B2057" s="58" t="s">
        <v>462</v>
      </c>
      <c r="C2057" s="59">
        <v>20060368076789</v>
      </c>
      <c r="D2057" s="58" t="s">
        <v>588</v>
      </c>
      <c r="E2057" s="61">
        <v>84.050328939241524</v>
      </c>
      <c r="F2057" s="9"/>
      <c r="G2057" s="14" t="str">
        <f t="shared" si="77"/>
        <v>O</v>
      </c>
      <c r="H2057" s="15">
        <f t="shared" si="78"/>
        <v>42.025164469620762</v>
      </c>
      <c r="L2057" s="35"/>
    </row>
    <row r="2058" spans="1:12" x14ac:dyDescent="0.3">
      <c r="A2058" s="52">
        <f>COUNTIFS($B$2:B2058,B2058)</f>
        <v>7</v>
      </c>
      <c r="B2058" s="58" t="s">
        <v>462</v>
      </c>
      <c r="C2058" s="59">
        <v>20060368076789</v>
      </c>
      <c r="D2058" s="58" t="s">
        <v>528</v>
      </c>
      <c r="E2058" s="61">
        <v>210.20293274162606</v>
      </c>
      <c r="F2058" s="9"/>
      <c r="G2058" s="14" t="str">
        <f t="shared" si="77"/>
        <v>O</v>
      </c>
      <c r="H2058" s="15">
        <f t="shared" si="78"/>
        <v>105.10146637081303</v>
      </c>
      <c r="L2058" s="35"/>
    </row>
    <row r="2059" spans="1:12" x14ac:dyDescent="0.3">
      <c r="A2059" s="52">
        <f>COUNTIFS($B$2:B2059,B2059)</f>
        <v>8</v>
      </c>
      <c r="B2059" s="58" t="s">
        <v>462</v>
      </c>
      <c r="C2059" s="59">
        <v>20060368076789</v>
      </c>
      <c r="D2059" s="58" t="s">
        <v>424</v>
      </c>
      <c r="E2059" s="61">
        <v>3.3928557727706865</v>
      </c>
      <c r="F2059" s="9"/>
      <c r="G2059" s="14" t="str">
        <f t="shared" ref="G2059:G2122" si="79">IF(D2059="","",IF(COUNTIF(I:I,D2059)&gt;0,"O","X"))</f>
        <v>O</v>
      </c>
      <c r="H2059" s="15">
        <f t="shared" si="78"/>
        <v>1.6964278863853433</v>
      </c>
      <c r="L2059" s="35"/>
    </row>
    <row r="2060" spans="1:12" x14ac:dyDescent="0.3">
      <c r="A2060" s="19">
        <f>COUNTIFS($B$2:B2060,B2060)</f>
        <v>1</v>
      </c>
      <c r="B2060" s="20" t="s">
        <v>464</v>
      </c>
      <c r="C2060" s="21">
        <v>20060368076807</v>
      </c>
      <c r="D2060" s="20" t="s">
        <v>598</v>
      </c>
      <c r="E2060" s="22">
        <v>46.666666666666664</v>
      </c>
      <c r="F2060" s="9"/>
      <c r="G2060" s="14" t="str">
        <f t="shared" si="79"/>
        <v>O</v>
      </c>
      <c r="H2060" s="15">
        <f t="shared" si="78"/>
        <v>23.333333333333332</v>
      </c>
      <c r="L2060" s="35"/>
    </row>
    <row r="2061" spans="1:12" x14ac:dyDescent="0.3">
      <c r="A2061" s="19">
        <f>COUNTIFS($B$2:B2061,B2061)</f>
        <v>2</v>
      </c>
      <c r="B2061" s="20" t="s">
        <v>464</v>
      </c>
      <c r="C2061" s="21">
        <v>20060368076807</v>
      </c>
      <c r="D2061" s="20" t="s">
        <v>159</v>
      </c>
      <c r="E2061" s="22">
        <v>15.312499999999996</v>
      </c>
      <c r="F2061" s="9"/>
      <c r="G2061" s="14" t="str">
        <f t="shared" si="79"/>
        <v>O</v>
      </c>
      <c r="H2061" s="15">
        <f t="shared" si="78"/>
        <v>7.6562499999999982</v>
      </c>
      <c r="I2061" s="50"/>
      <c r="L2061" s="35"/>
    </row>
    <row r="2062" spans="1:12" x14ac:dyDescent="0.3">
      <c r="A2062" s="19">
        <f>COUNTIFS($B$2:B2062,B2062)</f>
        <v>3</v>
      </c>
      <c r="B2062" s="20" t="s">
        <v>464</v>
      </c>
      <c r="C2062" s="21">
        <v>20060368076807</v>
      </c>
      <c r="D2062" s="20" t="s">
        <v>116</v>
      </c>
      <c r="E2062" s="22">
        <v>7.2916666666666661</v>
      </c>
      <c r="F2062" s="9"/>
      <c r="G2062" s="14" t="str">
        <f t="shared" si="79"/>
        <v>O</v>
      </c>
      <c r="H2062" s="15">
        <f t="shared" si="78"/>
        <v>3.645833333333333</v>
      </c>
      <c r="I2062" s="50"/>
      <c r="L2062" s="35"/>
    </row>
    <row r="2063" spans="1:12" x14ac:dyDescent="0.3">
      <c r="A2063" s="19">
        <f>COUNTIFS($B$2:B2063,B2063)</f>
        <v>4</v>
      </c>
      <c r="B2063" s="20" t="s">
        <v>464</v>
      </c>
      <c r="C2063" s="21">
        <v>20060368076807</v>
      </c>
      <c r="D2063" s="20" t="s">
        <v>54</v>
      </c>
      <c r="E2063" s="22">
        <v>5.833333333333333</v>
      </c>
      <c r="F2063" s="9"/>
      <c r="G2063" s="14" t="str">
        <f t="shared" si="79"/>
        <v>O</v>
      </c>
      <c r="H2063" s="15">
        <f t="shared" si="78"/>
        <v>2.9166666666666665</v>
      </c>
      <c r="I2063" s="50"/>
      <c r="L2063" s="35"/>
    </row>
    <row r="2064" spans="1:12" x14ac:dyDescent="0.3">
      <c r="A2064" s="19">
        <f>COUNTIFS($B$2:B2064,B2064)</f>
        <v>5</v>
      </c>
      <c r="B2064" s="20" t="s">
        <v>464</v>
      </c>
      <c r="C2064" s="21">
        <v>20060368076807</v>
      </c>
      <c r="D2064" s="20" t="s">
        <v>531</v>
      </c>
      <c r="E2064" s="22">
        <v>21.145833333333332</v>
      </c>
      <c r="F2064" s="9"/>
      <c r="G2064" s="14" t="str">
        <f t="shared" si="79"/>
        <v>O</v>
      </c>
      <c r="H2064" s="15">
        <f t="shared" si="78"/>
        <v>10.572916666666666</v>
      </c>
      <c r="I2064" s="50"/>
      <c r="L2064" s="35"/>
    </row>
    <row r="2065" spans="1:12" x14ac:dyDescent="0.3">
      <c r="A2065" s="19">
        <f>COUNTIFS($B$2:B2065,B2065)</f>
        <v>6</v>
      </c>
      <c r="B2065" s="20" t="s">
        <v>464</v>
      </c>
      <c r="C2065" s="21">
        <v>20060368076807</v>
      </c>
      <c r="D2065" s="20" t="s">
        <v>600</v>
      </c>
      <c r="E2065" s="22">
        <v>0.72916666666666663</v>
      </c>
      <c r="F2065" s="9"/>
      <c r="G2065" s="14" t="str">
        <f t="shared" si="79"/>
        <v>O</v>
      </c>
      <c r="H2065" s="15">
        <f t="shared" si="78"/>
        <v>0.36458333333333331</v>
      </c>
      <c r="I2065" s="50"/>
      <c r="L2065" s="35"/>
    </row>
    <row r="2066" spans="1:12" x14ac:dyDescent="0.3">
      <c r="A2066" s="19">
        <f>COUNTIFS($B$2:B2066,B2066)</f>
        <v>7</v>
      </c>
      <c r="B2066" s="20" t="s">
        <v>464</v>
      </c>
      <c r="C2066" s="21">
        <v>20060368076807</v>
      </c>
      <c r="D2066" s="20" t="s">
        <v>599</v>
      </c>
      <c r="E2066" s="22">
        <v>2.9166666666666665</v>
      </c>
      <c r="F2066" s="9"/>
      <c r="G2066" s="14" t="str">
        <f t="shared" si="79"/>
        <v>O</v>
      </c>
      <c r="H2066" s="15">
        <f t="shared" si="78"/>
        <v>1.4583333333333333</v>
      </c>
      <c r="I2066" s="50"/>
      <c r="L2066" s="35"/>
    </row>
    <row r="2067" spans="1:12" x14ac:dyDescent="0.3">
      <c r="A2067" s="19">
        <f>COUNTIFS($B$2:B2067,B2067)</f>
        <v>8</v>
      </c>
      <c r="B2067" s="20" t="s">
        <v>464</v>
      </c>
      <c r="C2067" s="21">
        <v>20060368076807</v>
      </c>
      <c r="D2067" s="20" t="s">
        <v>66</v>
      </c>
      <c r="E2067" s="22">
        <v>5.1041666666666661</v>
      </c>
      <c r="F2067" s="9"/>
      <c r="G2067" s="14" t="str">
        <f t="shared" si="79"/>
        <v>O</v>
      </c>
      <c r="H2067" s="15">
        <f t="shared" si="78"/>
        <v>2.552083333333333</v>
      </c>
      <c r="I2067" s="50"/>
      <c r="L2067" s="35"/>
    </row>
    <row r="2068" spans="1:12" x14ac:dyDescent="0.3">
      <c r="A2068" s="19">
        <f>COUNTIFS($B$2:B2068,B2068)</f>
        <v>9</v>
      </c>
      <c r="B2068" s="20" t="s">
        <v>464</v>
      </c>
      <c r="C2068" s="21">
        <v>20060368076807</v>
      </c>
      <c r="D2068" s="20" t="s">
        <v>531</v>
      </c>
      <c r="E2068" s="22">
        <v>19.230740740740742</v>
      </c>
      <c r="F2068" s="9"/>
      <c r="G2068" s="14" t="str">
        <f t="shared" si="79"/>
        <v>O</v>
      </c>
      <c r="H2068" s="15">
        <f t="shared" si="78"/>
        <v>9.6153703703703712</v>
      </c>
      <c r="I2068" s="62"/>
      <c r="L2068" s="35"/>
    </row>
    <row r="2069" spans="1:12" x14ac:dyDescent="0.3">
      <c r="A2069" s="19">
        <f>COUNTIFS($B$2:B2069,B2069)</f>
        <v>10</v>
      </c>
      <c r="B2069" s="20" t="s">
        <v>464</v>
      </c>
      <c r="C2069" s="21">
        <v>20060368076807</v>
      </c>
      <c r="D2069" s="20" t="s">
        <v>21</v>
      </c>
      <c r="E2069" s="22">
        <v>26.922962962962959</v>
      </c>
      <c r="F2069" s="9"/>
      <c r="G2069" s="14" t="str">
        <f t="shared" si="79"/>
        <v>O</v>
      </c>
      <c r="H2069" s="15">
        <f t="shared" si="78"/>
        <v>13.46148148148148</v>
      </c>
      <c r="I2069" s="62"/>
      <c r="L2069" s="35"/>
    </row>
    <row r="2070" spans="1:12" x14ac:dyDescent="0.3">
      <c r="A2070" s="19">
        <f>COUNTIFS($B$2:B2070,B2070)</f>
        <v>11</v>
      </c>
      <c r="B2070" s="20" t="s">
        <v>464</v>
      </c>
      <c r="C2070" s="21">
        <v>20060368076807</v>
      </c>
      <c r="D2070" s="20" t="s">
        <v>66</v>
      </c>
      <c r="E2070" s="22">
        <v>3.8462962962962957</v>
      </c>
      <c r="F2070" s="9"/>
      <c r="G2070" s="14" t="str">
        <f t="shared" si="79"/>
        <v>O</v>
      </c>
      <c r="H2070" s="15">
        <f t="shared" si="78"/>
        <v>1.9231481481481478</v>
      </c>
      <c r="I2070" s="62"/>
      <c r="L2070" s="35"/>
    </row>
    <row r="2071" spans="1:12" x14ac:dyDescent="0.3">
      <c r="A2071" s="31">
        <f>COUNTIFS($B$2:B2071,B2071)</f>
        <v>1</v>
      </c>
      <c r="B2071" s="26" t="s">
        <v>466</v>
      </c>
      <c r="C2071" s="27">
        <v>20060368076811</v>
      </c>
      <c r="D2071" s="26" t="s">
        <v>149</v>
      </c>
      <c r="E2071" s="28">
        <v>148.95964691046657</v>
      </c>
      <c r="F2071" s="9"/>
      <c r="G2071" s="14" t="str">
        <f t="shared" si="79"/>
        <v>O</v>
      </c>
      <c r="H2071" s="15">
        <f t="shared" si="78"/>
        <v>74.479823455233287</v>
      </c>
      <c r="I2071" s="62"/>
      <c r="L2071" s="35"/>
    </row>
    <row r="2072" spans="1:12" x14ac:dyDescent="0.3">
      <c r="A2072" s="31">
        <f>COUNTIFS($B$2:B2072,B2072)</f>
        <v>2</v>
      </c>
      <c r="B2072" s="26" t="s">
        <v>466</v>
      </c>
      <c r="C2072" s="27">
        <v>20060368076811</v>
      </c>
      <c r="D2072" s="26" t="s">
        <v>418</v>
      </c>
      <c r="E2072" s="28">
        <v>3.3102143757881457</v>
      </c>
      <c r="F2072" s="9"/>
      <c r="G2072" s="14" t="str">
        <f t="shared" si="79"/>
        <v>O</v>
      </c>
      <c r="H2072" s="15">
        <f t="shared" si="78"/>
        <v>1.6551071878940729</v>
      </c>
      <c r="I2072" s="62"/>
      <c r="L2072" s="35"/>
    </row>
    <row r="2073" spans="1:12" x14ac:dyDescent="0.3">
      <c r="A2073" s="31">
        <f>COUNTIFS($B$2:B2073,B2073)</f>
        <v>3</v>
      </c>
      <c r="B2073" s="26" t="s">
        <v>466</v>
      </c>
      <c r="C2073" s="27">
        <v>20060368076811</v>
      </c>
      <c r="D2073" s="26" t="s">
        <v>489</v>
      </c>
      <c r="E2073" s="28">
        <v>4.9653215636822186</v>
      </c>
      <c r="F2073" s="9"/>
      <c r="G2073" s="14" t="str">
        <f t="shared" si="79"/>
        <v>O</v>
      </c>
      <c r="H2073" s="15">
        <f t="shared" si="78"/>
        <v>2.4826607818411093</v>
      </c>
      <c r="I2073" s="62"/>
      <c r="L2073" s="35"/>
    </row>
    <row r="2074" spans="1:12" x14ac:dyDescent="0.3">
      <c r="A2074" s="31">
        <f>COUNTIFS($B$2:B2074,B2074)</f>
        <v>4</v>
      </c>
      <c r="B2074" s="26" t="s">
        <v>466</v>
      </c>
      <c r="C2074" s="27">
        <v>20060368076811</v>
      </c>
      <c r="D2074" s="26" t="s">
        <v>495</v>
      </c>
      <c r="E2074" s="28">
        <v>57.928751576292555</v>
      </c>
      <c r="F2074" s="9"/>
      <c r="G2074" s="14" t="str">
        <f t="shared" si="79"/>
        <v>O</v>
      </c>
      <c r="H2074" s="15">
        <f t="shared" si="78"/>
        <v>28.964375788146278</v>
      </c>
      <c r="I2074" s="62"/>
      <c r="L2074" s="35"/>
    </row>
    <row r="2075" spans="1:12" x14ac:dyDescent="0.3">
      <c r="A2075" s="31">
        <f>COUNTIFS($B$2:B2075,B2075)</f>
        <v>5</v>
      </c>
      <c r="B2075" s="26" t="s">
        <v>466</v>
      </c>
      <c r="C2075" s="27">
        <v>20060368076811</v>
      </c>
      <c r="D2075" s="26" t="s">
        <v>528</v>
      </c>
      <c r="E2075" s="28">
        <v>57.928751576292555</v>
      </c>
      <c r="F2075" s="9"/>
      <c r="G2075" s="14" t="str">
        <f t="shared" si="79"/>
        <v>O</v>
      </c>
      <c r="H2075" s="15">
        <f t="shared" si="78"/>
        <v>28.964375788146278</v>
      </c>
      <c r="I2075" s="62"/>
      <c r="L2075" s="35"/>
    </row>
    <row r="2076" spans="1:12" x14ac:dyDescent="0.3">
      <c r="A2076" s="31">
        <f>COUNTIFS($B$2:B2076,B2076)</f>
        <v>6</v>
      </c>
      <c r="B2076" s="26" t="s">
        <v>466</v>
      </c>
      <c r="C2076" s="27">
        <v>20060368076811</v>
      </c>
      <c r="D2076" s="26" t="s">
        <v>424</v>
      </c>
      <c r="E2076" s="28">
        <v>3.3102143757881457</v>
      </c>
      <c r="F2076" s="9"/>
      <c r="G2076" s="14" t="str">
        <f t="shared" si="79"/>
        <v>O</v>
      </c>
      <c r="H2076" s="15">
        <f t="shared" si="78"/>
        <v>1.6551071878940729</v>
      </c>
      <c r="I2076" s="62"/>
      <c r="L2076" s="35"/>
    </row>
    <row r="2077" spans="1:12" x14ac:dyDescent="0.3">
      <c r="A2077" s="31">
        <f>COUNTIFS($B$2:B2077,B2077)</f>
        <v>7</v>
      </c>
      <c r="B2077" s="26" t="s">
        <v>466</v>
      </c>
      <c r="C2077" s="27">
        <v>20060368076811</v>
      </c>
      <c r="D2077" s="26" t="s">
        <v>624</v>
      </c>
      <c r="E2077" s="28">
        <v>49.653215636822196</v>
      </c>
      <c r="F2077" s="9"/>
      <c r="G2077" s="14" t="str">
        <f t="shared" si="79"/>
        <v>O</v>
      </c>
      <c r="H2077" s="15">
        <f t="shared" si="78"/>
        <v>24.826607818411098</v>
      </c>
      <c r="I2077" s="62"/>
      <c r="L2077" s="35"/>
    </row>
    <row r="2078" spans="1:12" x14ac:dyDescent="0.3">
      <c r="A2078" s="31">
        <f>COUNTIFS($B$2:B2078,B2078)</f>
        <v>8</v>
      </c>
      <c r="B2078" s="26" t="s">
        <v>466</v>
      </c>
      <c r="C2078" s="27">
        <v>20060368076811</v>
      </c>
      <c r="D2078" s="26" t="s">
        <v>625</v>
      </c>
      <c r="E2078" s="28">
        <v>41.37767969735183</v>
      </c>
      <c r="F2078" s="9"/>
      <c r="G2078" s="14" t="str">
        <f t="shared" si="79"/>
        <v>O</v>
      </c>
      <c r="H2078" s="15">
        <f t="shared" si="78"/>
        <v>20.688839848675915</v>
      </c>
      <c r="I2078" s="62"/>
      <c r="L2078" s="35"/>
    </row>
    <row r="2079" spans="1:12" x14ac:dyDescent="0.3">
      <c r="A2079" s="31">
        <f>COUNTIFS($B$2:B2079,B2079)</f>
        <v>9</v>
      </c>
      <c r="B2079" s="26" t="s">
        <v>466</v>
      </c>
      <c r="C2079" s="27">
        <v>20060368076811</v>
      </c>
      <c r="D2079" s="26" t="s">
        <v>518</v>
      </c>
      <c r="E2079" s="28">
        <v>19.861286254728874</v>
      </c>
      <c r="F2079" s="9"/>
      <c r="G2079" s="14" t="str">
        <f t="shared" si="79"/>
        <v>O</v>
      </c>
      <c r="H2079" s="15">
        <f t="shared" si="78"/>
        <v>9.9306431273644371</v>
      </c>
      <c r="I2079" s="62"/>
      <c r="L2079" s="35"/>
    </row>
    <row r="2080" spans="1:12" x14ac:dyDescent="0.3">
      <c r="A2080" s="31">
        <f>COUNTIFS($B$2:B2080,B2080)</f>
        <v>10</v>
      </c>
      <c r="B2080" s="26" t="s">
        <v>466</v>
      </c>
      <c r="C2080" s="27">
        <v>20060368076811</v>
      </c>
      <c r="D2080" s="26" t="s">
        <v>488</v>
      </c>
      <c r="E2080" s="28">
        <v>16.551071878940732</v>
      </c>
      <c r="F2080" s="9"/>
      <c r="G2080" s="14" t="str">
        <f t="shared" si="79"/>
        <v>O</v>
      </c>
      <c r="H2080" s="15">
        <f t="shared" si="78"/>
        <v>8.275535939470366</v>
      </c>
      <c r="I2080" s="62"/>
      <c r="L2080" s="35"/>
    </row>
    <row r="2081" spans="1:12" x14ac:dyDescent="0.3">
      <c r="A2081" s="38">
        <f>COUNTIFS($B$2:B2081,B2081)</f>
        <v>1</v>
      </c>
      <c r="B2081" s="39" t="s">
        <v>468</v>
      </c>
      <c r="C2081" s="40">
        <v>20060368076812</v>
      </c>
      <c r="D2081" s="39" t="s">
        <v>149</v>
      </c>
      <c r="E2081" s="41">
        <v>138.19830359754314</v>
      </c>
      <c r="F2081" s="9"/>
      <c r="G2081" s="14" t="str">
        <f t="shared" si="79"/>
        <v>O</v>
      </c>
      <c r="H2081" s="15">
        <f t="shared" si="78"/>
        <v>69.099151798771572</v>
      </c>
      <c r="L2081" s="35"/>
    </row>
    <row r="2082" spans="1:12" x14ac:dyDescent="0.3">
      <c r="A2082" s="38">
        <f>COUNTIFS($B$2:B2082,B2082)</f>
        <v>2</v>
      </c>
      <c r="B2082" s="39" t="s">
        <v>468</v>
      </c>
      <c r="C2082" s="40">
        <v>20060368076812</v>
      </c>
      <c r="D2082" s="39" t="s">
        <v>418</v>
      </c>
      <c r="E2082" s="41">
        <v>3.0710734132787367</v>
      </c>
      <c r="F2082" s="9"/>
      <c r="G2082" s="14" t="str">
        <f t="shared" si="79"/>
        <v>O</v>
      </c>
      <c r="H2082" s="15">
        <f t="shared" si="78"/>
        <v>1.5355367066393684</v>
      </c>
      <c r="L2082" s="35"/>
    </row>
    <row r="2083" spans="1:12" x14ac:dyDescent="0.3">
      <c r="A2083" s="38">
        <f>COUNTIFS($B$2:B2083,B2083)</f>
        <v>3</v>
      </c>
      <c r="B2083" s="39" t="s">
        <v>468</v>
      </c>
      <c r="C2083" s="40">
        <v>20060368076812</v>
      </c>
      <c r="D2083" s="39" t="s">
        <v>489</v>
      </c>
      <c r="E2083" s="41">
        <v>4.6066101199181047</v>
      </c>
      <c r="F2083" s="9"/>
      <c r="G2083" s="14" t="str">
        <f t="shared" si="79"/>
        <v>O</v>
      </c>
      <c r="H2083" s="15">
        <f t="shared" si="78"/>
        <v>2.3033050599590523</v>
      </c>
      <c r="L2083" s="35"/>
    </row>
    <row r="2084" spans="1:12" x14ac:dyDescent="0.3">
      <c r="A2084" s="38">
        <f>COUNTIFS($B$2:B2084,B2084)</f>
        <v>4</v>
      </c>
      <c r="B2084" s="39" t="s">
        <v>468</v>
      </c>
      <c r="C2084" s="40">
        <v>20060368076812</v>
      </c>
      <c r="D2084" s="39" t="s">
        <v>62</v>
      </c>
      <c r="E2084" s="41">
        <v>15.355367066393683</v>
      </c>
      <c r="F2084" s="9"/>
      <c r="G2084" s="14" t="str">
        <f t="shared" si="79"/>
        <v>O</v>
      </c>
      <c r="H2084" s="15">
        <f t="shared" si="78"/>
        <v>7.6776835331968414</v>
      </c>
      <c r="L2084" s="35"/>
    </row>
    <row r="2085" spans="1:12" x14ac:dyDescent="0.3">
      <c r="A2085" s="38">
        <f>COUNTIFS($B$2:B2085,B2085)</f>
        <v>5</v>
      </c>
      <c r="B2085" s="39" t="s">
        <v>468</v>
      </c>
      <c r="C2085" s="40">
        <v>20060368076812</v>
      </c>
      <c r="D2085" s="39" t="s">
        <v>50</v>
      </c>
      <c r="E2085" s="41">
        <v>15.355367066393683</v>
      </c>
      <c r="F2085" s="9"/>
      <c r="G2085" s="14" t="str">
        <f t="shared" si="79"/>
        <v>O</v>
      </c>
      <c r="H2085" s="15">
        <f t="shared" si="78"/>
        <v>7.6776835331968414</v>
      </c>
      <c r="L2085" s="35"/>
    </row>
    <row r="2086" spans="1:12" x14ac:dyDescent="0.3">
      <c r="A2086" s="38">
        <f>COUNTIFS($B$2:B2086,B2086)</f>
        <v>6</v>
      </c>
      <c r="B2086" s="39" t="s">
        <v>468</v>
      </c>
      <c r="C2086" s="40">
        <v>20060368076812</v>
      </c>
      <c r="D2086" s="39" t="s">
        <v>537</v>
      </c>
      <c r="E2086" s="41">
        <v>10.748756946475577</v>
      </c>
      <c r="F2086" s="9"/>
      <c r="G2086" s="14" t="str">
        <f t="shared" si="79"/>
        <v>O</v>
      </c>
      <c r="H2086" s="15">
        <f t="shared" si="78"/>
        <v>5.3743784732377886</v>
      </c>
      <c r="L2086" s="35"/>
    </row>
    <row r="2087" spans="1:12" x14ac:dyDescent="0.3">
      <c r="A2087" s="38">
        <f>COUNTIFS($B$2:B2087,B2087)</f>
        <v>7</v>
      </c>
      <c r="B2087" s="39" t="s">
        <v>468</v>
      </c>
      <c r="C2087" s="40">
        <v>20060368076812</v>
      </c>
      <c r="D2087" s="39" t="s">
        <v>495</v>
      </c>
      <c r="E2087" s="41">
        <v>53.74378473237789</v>
      </c>
      <c r="F2087" s="9"/>
      <c r="G2087" s="14" t="str">
        <f t="shared" si="79"/>
        <v>O</v>
      </c>
      <c r="H2087" s="15">
        <f t="shared" si="78"/>
        <v>26.871892366188945</v>
      </c>
      <c r="L2087" s="35"/>
    </row>
    <row r="2088" spans="1:12" x14ac:dyDescent="0.3">
      <c r="A2088" s="38">
        <f>COUNTIFS($B$2:B2088,B2088)</f>
        <v>8</v>
      </c>
      <c r="B2088" s="39" t="s">
        <v>468</v>
      </c>
      <c r="C2088" s="40">
        <v>20060368076812</v>
      </c>
      <c r="D2088" s="39" t="s">
        <v>528</v>
      </c>
      <c r="E2088" s="41">
        <v>41.459491079262946</v>
      </c>
      <c r="F2088" s="9"/>
      <c r="G2088" s="14" t="str">
        <f t="shared" si="79"/>
        <v>O</v>
      </c>
      <c r="H2088" s="15">
        <f t="shared" si="78"/>
        <v>20.729745539631473</v>
      </c>
      <c r="L2088" s="35"/>
    </row>
    <row r="2089" spans="1:12" x14ac:dyDescent="0.3">
      <c r="A2089" s="38">
        <f>COUNTIFS($B$2:B2089,B2089)</f>
        <v>9</v>
      </c>
      <c r="B2089" s="39" t="s">
        <v>468</v>
      </c>
      <c r="C2089" s="40">
        <v>20060368076812</v>
      </c>
      <c r="D2089" s="39" t="s">
        <v>424</v>
      </c>
      <c r="E2089" s="41">
        <v>3.0710734132787367</v>
      </c>
      <c r="F2089" s="9"/>
      <c r="G2089" s="14" t="str">
        <f t="shared" si="79"/>
        <v>O</v>
      </c>
      <c r="H2089" s="15">
        <f t="shared" si="78"/>
        <v>1.5355367066393684</v>
      </c>
      <c r="L2089" s="35"/>
    </row>
    <row r="2090" spans="1:12" x14ac:dyDescent="0.3">
      <c r="A2090" s="38">
        <f>COUNTIFS($B$2:B2090,B2090)</f>
        <v>10</v>
      </c>
      <c r="B2090" s="39" t="s">
        <v>468</v>
      </c>
      <c r="C2090" s="40">
        <v>20060368076812</v>
      </c>
      <c r="D2090" s="39" t="s">
        <v>147</v>
      </c>
      <c r="E2090" s="41">
        <v>46.066101199181048</v>
      </c>
      <c r="F2090" s="9"/>
      <c r="G2090" s="14" t="str">
        <f t="shared" si="79"/>
        <v>O</v>
      </c>
      <c r="H2090" s="15">
        <f t="shared" si="78"/>
        <v>23.033050599590524</v>
      </c>
      <c r="L2090" s="35"/>
    </row>
    <row r="2091" spans="1:12" x14ac:dyDescent="0.3">
      <c r="A2091" s="38">
        <f>COUNTIFS($B$2:B2091,B2091)</f>
        <v>11</v>
      </c>
      <c r="B2091" s="39" t="s">
        <v>468</v>
      </c>
      <c r="C2091" s="40">
        <v>20060368076812</v>
      </c>
      <c r="D2091" s="39" t="s">
        <v>625</v>
      </c>
      <c r="E2091" s="41">
        <v>38.388417665984207</v>
      </c>
      <c r="F2091" s="9"/>
      <c r="G2091" s="14" t="str">
        <f t="shared" si="79"/>
        <v>O</v>
      </c>
      <c r="H2091" s="15">
        <f t="shared" si="78"/>
        <v>19.194208832992103</v>
      </c>
      <c r="L2091" s="35"/>
    </row>
    <row r="2092" spans="1:12" x14ac:dyDescent="0.3">
      <c r="A2092" s="38">
        <f>COUNTIFS($B$2:B2092,B2092)</f>
        <v>12</v>
      </c>
      <c r="B2092" s="39" t="s">
        <v>468</v>
      </c>
      <c r="C2092" s="40">
        <v>20060368076812</v>
      </c>
      <c r="D2092" s="39" t="s">
        <v>518</v>
      </c>
      <c r="E2092" s="41">
        <v>18.426440479672419</v>
      </c>
      <c r="F2092" s="9"/>
      <c r="G2092" s="14" t="str">
        <f t="shared" si="79"/>
        <v>O</v>
      </c>
      <c r="H2092" s="15">
        <f t="shared" si="78"/>
        <v>9.2132202398362093</v>
      </c>
      <c r="L2092" s="35"/>
    </row>
    <row r="2093" spans="1:12" x14ac:dyDescent="0.3">
      <c r="A2093" s="38">
        <f>COUNTIFS($B$2:B2093,B2093)</f>
        <v>13</v>
      </c>
      <c r="B2093" s="39" t="s">
        <v>468</v>
      </c>
      <c r="C2093" s="40">
        <v>20060368076812</v>
      </c>
      <c r="D2093" s="39" t="s">
        <v>488</v>
      </c>
      <c r="E2093" s="41">
        <v>15.355367066393683</v>
      </c>
      <c r="F2093" s="9"/>
      <c r="G2093" s="14" t="str">
        <f t="shared" si="79"/>
        <v>O</v>
      </c>
      <c r="H2093" s="15">
        <f t="shared" si="78"/>
        <v>7.6776835331968414</v>
      </c>
      <c r="L2093" s="35"/>
    </row>
    <row r="2094" spans="1:12" x14ac:dyDescent="0.3">
      <c r="A2094" s="31">
        <f>COUNTIFS($B$2:B2094,B2094)</f>
        <v>1</v>
      </c>
      <c r="B2094" s="26" t="s">
        <v>470</v>
      </c>
      <c r="C2094" s="27">
        <v>20060368076813</v>
      </c>
      <c r="D2094" s="26" t="s">
        <v>463</v>
      </c>
      <c r="E2094" s="28">
        <v>153.07816138661832</v>
      </c>
      <c r="F2094" s="9"/>
      <c r="G2094" s="14" t="str">
        <f t="shared" si="79"/>
        <v>O</v>
      </c>
      <c r="H2094" s="15">
        <f t="shared" si="78"/>
        <v>76.53908069330916</v>
      </c>
      <c r="L2094" s="35"/>
    </row>
    <row r="2095" spans="1:12" x14ac:dyDescent="0.3">
      <c r="A2095" s="31">
        <f>COUNTIFS($B$2:B2095,B2095)</f>
        <v>2</v>
      </c>
      <c r="B2095" s="26" t="s">
        <v>470</v>
      </c>
      <c r="C2095" s="27">
        <v>20060368076813</v>
      </c>
      <c r="D2095" s="26" t="s">
        <v>553</v>
      </c>
      <c r="E2095" s="28">
        <v>65.604926308550702</v>
      </c>
      <c r="F2095" s="9"/>
      <c r="G2095" s="14" t="str">
        <f t="shared" si="79"/>
        <v>O</v>
      </c>
      <c r="H2095" s="15">
        <f t="shared" si="78"/>
        <v>32.802463154275351</v>
      </c>
      <c r="L2095" s="35"/>
    </row>
    <row r="2096" spans="1:12" x14ac:dyDescent="0.3">
      <c r="A2096" s="31">
        <f>COUNTIFS($B$2:B2096,B2096)</f>
        <v>3</v>
      </c>
      <c r="B2096" s="26" t="s">
        <v>470</v>
      </c>
      <c r="C2096" s="27">
        <v>20060368076813</v>
      </c>
      <c r="D2096" s="26" t="s">
        <v>418</v>
      </c>
      <c r="E2096" s="28">
        <v>3.5278120750824442</v>
      </c>
      <c r="F2096" s="9"/>
      <c r="G2096" s="14" t="str">
        <f t="shared" si="79"/>
        <v>O</v>
      </c>
      <c r="H2096" s="15">
        <f t="shared" si="78"/>
        <v>1.7639060375412221</v>
      </c>
      <c r="L2096" s="35"/>
    </row>
    <row r="2097" spans="1:12" x14ac:dyDescent="0.3">
      <c r="A2097" s="31">
        <f>COUNTIFS($B$2:B2097,B2097)</f>
        <v>4</v>
      </c>
      <c r="B2097" s="26" t="s">
        <v>470</v>
      </c>
      <c r="C2097" s="27">
        <v>20060368076813</v>
      </c>
      <c r="D2097" s="26" t="s">
        <v>164</v>
      </c>
      <c r="E2097" s="28">
        <v>2.4068893299782759</v>
      </c>
      <c r="F2097" s="9"/>
      <c r="G2097" s="14" t="str">
        <f t="shared" si="79"/>
        <v>O</v>
      </c>
      <c r="H2097" s="15">
        <f t="shared" si="78"/>
        <v>1.2034446649891379</v>
      </c>
      <c r="L2097" s="35"/>
    </row>
    <row r="2098" spans="1:12" x14ac:dyDescent="0.3">
      <c r="A2098" s="31">
        <f>COUNTIFS($B$2:B2098,B2098)</f>
        <v>5</v>
      </c>
      <c r="B2098" s="26" t="s">
        <v>470</v>
      </c>
      <c r="C2098" s="27">
        <v>20060368076813</v>
      </c>
      <c r="D2098" s="26" t="s">
        <v>535</v>
      </c>
      <c r="E2098" s="28">
        <v>21.868308769516904</v>
      </c>
      <c r="F2098" s="9"/>
      <c r="G2098" s="14" t="str">
        <f t="shared" si="79"/>
        <v>O</v>
      </c>
      <c r="H2098" s="15">
        <f t="shared" si="78"/>
        <v>10.934154384758452</v>
      </c>
      <c r="L2098" s="35"/>
    </row>
    <row r="2099" spans="1:12" x14ac:dyDescent="0.3">
      <c r="A2099" s="31">
        <f>COUNTIFS($B$2:B2099,B2099)</f>
        <v>6</v>
      </c>
      <c r="B2099" s="26" t="s">
        <v>470</v>
      </c>
      <c r="C2099" s="27">
        <v>20060368076813</v>
      </c>
      <c r="D2099" s="26" t="s">
        <v>588</v>
      </c>
      <c r="E2099" s="28">
        <v>54.670771923792259</v>
      </c>
      <c r="F2099" s="9"/>
      <c r="G2099" s="14" t="str">
        <f t="shared" si="79"/>
        <v>O</v>
      </c>
      <c r="H2099" s="15">
        <f t="shared" si="78"/>
        <v>27.335385961896129</v>
      </c>
      <c r="L2099" s="35"/>
    </row>
    <row r="2100" spans="1:12" x14ac:dyDescent="0.3">
      <c r="A2100" s="31">
        <f>COUNTIFS($B$2:B2100,B2100)</f>
        <v>7</v>
      </c>
      <c r="B2100" s="26" t="s">
        <v>470</v>
      </c>
      <c r="C2100" s="27">
        <v>20060368076813</v>
      </c>
      <c r="D2100" s="26" t="s">
        <v>114</v>
      </c>
      <c r="E2100" s="28">
        <v>136.64254567619525</v>
      </c>
      <c r="F2100" s="9"/>
      <c r="G2100" s="14" t="str">
        <f t="shared" si="79"/>
        <v>O</v>
      </c>
      <c r="H2100" s="15">
        <f t="shared" si="78"/>
        <v>68.321272838097627</v>
      </c>
      <c r="L2100" s="35"/>
    </row>
    <row r="2101" spans="1:12" x14ac:dyDescent="0.3">
      <c r="A2101" s="31">
        <f>COUNTIFS($B$2:B2101,B2101)</f>
        <v>8</v>
      </c>
      <c r="B2101" s="26" t="s">
        <v>470</v>
      </c>
      <c r="C2101" s="27">
        <v>20060368076813</v>
      </c>
      <c r="D2101" s="26" t="s">
        <v>218</v>
      </c>
      <c r="E2101" s="28">
        <v>2.2005845302658522</v>
      </c>
      <c r="F2101" s="9"/>
      <c r="G2101" s="14" t="str">
        <f t="shared" si="79"/>
        <v>O</v>
      </c>
      <c r="H2101" s="15">
        <f t="shared" ref="H2101:H2164" si="80">E2101/2</f>
        <v>1.1002922651329261</v>
      </c>
      <c r="L2101" s="35"/>
    </row>
    <row r="2102" spans="1:12" x14ac:dyDescent="0.3">
      <c r="A2102" s="31">
        <f>COUNTIFS($B$2:B2102,B2102)</f>
        <v>9</v>
      </c>
      <c r="B2102" s="26" t="s">
        <v>470</v>
      </c>
      <c r="C2102" s="27">
        <v>20060368076813</v>
      </c>
      <c r="D2102" s="26" t="s">
        <v>295</v>
      </c>
      <c r="E2102" s="28">
        <v>2.6241970523420283E-2</v>
      </c>
      <c r="F2102" s="9"/>
      <c r="G2102" s="14" t="str">
        <f t="shared" si="79"/>
        <v>O</v>
      </c>
      <c r="H2102" s="15">
        <f t="shared" si="80"/>
        <v>1.3120985261710141E-2</v>
      </c>
      <c r="L2102" s="35"/>
    </row>
    <row r="2103" spans="1:12" x14ac:dyDescent="0.3">
      <c r="A2103" s="38">
        <f>COUNTIFS($B$2:B2103,B2103)</f>
        <v>1</v>
      </c>
      <c r="B2103" s="39" t="s">
        <v>472</v>
      </c>
      <c r="C2103" s="40">
        <v>20060368076814</v>
      </c>
      <c r="D2103" s="39"/>
      <c r="E2103" s="41">
        <v>0</v>
      </c>
      <c r="F2103" s="9"/>
      <c r="G2103" s="14" t="str">
        <f t="shared" si="79"/>
        <v/>
      </c>
      <c r="H2103" s="15">
        <f t="shared" si="80"/>
        <v>0</v>
      </c>
      <c r="L2103" s="35"/>
    </row>
    <row r="2104" spans="1:12" x14ac:dyDescent="0.3">
      <c r="A2104" s="38">
        <f>COUNTIFS($B$2:B2104,B2104)</f>
        <v>2</v>
      </c>
      <c r="B2104" s="39" t="s">
        <v>472</v>
      </c>
      <c r="C2104" s="40">
        <v>20060368076814</v>
      </c>
      <c r="D2104" s="39" t="s">
        <v>463</v>
      </c>
      <c r="E2104" s="41">
        <v>223.7470167064439</v>
      </c>
      <c r="F2104" s="9"/>
      <c r="G2104" s="14" t="str">
        <f t="shared" si="79"/>
        <v>O</v>
      </c>
      <c r="H2104" s="15">
        <f t="shared" si="80"/>
        <v>111.87350835322195</v>
      </c>
      <c r="L2104" s="35"/>
    </row>
    <row r="2105" spans="1:12" x14ac:dyDescent="0.3">
      <c r="A2105" s="38">
        <f>COUNTIFS($B$2:B2105,B2105)</f>
        <v>3</v>
      </c>
      <c r="B2105" s="39" t="s">
        <v>472</v>
      </c>
      <c r="C2105" s="40">
        <v>20060368076814</v>
      </c>
      <c r="D2105" s="39" t="s">
        <v>418</v>
      </c>
      <c r="E2105" s="41">
        <v>3.6247016706443915</v>
      </c>
      <c r="F2105" s="9"/>
      <c r="G2105" s="14" t="str">
        <f t="shared" si="79"/>
        <v>O</v>
      </c>
      <c r="H2105" s="15">
        <f t="shared" si="80"/>
        <v>1.8123508353221958</v>
      </c>
      <c r="L2105" s="35"/>
    </row>
    <row r="2106" spans="1:12" x14ac:dyDescent="0.3">
      <c r="A2106" s="38">
        <f>COUNTIFS($B$2:B2106,B2106)</f>
        <v>4</v>
      </c>
      <c r="B2106" s="39" t="s">
        <v>472</v>
      </c>
      <c r="C2106" s="40">
        <v>20060368076814</v>
      </c>
      <c r="D2106" s="39" t="s">
        <v>164</v>
      </c>
      <c r="E2106" s="41">
        <v>2.2374701670644392</v>
      </c>
      <c r="F2106" s="9"/>
      <c r="G2106" s="14" t="str">
        <f t="shared" si="79"/>
        <v>O</v>
      </c>
      <c r="H2106" s="15">
        <f t="shared" si="80"/>
        <v>1.1187350835322196</v>
      </c>
      <c r="L2106" s="35"/>
    </row>
    <row r="2107" spans="1:12" x14ac:dyDescent="0.3">
      <c r="A2107" s="38">
        <f>COUNTIFS($B$2:B2107,B2107)</f>
        <v>5</v>
      </c>
      <c r="B2107" s="39" t="s">
        <v>472</v>
      </c>
      <c r="C2107" s="40">
        <v>20060368076814</v>
      </c>
      <c r="D2107" s="39" t="s">
        <v>295</v>
      </c>
      <c r="E2107" s="41">
        <v>1.789976133651551E-2</v>
      </c>
      <c r="F2107" s="9"/>
      <c r="G2107" s="14" t="str">
        <f t="shared" si="79"/>
        <v>O</v>
      </c>
      <c r="H2107" s="15">
        <f t="shared" si="80"/>
        <v>8.949880668257755E-3</v>
      </c>
      <c r="L2107" s="35"/>
    </row>
    <row r="2108" spans="1:12" x14ac:dyDescent="0.3">
      <c r="A2108" s="38">
        <f>COUNTIFS($B$2:B2108,B2108)</f>
        <v>6</v>
      </c>
      <c r="B2108" s="39" t="s">
        <v>472</v>
      </c>
      <c r="C2108" s="40">
        <v>20060368076814</v>
      </c>
      <c r="D2108" s="39" t="s">
        <v>535</v>
      </c>
      <c r="E2108" s="41">
        <v>22.374701670644392</v>
      </c>
      <c r="F2108" s="9"/>
      <c r="G2108" s="14" t="str">
        <f t="shared" si="79"/>
        <v>O</v>
      </c>
      <c r="H2108" s="15">
        <f t="shared" si="80"/>
        <v>11.187350835322196</v>
      </c>
      <c r="L2108" s="35"/>
    </row>
    <row r="2109" spans="1:12" x14ac:dyDescent="0.3">
      <c r="A2109" s="38">
        <f>COUNTIFS($B$2:B2109,B2109)</f>
        <v>7</v>
      </c>
      <c r="B2109" s="39" t="s">
        <v>472</v>
      </c>
      <c r="C2109" s="40">
        <v>20060368076814</v>
      </c>
      <c r="D2109" s="39" t="s">
        <v>588</v>
      </c>
      <c r="E2109" s="41">
        <v>55.936754176610975</v>
      </c>
      <c r="F2109" s="9"/>
      <c r="G2109" s="14" t="str">
        <f t="shared" si="79"/>
        <v>O</v>
      </c>
      <c r="H2109" s="15">
        <f t="shared" si="80"/>
        <v>27.968377088305488</v>
      </c>
      <c r="L2109" s="35"/>
    </row>
    <row r="2110" spans="1:12" x14ac:dyDescent="0.3">
      <c r="A2110" s="38">
        <f>COUNTIFS($B$2:B2110,B2110)</f>
        <v>8</v>
      </c>
      <c r="B2110" s="39" t="s">
        <v>472</v>
      </c>
      <c r="C2110" s="40">
        <v>20060368076814</v>
      </c>
      <c r="D2110" s="39" t="s">
        <v>114</v>
      </c>
      <c r="E2110" s="41">
        <v>139.84188544152747</v>
      </c>
      <c r="F2110" s="9"/>
      <c r="G2110" s="14" t="str">
        <f t="shared" si="79"/>
        <v>O</v>
      </c>
      <c r="H2110" s="15">
        <f t="shared" si="80"/>
        <v>69.920942720763733</v>
      </c>
      <c r="L2110" s="35"/>
    </row>
    <row r="2111" spans="1:12" x14ac:dyDescent="0.3">
      <c r="A2111" s="38">
        <f>COUNTIFS($B$2:B2111,B2111)</f>
        <v>9</v>
      </c>
      <c r="B2111" s="39" t="s">
        <v>472</v>
      </c>
      <c r="C2111" s="40">
        <v>20060368076814</v>
      </c>
      <c r="D2111" s="39" t="s">
        <v>424</v>
      </c>
      <c r="E2111" s="41">
        <v>2.2374701670644392</v>
      </c>
      <c r="F2111" s="9"/>
      <c r="G2111" s="14" t="str">
        <f t="shared" si="79"/>
        <v>O</v>
      </c>
      <c r="H2111" s="15">
        <f t="shared" si="80"/>
        <v>1.1187350835322196</v>
      </c>
      <c r="L2111" s="35"/>
    </row>
    <row r="2112" spans="1:12" x14ac:dyDescent="0.3">
      <c r="A2112" s="31">
        <f>COUNTIFS($B$2:B2112,B2112)</f>
        <v>1</v>
      </c>
      <c r="B2112" s="26" t="s">
        <v>631</v>
      </c>
      <c r="C2112" s="36">
        <v>20060368076959</v>
      </c>
      <c r="D2112" s="26" t="s">
        <v>82</v>
      </c>
      <c r="E2112" s="28">
        <v>128.1</v>
      </c>
      <c r="F2112" s="9"/>
      <c r="G2112" s="14" t="str">
        <f t="shared" si="79"/>
        <v>O</v>
      </c>
      <c r="H2112" s="15">
        <f t="shared" si="80"/>
        <v>64.05</v>
      </c>
      <c r="L2112" s="35"/>
    </row>
    <row r="2113" spans="1:12" x14ac:dyDescent="0.3">
      <c r="A2113" s="31">
        <f>COUNTIFS($B$2:B2113,B2113)</f>
        <v>2</v>
      </c>
      <c r="B2113" s="26" t="s">
        <v>631</v>
      </c>
      <c r="C2113" s="36">
        <v>20060368076959</v>
      </c>
      <c r="D2113" s="26" t="s">
        <v>92</v>
      </c>
      <c r="E2113" s="28">
        <v>32</v>
      </c>
      <c r="F2113" s="9"/>
      <c r="G2113" s="14" t="str">
        <f t="shared" si="79"/>
        <v>O</v>
      </c>
      <c r="H2113" s="15">
        <f t="shared" si="80"/>
        <v>16</v>
      </c>
      <c r="L2113" s="35"/>
    </row>
    <row r="2114" spans="1:12" x14ac:dyDescent="0.3">
      <c r="A2114" s="31">
        <f>COUNTIFS($B$2:B2114,B2114)</f>
        <v>3</v>
      </c>
      <c r="B2114" s="26" t="s">
        <v>631</v>
      </c>
      <c r="C2114" s="36">
        <v>20060368076959</v>
      </c>
      <c r="D2114" s="26" t="s">
        <v>424</v>
      </c>
      <c r="E2114" s="28">
        <v>1.5610497004472195</v>
      </c>
      <c r="F2114" s="9"/>
      <c r="G2114" s="14" t="str">
        <f t="shared" si="79"/>
        <v>O</v>
      </c>
      <c r="H2114" s="15">
        <f t="shared" si="80"/>
        <v>0.78052485022360973</v>
      </c>
      <c r="L2114" s="35"/>
    </row>
    <row r="2115" spans="1:12" x14ac:dyDescent="0.3">
      <c r="A2115" s="31">
        <f>COUNTIFS($B$2:B2115,B2115)</f>
        <v>4</v>
      </c>
      <c r="B2115" s="26" t="s">
        <v>631</v>
      </c>
      <c r="C2115" s="36">
        <v>20060368076959</v>
      </c>
      <c r="D2115" s="26" t="s">
        <v>418</v>
      </c>
      <c r="E2115" s="28">
        <v>1.592270694456164</v>
      </c>
      <c r="F2115" s="9"/>
      <c r="G2115" s="14" t="str">
        <f t="shared" si="79"/>
        <v>O</v>
      </c>
      <c r="H2115" s="15">
        <f t="shared" si="80"/>
        <v>0.79613534722808199</v>
      </c>
      <c r="L2115" s="35"/>
    </row>
    <row r="2116" spans="1:12" x14ac:dyDescent="0.3">
      <c r="A2116" s="31">
        <f>COUNTIFS($B$2:B2116,B2116)</f>
        <v>5</v>
      </c>
      <c r="B2116" s="26" t="s">
        <v>631</v>
      </c>
      <c r="C2116" s="36">
        <v>20060368076959</v>
      </c>
      <c r="D2116" s="26" t="s">
        <v>489</v>
      </c>
      <c r="E2116" s="28">
        <v>4.0999999999999996</v>
      </c>
      <c r="F2116" s="9"/>
      <c r="G2116" s="14" t="str">
        <f t="shared" si="79"/>
        <v>O</v>
      </c>
      <c r="H2116" s="15">
        <f t="shared" si="80"/>
        <v>2.0499999999999998</v>
      </c>
      <c r="L2116" s="35"/>
    </row>
    <row r="2117" spans="1:12" x14ac:dyDescent="0.3">
      <c r="A2117" s="31">
        <f>COUNTIFS($B$2:B2117,B2117)</f>
        <v>6</v>
      </c>
      <c r="B2117" s="26" t="s">
        <v>631</v>
      </c>
      <c r="C2117" s="36">
        <v>20060368076959</v>
      </c>
      <c r="D2117" s="26" t="s">
        <v>535</v>
      </c>
      <c r="E2117" s="28">
        <v>26.7</v>
      </c>
      <c r="F2117" s="9"/>
      <c r="G2117" s="14" t="str">
        <f t="shared" si="79"/>
        <v>O</v>
      </c>
      <c r="H2117" s="15">
        <f t="shared" si="80"/>
        <v>13.35</v>
      </c>
      <c r="L2117" s="35"/>
    </row>
    <row r="2118" spans="1:12" x14ac:dyDescent="0.3">
      <c r="A2118" s="31">
        <f>COUNTIFS($B$2:B2118,B2118)</f>
        <v>7</v>
      </c>
      <c r="B2118" s="26" t="s">
        <v>631</v>
      </c>
      <c r="C2118" s="36">
        <v>20060368076959</v>
      </c>
      <c r="D2118" s="26" t="s">
        <v>114</v>
      </c>
      <c r="E2118" s="28">
        <v>117.5</v>
      </c>
      <c r="F2118" s="9"/>
      <c r="G2118" s="14" t="str">
        <f t="shared" si="79"/>
        <v>O</v>
      </c>
      <c r="H2118" s="15">
        <f t="shared" si="80"/>
        <v>58.75</v>
      </c>
      <c r="L2118" s="35"/>
    </row>
    <row r="2119" spans="1:12" x14ac:dyDescent="0.3">
      <c r="A2119" s="31">
        <f>COUNTIFS($B$2:B2119,B2119)</f>
        <v>8</v>
      </c>
      <c r="B2119" s="26" t="s">
        <v>631</v>
      </c>
      <c r="C2119" s="36">
        <v>20060368076959</v>
      </c>
      <c r="D2119" s="26" t="s">
        <v>558</v>
      </c>
      <c r="E2119" s="28">
        <v>12.8</v>
      </c>
      <c r="F2119" s="9"/>
      <c r="G2119" s="14" t="str">
        <f t="shared" si="79"/>
        <v>O</v>
      </c>
      <c r="H2119" s="15">
        <f t="shared" si="80"/>
        <v>6.4</v>
      </c>
      <c r="L2119" s="35"/>
    </row>
    <row r="2120" spans="1:12" x14ac:dyDescent="0.3">
      <c r="A2120" s="31">
        <f>COUNTIFS($B$2:B2120,B2120)</f>
        <v>9</v>
      </c>
      <c r="B2120" s="26" t="s">
        <v>631</v>
      </c>
      <c r="C2120" s="36">
        <v>20060368076959</v>
      </c>
      <c r="D2120" s="26" t="s">
        <v>565</v>
      </c>
      <c r="E2120" s="28">
        <v>18.7</v>
      </c>
      <c r="F2120" s="9"/>
      <c r="G2120" s="14" t="str">
        <f t="shared" si="79"/>
        <v>O</v>
      </c>
      <c r="H2120" s="15">
        <f t="shared" si="80"/>
        <v>9.35</v>
      </c>
      <c r="L2120" s="35"/>
    </row>
    <row r="2121" spans="1:12" x14ac:dyDescent="0.3">
      <c r="A2121" s="31">
        <f>COUNTIFS($B$2:B2121,B2121)</f>
        <v>10</v>
      </c>
      <c r="B2121" s="26" t="s">
        <v>631</v>
      </c>
      <c r="C2121" s="36">
        <v>20060368076959</v>
      </c>
      <c r="D2121" s="26" t="s">
        <v>596</v>
      </c>
      <c r="E2121" s="28">
        <v>8</v>
      </c>
      <c r="F2121" s="9"/>
      <c r="G2121" s="14" t="str">
        <f t="shared" si="79"/>
        <v>O</v>
      </c>
      <c r="H2121" s="15">
        <f t="shared" si="80"/>
        <v>4</v>
      </c>
      <c r="L2121" s="35"/>
    </row>
    <row r="2122" spans="1:12" x14ac:dyDescent="0.3">
      <c r="A2122" s="31">
        <f>COUNTIFS($B$2:B2122,B2122)</f>
        <v>11</v>
      </c>
      <c r="B2122" s="26" t="s">
        <v>631</v>
      </c>
      <c r="C2122" s="36">
        <v>20060368076959</v>
      </c>
      <c r="D2122" s="26" t="s">
        <v>564</v>
      </c>
      <c r="E2122" s="28">
        <v>7.5</v>
      </c>
      <c r="F2122" s="9"/>
      <c r="G2122" s="14" t="str">
        <f t="shared" si="79"/>
        <v>O</v>
      </c>
      <c r="H2122" s="15">
        <f t="shared" si="80"/>
        <v>3.75</v>
      </c>
      <c r="L2122" s="35"/>
    </row>
    <row r="2123" spans="1:12" x14ac:dyDescent="0.3">
      <c r="A2123" s="31">
        <f>COUNTIFS($B$2:B2123,B2123)</f>
        <v>12</v>
      </c>
      <c r="B2123" s="26" t="s">
        <v>631</v>
      </c>
      <c r="C2123" s="36">
        <v>20060368076959</v>
      </c>
      <c r="D2123" s="26" t="s">
        <v>505</v>
      </c>
      <c r="E2123" s="28">
        <v>21.4</v>
      </c>
      <c r="F2123" s="9"/>
      <c r="G2123" s="14" t="str">
        <f t="shared" ref="G2123:G2186" si="81">IF(D2123="","",IF(COUNTIF(I:I,D2123)&gt;0,"O","X"))</f>
        <v>O</v>
      </c>
      <c r="H2123" s="15">
        <f t="shared" si="80"/>
        <v>10.7</v>
      </c>
      <c r="L2123" s="35"/>
    </row>
    <row r="2124" spans="1:12" x14ac:dyDescent="0.3">
      <c r="A2124" s="19">
        <f>COUNTIFS($B$2:B2124,B2124)</f>
        <v>1</v>
      </c>
      <c r="B2124" s="26" t="s">
        <v>474</v>
      </c>
      <c r="C2124" s="32">
        <v>20060368076586</v>
      </c>
      <c r="D2124" s="26" t="s">
        <v>463</v>
      </c>
      <c r="E2124" s="28">
        <v>222.1</v>
      </c>
      <c r="F2124" s="9"/>
      <c r="G2124" s="14" t="str">
        <f t="shared" si="81"/>
        <v>O</v>
      </c>
      <c r="H2124" s="15">
        <f t="shared" si="80"/>
        <v>111.05</v>
      </c>
      <c r="L2124" s="35"/>
    </row>
    <row r="2125" spans="1:12" x14ac:dyDescent="0.3">
      <c r="A2125" s="19">
        <f>COUNTIFS($B$2:B2125,B2125)</f>
        <v>2</v>
      </c>
      <c r="B2125" s="26" t="s">
        <v>474</v>
      </c>
      <c r="C2125" s="32">
        <v>20060368076586</v>
      </c>
      <c r="D2125" s="26" t="s">
        <v>418</v>
      </c>
      <c r="E2125" s="28">
        <v>3.6247016706443915</v>
      </c>
      <c r="F2125" s="9"/>
      <c r="G2125" s="14" t="str">
        <f t="shared" si="81"/>
        <v>O</v>
      </c>
      <c r="H2125" s="15">
        <f t="shared" si="80"/>
        <v>1.8123508353221958</v>
      </c>
      <c r="L2125" s="35"/>
    </row>
    <row r="2126" spans="1:12" x14ac:dyDescent="0.3">
      <c r="A2126" s="19">
        <f>COUNTIFS($B$2:B2126,B2126)</f>
        <v>3</v>
      </c>
      <c r="B2126" s="26" t="s">
        <v>474</v>
      </c>
      <c r="C2126" s="32">
        <v>20060368076586</v>
      </c>
      <c r="D2126" s="26" t="s">
        <v>164</v>
      </c>
      <c r="E2126" s="28">
        <v>5.6</v>
      </c>
      <c r="F2126" s="9"/>
      <c r="G2126" s="14" t="str">
        <f t="shared" si="81"/>
        <v>O</v>
      </c>
      <c r="H2126" s="15">
        <f t="shared" si="80"/>
        <v>2.8</v>
      </c>
      <c r="L2126" s="35"/>
    </row>
    <row r="2127" spans="1:12" x14ac:dyDescent="0.3">
      <c r="A2127" s="19">
        <f>COUNTIFS($B$2:B2127,B2127)</f>
        <v>4</v>
      </c>
      <c r="B2127" s="26" t="s">
        <v>474</v>
      </c>
      <c r="C2127" s="32">
        <v>20060368076586</v>
      </c>
      <c r="D2127" s="26" t="s">
        <v>535</v>
      </c>
      <c r="E2127" s="28">
        <v>22.2</v>
      </c>
      <c r="F2127" s="9"/>
      <c r="G2127" s="14" t="str">
        <f t="shared" si="81"/>
        <v>O</v>
      </c>
      <c r="H2127" s="15">
        <f t="shared" si="80"/>
        <v>11.1</v>
      </c>
      <c r="L2127" s="35"/>
    </row>
    <row r="2128" spans="1:12" x14ac:dyDescent="0.3">
      <c r="A2128" s="19">
        <f>COUNTIFS($B$2:B2128,B2128)</f>
        <v>5</v>
      </c>
      <c r="B2128" s="26" t="s">
        <v>474</v>
      </c>
      <c r="C2128" s="32">
        <v>20060368076586</v>
      </c>
      <c r="D2128" s="26" t="s">
        <v>588</v>
      </c>
      <c r="E2128" s="28">
        <v>55.5</v>
      </c>
      <c r="F2128" s="9"/>
      <c r="G2128" s="14" t="str">
        <f t="shared" si="81"/>
        <v>O</v>
      </c>
      <c r="H2128" s="15">
        <f t="shared" si="80"/>
        <v>27.75</v>
      </c>
      <c r="L2128" s="35"/>
    </row>
    <row r="2129" spans="1:12" x14ac:dyDescent="0.3">
      <c r="A2129" s="19">
        <f>COUNTIFS($B$2:B2129,B2129)</f>
        <v>6</v>
      </c>
      <c r="B2129" s="26" t="s">
        <v>474</v>
      </c>
      <c r="C2129" s="32">
        <v>20060368076586</v>
      </c>
      <c r="D2129" s="26" t="s">
        <v>114</v>
      </c>
      <c r="E2129" s="28">
        <v>138.80000000000001</v>
      </c>
      <c r="F2129" s="9"/>
      <c r="G2129" s="14" t="str">
        <f t="shared" si="81"/>
        <v>O</v>
      </c>
      <c r="H2129" s="15">
        <f t="shared" si="80"/>
        <v>69.400000000000006</v>
      </c>
      <c r="L2129" s="35"/>
    </row>
    <row r="2130" spans="1:12" x14ac:dyDescent="0.3">
      <c r="A2130" s="19">
        <f>COUNTIFS($B$2:B2130,B2130)</f>
        <v>7</v>
      </c>
      <c r="B2130" s="26" t="s">
        <v>474</v>
      </c>
      <c r="C2130" s="32">
        <v>20060368076586</v>
      </c>
      <c r="D2130" s="26" t="s">
        <v>424</v>
      </c>
      <c r="E2130" s="28">
        <v>2.2374701670644392</v>
      </c>
      <c r="F2130" s="9"/>
      <c r="G2130" s="14" t="str">
        <f t="shared" si="81"/>
        <v>O</v>
      </c>
      <c r="H2130" s="15">
        <f t="shared" si="80"/>
        <v>1.1187350835322196</v>
      </c>
      <c r="L2130" s="35"/>
    </row>
    <row r="2131" spans="1:12" x14ac:dyDescent="0.3">
      <c r="A2131" s="17">
        <f>COUNTIFS($B$2:B2131,B2131)</f>
        <v>1</v>
      </c>
      <c r="B2131" s="29" t="s">
        <v>632</v>
      </c>
      <c r="C2131" s="63">
        <v>20060368076614</v>
      </c>
      <c r="D2131" s="29" t="s">
        <v>284</v>
      </c>
      <c r="E2131" s="30">
        <v>81.465517241379331</v>
      </c>
      <c r="F2131" s="9"/>
      <c r="G2131" s="14" t="str">
        <f t="shared" si="81"/>
        <v>O</v>
      </c>
      <c r="H2131" s="15">
        <f t="shared" si="80"/>
        <v>40.732758620689665</v>
      </c>
      <c r="L2131" s="35"/>
    </row>
    <row r="2132" spans="1:12" x14ac:dyDescent="0.3">
      <c r="A2132" s="17">
        <f>COUNTIFS($B$2:B2132,B2132)</f>
        <v>2</v>
      </c>
      <c r="B2132" s="29" t="s">
        <v>632</v>
      </c>
      <c r="C2132" s="63">
        <v>20060368076614</v>
      </c>
      <c r="D2132" s="29" t="s">
        <v>206</v>
      </c>
      <c r="E2132" s="30">
        <v>9.0517241379310338</v>
      </c>
      <c r="F2132" s="9"/>
      <c r="G2132" s="14" t="str">
        <f t="shared" si="81"/>
        <v>O</v>
      </c>
      <c r="H2132" s="15">
        <f t="shared" si="80"/>
        <v>4.5258620689655169</v>
      </c>
      <c r="L2132" s="35"/>
    </row>
    <row r="2133" spans="1:12" x14ac:dyDescent="0.3">
      <c r="A2133" s="17">
        <f>COUNTIFS($B$2:B2133,B2133)</f>
        <v>3</v>
      </c>
      <c r="B2133" s="29" t="s">
        <v>632</v>
      </c>
      <c r="C2133" s="63">
        <v>20060368076614</v>
      </c>
      <c r="D2133" s="29" t="s">
        <v>157</v>
      </c>
      <c r="E2133" s="30">
        <v>14.482758620689658</v>
      </c>
      <c r="F2133" s="9"/>
      <c r="G2133" s="14" t="str">
        <f t="shared" si="81"/>
        <v>O</v>
      </c>
      <c r="H2133" s="15">
        <f t="shared" si="80"/>
        <v>7.2413793103448292</v>
      </c>
      <c r="L2133" s="35"/>
    </row>
    <row r="2134" spans="1:12" x14ac:dyDescent="0.3">
      <c r="A2134" s="17">
        <f>COUNTIFS($B$2:B2134,B2134)</f>
        <v>4</v>
      </c>
      <c r="B2134" s="29" t="s">
        <v>632</v>
      </c>
      <c r="C2134" s="63">
        <v>20060368076614</v>
      </c>
      <c r="D2134" s="29" t="s">
        <v>418</v>
      </c>
      <c r="E2134" s="30">
        <v>1.710775862068969</v>
      </c>
      <c r="F2134" s="9"/>
      <c r="G2134" s="14" t="str">
        <f t="shared" si="81"/>
        <v>O</v>
      </c>
      <c r="H2134" s="15">
        <f t="shared" si="80"/>
        <v>0.85538793103448452</v>
      </c>
      <c r="L2134" s="35"/>
    </row>
    <row r="2135" spans="1:12" x14ac:dyDescent="0.3">
      <c r="A2135" s="17">
        <f>COUNTIFS($B$2:B2135,B2135)</f>
        <v>5</v>
      </c>
      <c r="B2135" s="29" t="s">
        <v>632</v>
      </c>
      <c r="C2135" s="63">
        <v>20060368076614</v>
      </c>
      <c r="D2135" s="29" t="s">
        <v>488</v>
      </c>
      <c r="E2135" s="30">
        <v>14.482758620689658</v>
      </c>
      <c r="F2135" s="9"/>
      <c r="G2135" s="14" t="str">
        <f t="shared" si="81"/>
        <v>O</v>
      </c>
      <c r="H2135" s="15">
        <f t="shared" si="80"/>
        <v>7.2413793103448292</v>
      </c>
      <c r="L2135" s="35"/>
    </row>
    <row r="2136" spans="1:12" x14ac:dyDescent="0.3">
      <c r="A2136" s="17">
        <f>COUNTIFS($B$2:B2136,B2136)</f>
        <v>6</v>
      </c>
      <c r="B2136" s="29" t="s">
        <v>632</v>
      </c>
      <c r="C2136" s="63">
        <v>20060368076614</v>
      </c>
      <c r="D2136" s="29" t="s">
        <v>60</v>
      </c>
      <c r="E2136" s="30">
        <v>5.4310344827586219</v>
      </c>
      <c r="F2136" s="9"/>
      <c r="G2136" s="14" t="str">
        <f t="shared" si="81"/>
        <v>O</v>
      </c>
      <c r="H2136" s="15">
        <f t="shared" si="80"/>
        <v>2.7155172413793109</v>
      </c>
      <c r="L2136" s="35"/>
    </row>
    <row r="2137" spans="1:12" x14ac:dyDescent="0.3">
      <c r="A2137" s="17">
        <f>COUNTIFS($B$2:B2137,B2137)</f>
        <v>7</v>
      </c>
      <c r="B2137" s="29" t="s">
        <v>632</v>
      </c>
      <c r="C2137" s="63">
        <v>20060368076614</v>
      </c>
      <c r="D2137" s="29" t="s">
        <v>536</v>
      </c>
      <c r="E2137" s="30">
        <v>1.8103448275862073</v>
      </c>
      <c r="F2137" s="9"/>
      <c r="G2137" s="14" t="str">
        <f t="shared" si="81"/>
        <v>O</v>
      </c>
      <c r="H2137" s="15">
        <f t="shared" si="80"/>
        <v>0.90517241379310365</v>
      </c>
      <c r="L2137" s="35"/>
    </row>
    <row r="2138" spans="1:12" x14ac:dyDescent="0.3">
      <c r="A2138" s="17">
        <f>COUNTIFS($B$2:B2138,B2138)</f>
        <v>8</v>
      </c>
      <c r="B2138" s="29" t="s">
        <v>632</v>
      </c>
      <c r="C2138" s="63">
        <v>20060368076614</v>
      </c>
      <c r="D2138" s="29" t="s">
        <v>223</v>
      </c>
      <c r="E2138" s="30">
        <v>1.913793103448276</v>
      </c>
      <c r="F2138" s="9"/>
      <c r="G2138" s="14" t="str">
        <f t="shared" si="81"/>
        <v>O</v>
      </c>
      <c r="H2138" s="15">
        <f t="shared" si="80"/>
        <v>0.95689655172413801</v>
      </c>
      <c r="L2138" s="35"/>
    </row>
    <row r="2139" spans="1:12" x14ac:dyDescent="0.3">
      <c r="A2139" s="17">
        <f>COUNTIFS($B$2:B2139,B2139)</f>
        <v>9</v>
      </c>
      <c r="B2139" s="29" t="s">
        <v>632</v>
      </c>
      <c r="C2139" s="63">
        <v>20060368076614</v>
      </c>
      <c r="D2139" s="29" t="s">
        <v>429</v>
      </c>
      <c r="E2139" s="30">
        <v>19.137931034482758</v>
      </c>
      <c r="F2139" s="9"/>
      <c r="G2139" s="14" t="str">
        <f t="shared" si="81"/>
        <v>O</v>
      </c>
      <c r="H2139" s="15">
        <f t="shared" si="80"/>
        <v>9.568965517241379</v>
      </c>
      <c r="L2139" s="35"/>
    </row>
    <row r="2140" spans="1:12" x14ac:dyDescent="0.3">
      <c r="A2140" s="17">
        <f>COUNTIFS($B$2:B2140,B2140)</f>
        <v>10</v>
      </c>
      <c r="B2140" s="29" t="s">
        <v>632</v>
      </c>
      <c r="C2140" s="63">
        <v>20060368076614</v>
      </c>
      <c r="D2140" s="29" t="s">
        <v>495</v>
      </c>
      <c r="E2140" s="30">
        <v>18.103448275862057</v>
      </c>
      <c r="F2140" s="9"/>
      <c r="G2140" s="14" t="str">
        <f t="shared" si="81"/>
        <v>O</v>
      </c>
      <c r="H2140" s="15">
        <f t="shared" si="80"/>
        <v>9.0517241379310285</v>
      </c>
      <c r="L2140" s="35"/>
    </row>
    <row r="2141" spans="1:12" x14ac:dyDescent="0.3">
      <c r="A2141" s="17">
        <f>COUNTIFS($B$2:B2141,B2141)</f>
        <v>11</v>
      </c>
      <c r="B2141" s="29" t="s">
        <v>632</v>
      </c>
      <c r="C2141" s="63">
        <v>20060368076614</v>
      </c>
      <c r="D2141" s="29" t="s">
        <v>489</v>
      </c>
      <c r="E2141" s="30">
        <v>3.1681034482758621</v>
      </c>
      <c r="F2141" s="9"/>
      <c r="G2141" s="14" t="str">
        <f t="shared" si="81"/>
        <v>O</v>
      </c>
      <c r="H2141" s="15">
        <f t="shared" si="80"/>
        <v>1.584051724137931</v>
      </c>
      <c r="L2141" s="35"/>
    </row>
    <row r="2142" spans="1:12" x14ac:dyDescent="0.3">
      <c r="A2142" s="17">
        <f>COUNTIFS($B$2:B2142,B2142)</f>
        <v>12</v>
      </c>
      <c r="B2142" s="29" t="s">
        <v>632</v>
      </c>
      <c r="C2142" s="63">
        <v>20060368076614</v>
      </c>
      <c r="D2142" s="29" t="s">
        <v>218</v>
      </c>
      <c r="E2142" s="30">
        <v>0.36206896551724149</v>
      </c>
      <c r="F2142" s="9"/>
      <c r="G2142" s="14" t="str">
        <f t="shared" si="81"/>
        <v>O</v>
      </c>
      <c r="H2142" s="15">
        <f t="shared" si="80"/>
        <v>0.18103448275862075</v>
      </c>
      <c r="L2142" s="35"/>
    </row>
    <row r="2143" spans="1:12" x14ac:dyDescent="0.3">
      <c r="A2143" s="17">
        <f>COUNTIFS($B$2:B2143,B2143)</f>
        <v>13</v>
      </c>
      <c r="B2143" s="29" t="s">
        <v>632</v>
      </c>
      <c r="C2143" s="63">
        <v>20060368076614</v>
      </c>
      <c r="D2143" s="29" t="s">
        <v>490</v>
      </c>
      <c r="E2143" s="30">
        <v>14.482758620689658</v>
      </c>
      <c r="F2143" s="9"/>
      <c r="G2143" s="14" t="str">
        <f t="shared" si="81"/>
        <v>O</v>
      </c>
      <c r="H2143" s="15">
        <f t="shared" si="80"/>
        <v>7.2413793103448292</v>
      </c>
      <c r="L2143" s="35"/>
    </row>
    <row r="2144" spans="1:12" x14ac:dyDescent="0.3">
      <c r="A2144" s="17">
        <f>COUNTIFS($B$2:B2144,B2144)</f>
        <v>14</v>
      </c>
      <c r="B2144" s="29" t="s">
        <v>632</v>
      </c>
      <c r="C2144" s="63">
        <v>20060368076614</v>
      </c>
      <c r="D2144" s="29" t="s">
        <v>114</v>
      </c>
      <c r="E2144" s="30">
        <v>18.103448275862068</v>
      </c>
      <c r="F2144" s="9"/>
      <c r="G2144" s="14" t="str">
        <f t="shared" si="81"/>
        <v>O</v>
      </c>
      <c r="H2144" s="15">
        <f t="shared" si="80"/>
        <v>9.0517241379310338</v>
      </c>
      <c r="L2144" s="35"/>
    </row>
    <row r="2145" spans="1:12" x14ac:dyDescent="0.3">
      <c r="A2145" s="17">
        <f>COUNTIFS($B$2:B2145,B2145)</f>
        <v>15</v>
      </c>
      <c r="B2145" s="29" t="s">
        <v>632</v>
      </c>
      <c r="C2145" s="63">
        <v>20060368076614</v>
      </c>
      <c r="D2145" s="29" t="s">
        <v>421</v>
      </c>
      <c r="E2145" s="30">
        <v>18.103448275862068</v>
      </c>
      <c r="F2145" s="9"/>
      <c r="G2145" s="14" t="str">
        <f t="shared" si="81"/>
        <v>O</v>
      </c>
      <c r="H2145" s="15">
        <f t="shared" si="80"/>
        <v>9.0517241379310338</v>
      </c>
      <c r="L2145" s="35"/>
    </row>
    <row r="2146" spans="1:12" x14ac:dyDescent="0.3">
      <c r="A2146" s="19">
        <f>COUNTIFS($B$2:B2146,B2146)</f>
        <v>1</v>
      </c>
      <c r="B2146" s="20" t="s">
        <v>479</v>
      </c>
      <c r="C2146" s="24">
        <v>20060368076540</v>
      </c>
      <c r="D2146" s="20"/>
      <c r="E2146" s="22"/>
      <c r="F2146" s="9"/>
      <c r="G2146" s="14" t="str">
        <f t="shared" si="81"/>
        <v/>
      </c>
      <c r="H2146" s="15">
        <f t="shared" si="80"/>
        <v>0</v>
      </c>
      <c r="L2146" s="35"/>
    </row>
    <row r="2147" spans="1:12" x14ac:dyDescent="0.3">
      <c r="A2147" s="23">
        <f>COUNTIFS($B$2:B2147,B2147)</f>
        <v>1</v>
      </c>
      <c r="B2147" s="20" t="s">
        <v>633</v>
      </c>
      <c r="C2147" s="24">
        <v>20060368076540</v>
      </c>
      <c r="D2147" s="20" t="s">
        <v>210</v>
      </c>
      <c r="E2147" s="22">
        <v>36.21</v>
      </c>
      <c r="F2147" s="9"/>
      <c r="G2147" s="14" t="str">
        <f t="shared" si="81"/>
        <v>O</v>
      </c>
      <c r="H2147" s="15">
        <f t="shared" si="80"/>
        <v>18.105</v>
      </c>
      <c r="L2147" s="35"/>
    </row>
    <row r="2148" spans="1:12" x14ac:dyDescent="0.3">
      <c r="A2148" s="19">
        <f>COUNTIFS($B$2:B2148,B2148)</f>
        <v>2</v>
      </c>
      <c r="B2148" s="20" t="s">
        <v>633</v>
      </c>
      <c r="C2148" s="24">
        <v>20060368076540</v>
      </c>
      <c r="D2148" s="20" t="s">
        <v>213</v>
      </c>
      <c r="E2148" s="22">
        <v>13.58</v>
      </c>
      <c r="F2148" s="9"/>
      <c r="G2148" s="14" t="str">
        <f t="shared" si="81"/>
        <v>O</v>
      </c>
      <c r="H2148" s="15">
        <f t="shared" si="80"/>
        <v>6.79</v>
      </c>
      <c r="L2148" s="35"/>
    </row>
    <row r="2149" spans="1:12" x14ac:dyDescent="0.3">
      <c r="A2149" s="19">
        <f>COUNTIFS($B$2:B2149,B2149)</f>
        <v>3</v>
      </c>
      <c r="B2149" s="20" t="s">
        <v>633</v>
      </c>
      <c r="C2149" s="24">
        <v>20060368076540</v>
      </c>
      <c r="D2149" s="20" t="s">
        <v>263</v>
      </c>
      <c r="E2149" s="22">
        <v>3.62</v>
      </c>
      <c r="F2149" s="9"/>
      <c r="G2149" s="14" t="str">
        <f t="shared" si="81"/>
        <v>O</v>
      </c>
      <c r="H2149" s="15">
        <f t="shared" si="80"/>
        <v>1.81</v>
      </c>
      <c r="L2149" s="35"/>
    </row>
    <row r="2150" spans="1:12" x14ac:dyDescent="0.3">
      <c r="A2150" s="19">
        <f>COUNTIFS($B$2:B2150,B2150)</f>
        <v>4</v>
      </c>
      <c r="B2150" s="20" t="s">
        <v>633</v>
      </c>
      <c r="C2150" s="24">
        <v>20060368076540</v>
      </c>
      <c r="D2150" s="20" t="s">
        <v>404</v>
      </c>
      <c r="E2150" s="22">
        <v>4.53</v>
      </c>
      <c r="F2150" s="9"/>
      <c r="G2150" s="14" t="str">
        <f t="shared" si="81"/>
        <v>O</v>
      </c>
      <c r="H2150" s="15">
        <f t="shared" si="80"/>
        <v>2.2650000000000001</v>
      </c>
      <c r="L2150" s="35"/>
    </row>
    <row r="2151" spans="1:12" x14ac:dyDescent="0.3">
      <c r="A2151" s="19">
        <f>COUNTIFS($B$2:B2151,B2151)</f>
        <v>5</v>
      </c>
      <c r="B2151" s="20" t="s">
        <v>633</v>
      </c>
      <c r="C2151" s="24">
        <v>20060368076540</v>
      </c>
      <c r="D2151" s="20" t="s">
        <v>222</v>
      </c>
      <c r="E2151" s="22">
        <v>0.32</v>
      </c>
      <c r="F2151" s="9"/>
      <c r="G2151" s="14" t="str">
        <f t="shared" si="81"/>
        <v>O</v>
      </c>
      <c r="H2151" s="15">
        <f t="shared" si="80"/>
        <v>0.16</v>
      </c>
      <c r="L2151" s="35"/>
    </row>
    <row r="2152" spans="1:12" x14ac:dyDescent="0.3">
      <c r="A2152" s="19">
        <f>COUNTIFS($B$2:B2152,B2152)</f>
        <v>6</v>
      </c>
      <c r="B2152" s="20" t="s">
        <v>633</v>
      </c>
      <c r="C2152" s="24">
        <v>20060368076540</v>
      </c>
      <c r="D2152" s="20" t="s">
        <v>206</v>
      </c>
      <c r="E2152" s="22">
        <v>48.88</v>
      </c>
      <c r="F2152" s="9"/>
      <c r="G2152" s="14" t="str">
        <f t="shared" si="81"/>
        <v>O</v>
      </c>
      <c r="H2152" s="15">
        <f t="shared" si="80"/>
        <v>24.44</v>
      </c>
      <c r="L2152" s="35"/>
    </row>
    <row r="2153" spans="1:12" x14ac:dyDescent="0.3">
      <c r="A2153" s="19">
        <f>COUNTIFS($B$2:B2153,B2153)</f>
        <v>7</v>
      </c>
      <c r="B2153" s="20" t="s">
        <v>633</v>
      </c>
      <c r="C2153" s="24">
        <v>20060368076540</v>
      </c>
      <c r="D2153" s="20" t="s">
        <v>272</v>
      </c>
      <c r="E2153" s="22">
        <v>10.86</v>
      </c>
      <c r="F2153" s="9"/>
      <c r="G2153" s="14" t="str">
        <f t="shared" si="81"/>
        <v>O</v>
      </c>
      <c r="H2153" s="15">
        <f t="shared" si="80"/>
        <v>5.43</v>
      </c>
      <c r="L2153" s="35"/>
    </row>
    <row r="2154" spans="1:12" x14ac:dyDescent="0.3">
      <c r="A2154" s="23">
        <f>COUNTIFS($B$2:B2154,B2154)</f>
        <v>9</v>
      </c>
      <c r="B2154" s="20" t="s">
        <v>556</v>
      </c>
      <c r="C2154" s="24">
        <v>20060368076540</v>
      </c>
      <c r="D2154" s="20" t="s">
        <v>210</v>
      </c>
      <c r="E2154" s="22">
        <v>29.01</v>
      </c>
      <c r="F2154" s="9"/>
      <c r="G2154" s="14" t="str">
        <f t="shared" si="81"/>
        <v>O</v>
      </c>
      <c r="H2154" s="15">
        <f t="shared" si="80"/>
        <v>14.505000000000001</v>
      </c>
      <c r="L2154" s="35"/>
    </row>
    <row r="2155" spans="1:12" x14ac:dyDescent="0.3">
      <c r="A2155" s="19">
        <f>COUNTIFS($B$2:B2155,B2155)</f>
        <v>10</v>
      </c>
      <c r="B2155" s="20" t="s">
        <v>556</v>
      </c>
      <c r="C2155" s="24">
        <v>20060368076540</v>
      </c>
      <c r="D2155" s="20" t="s">
        <v>213</v>
      </c>
      <c r="E2155" s="22">
        <v>24.86</v>
      </c>
      <c r="F2155" s="9"/>
      <c r="G2155" s="14" t="str">
        <f t="shared" si="81"/>
        <v>O</v>
      </c>
      <c r="H2155" s="15">
        <f t="shared" si="80"/>
        <v>12.43</v>
      </c>
      <c r="L2155" s="35"/>
    </row>
    <row r="2156" spans="1:12" x14ac:dyDescent="0.3">
      <c r="A2156" s="19">
        <f>COUNTIFS($B$2:B2156,B2156)</f>
        <v>11</v>
      </c>
      <c r="B2156" s="20" t="s">
        <v>556</v>
      </c>
      <c r="C2156" s="24">
        <v>20060368076540</v>
      </c>
      <c r="D2156" s="20" t="s">
        <v>263</v>
      </c>
      <c r="E2156" s="22">
        <v>4.97</v>
      </c>
      <c r="F2156" s="9"/>
      <c r="G2156" s="14" t="str">
        <f t="shared" si="81"/>
        <v>O</v>
      </c>
      <c r="H2156" s="15">
        <f t="shared" si="80"/>
        <v>2.4849999999999999</v>
      </c>
      <c r="L2156" s="35"/>
    </row>
    <row r="2157" spans="1:12" x14ac:dyDescent="0.3">
      <c r="A2157" s="19">
        <f>COUNTIFS($B$2:B2157,B2157)</f>
        <v>12</v>
      </c>
      <c r="B2157" s="20" t="s">
        <v>556</v>
      </c>
      <c r="C2157" s="24">
        <v>20060368076540</v>
      </c>
      <c r="D2157" s="20" t="s">
        <v>255</v>
      </c>
      <c r="E2157" s="22">
        <v>5.8</v>
      </c>
      <c r="F2157" s="9"/>
      <c r="G2157" s="14" t="str">
        <f t="shared" si="81"/>
        <v>O</v>
      </c>
      <c r="H2157" s="15">
        <f t="shared" si="80"/>
        <v>2.9</v>
      </c>
      <c r="L2157" s="35"/>
    </row>
    <row r="2158" spans="1:12" x14ac:dyDescent="0.3">
      <c r="A2158" s="19">
        <f>COUNTIFS($B$2:B2158,B2158)</f>
        <v>13</v>
      </c>
      <c r="B2158" s="20" t="s">
        <v>556</v>
      </c>
      <c r="C2158" s="24">
        <v>20060368076540</v>
      </c>
      <c r="D2158" s="20" t="s">
        <v>206</v>
      </c>
      <c r="E2158" s="22">
        <v>41.44</v>
      </c>
      <c r="F2158" s="9"/>
      <c r="G2158" s="14" t="str">
        <f t="shared" si="81"/>
        <v>O</v>
      </c>
      <c r="H2158" s="15">
        <f t="shared" si="80"/>
        <v>20.72</v>
      </c>
      <c r="L2158" s="35"/>
    </row>
    <row r="2159" spans="1:12" x14ac:dyDescent="0.3">
      <c r="A2159" s="19">
        <f>COUNTIFS($B$2:B2159,B2159)</f>
        <v>14</v>
      </c>
      <c r="B2159" s="20" t="s">
        <v>556</v>
      </c>
      <c r="C2159" s="24">
        <v>20060368076540</v>
      </c>
      <c r="D2159" s="20" t="s">
        <v>172</v>
      </c>
      <c r="E2159" s="22">
        <v>3.32</v>
      </c>
      <c r="F2159" s="9"/>
      <c r="G2159" s="14" t="str">
        <f t="shared" si="81"/>
        <v>O</v>
      </c>
      <c r="H2159" s="15">
        <f t="shared" si="80"/>
        <v>1.66</v>
      </c>
      <c r="L2159" s="35"/>
    </row>
    <row r="2160" spans="1:12" x14ac:dyDescent="0.3">
      <c r="A2160" s="19">
        <f>COUNTIFS($B$2:B2160,B2160)</f>
        <v>15</v>
      </c>
      <c r="B2160" s="20" t="s">
        <v>556</v>
      </c>
      <c r="C2160" s="24">
        <v>20060368076540</v>
      </c>
      <c r="D2160" s="20" t="s">
        <v>222</v>
      </c>
      <c r="E2160" s="22">
        <v>0.31</v>
      </c>
      <c r="F2160" s="9"/>
      <c r="G2160" s="14" t="str">
        <f t="shared" si="81"/>
        <v>O</v>
      </c>
      <c r="H2160" s="15">
        <f t="shared" si="80"/>
        <v>0.155</v>
      </c>
      <c r="L2160" s="35"/>
    </row>
    <row r="2161" spans="1:12" x14ac:dyDescent="0.3">
      <c r="A2161" s="19">
        <f>COUNTIFS($B$2:B2161,B2161)</f>
        <v>16</v>
      </c>
      <c r="B2161" s="20" t="s">
        <v>556</v>
      </c>
      <c r="C2161" s="24">
        <v>20060368076540</v>
      </c>
      <c r="D2161" s="20" t="s">
        <v>44</v>
      </c>
      <c r="E2161" s="22">
        <v>8.2899999999999991</v>
      </c>
      <c r="F2161" s="9"/>
      <c r="G2161" s="14" t="str">
        <f t="shared" si="81"/>
        <v>O</v>
      </c>
      <c r="H2161" s="15">
        <f t="shared" si="80"/>
        <v>4.1449999999999996</v>
      </c>
      <c r="L2161" s="35"/>
    </row>
    <row r="2162" spans="1:12" x14ac:dyDescent="0.3">
      <c r="A2162" s="23">
        <f>COUNTIFS($B$2:B2162,B2162)</f>
        <v>1</v>
      </c>
      <c r="B2162" s="20" t="s">
        <v>634</v>
      </c>
      <c r="C2162" s="24">
        <v>20060368076540</v>
      </c>
      <c r="D2162" s="20" t="s">
        <v>210</v>
      </c>
      <c r="E2162" s="22">
        <v>15.49</v>
      </c>
      <c r="F2162" s="9"/>
      <c r="G2162" s="14" t="str">
        <f t="shared" si="81"/>
        <v>O</v>
      </c>
      <c r="H2162" s="15">
        <f t="shared" si="80"/>
        <v>7.7450000000000001</v>
      </c>
      <c r="L2162" s="35"/>
    </row>
    <row r="2163" spans="1:12" x14ac:dyDescent="0.3">
      <c r="A2163" s="19">
        <f>COUNTIFS($B$2:B2163,B2163)</f>
        <v>2</v>
      </c>
      <c r="B2163" s="20" t="s">
        <v>634</v>
      </c>
      <c r="C2163" s="24">
        <v>20060368076540</v>
      </c>
      <c r="D2163" s="20" t="s">
        <v>213</v>
      </c>
      <c r="E2163" s="22">
        <v>13.55</v>
      </c>
      <c r="F2163" s="9"/>
      <c r="G2163" s="14" t="str">
        <f t="shared" si="81"/>
        <v>O</v>
      </c>
      <c r="H2163" s="15">
        <f t="shared" si="80"/>
        <v>6.7750000000000004</v>
      </c>
      <c r="L2163" s="35"/>
    </row>
    <row r="2164" spans="1:12" x14ac:dyDescent="0.3">
      <c r="A2164" s="19">
        <f>COUNTIFS($B$2:B2164,B2164)</f>
        <v>3</v>
      </c>
      <c r="B2164" s="20" t="s">
        <v>634</v>
      </c>
      <c r="C2164" s="24">
        <v>20060368076540</v>
      </c>
      <c r="D2164" s="20" t="s">
        <v>260</v>
      </c>
      <c r="E2164" s="22">
        <v>7.74</v>
      </c>
      <c r="F2164" s="9"/>
      <c r="G2164" s="14" t="str">
        <f t="shared" si="81"/>
        <v>O</v>
      </c>
      <c r="H2164" s="15">
        <f t="shared" si="80"/>
        <v>3.87</v>
      </c>
      <c r="L2164" s="35"/>
    </row>
    <row r="2165" spans="1:12" x14ac:dyDescent="0.3">
      <c r="A2165" s="19">
        <f>COUNTIFS($B$2:B2165,B2165)</f>
        <v>4</v>
      </c>
      <c r="B2165" s="20" t="s">
        <v>634</v>
      </c>
      <c r="C2165" s="24">
        <v>20060368076540</v>
      </c>
      <c r="D2165" s="20" t="s">
        <v>263</v>
      </c>
      <c r="E2165" s="22">
        <v>7.74</v>
      </c>
      <c r="F2165" s="9"/>
      <c r="G2165" s="14" t="str">
        <f t="shared" si="81"/>
        <v>O</v>
      </c>
      <c r="H2165" s="15">
        <f t="shared" ref="H2165:H2228" si="82">E2165/2</f>
        <v>3.87</v>
      </c>
      <c r="L2165" s="35"/>
    </row>
    <row r="2166" spans="1:12" x14ac:dyDescent="0.3">
      <c r="A2166" s="19">
        <f>COUNTIFS($B$2:B2166,B2166)</f>
        <v>5</v>
      </c>
      <c r="B2166" s="20" t="s">
        <v>634</v>
      </c>
      <c r="C2166" s="24">
        <v>20060368076540</v>
      </c>
      <c r="D2166" s="20" t="s">
        <v>206</v>
      </c>
      <c r="E2166" s="22">
        <v>27.1</v>
      </c>
      <c r="F2166" s="9"/>
      <c r="G2166" s="14" t="str">
        <f t="shared" si="81"/>
        <v>O</v>
      </c>
      <c r="H2166" s="15">
        <f t="shared" si="82"/>
        <v>13.55</v>
      </c>
      <c r="L2166" s="35"/>
    </row>
    <row r="2167" spans="1:12" x14ac:dyDescent="0.3">
      <c r="A2167" s="19">
        <f>COUNTIFS($B$2:B2167,B2167)</f>
        <v>6</v>
      </c>
      <c r="B2167" s="20" t="s">
        <v>634</v>
      </c>
      <c r="C2167" s="24">
        <v>20060368076540</v>
      </c>
      <c r="D2167" s="20" t="s">
        <v>268</v>
      </c>
      <c r="E2167" s="22">
        <v>1.55</v>
      </c>
      <c r="F2167" s="9"/>
      <c r="G2167" s="14" t="str">
        <f t="shared" si="81"/>
        <v>O</v>
      </c>
      <c r="H2167" s="15">
        <f t="shared" si="82"/>
        <v>0.77500000000000002</v>
      </c>
      <c r="L2167" s="35"/>
    </row>
    <row r="2168" spans="1:12" x14ac:dyDescent="0.3">
      <c r="A2168" s="19">
        <f>COUNTIFS($B$2:B2168,B2168)</f>
        <v>7</v>
      </c>
      <c r="B2168" s="20" t="s">
        <v>634</v>
      </c>
      <c r="C2168" s="24">
        <v>20060368076540</v>
      </c>
      <c r="D2168" s="20" t="s">
        <v>132</v>
      </c>
      <c r="E2168" s="22">
        <v>0.77</v>
      </c>
      <c r="F2168" s="9"/>
      <c r="G2168" s="14" t="str">
        <f t="shared" si="81"/>
        <v>O</v>
      </c>
      <c r="H2168" s="15">
        <f t="shared" si="82"/>
        <v>0.38500000000000001</v>
      </c>
      <c r="L2168" s="35"/>
    </row>
    <row r="2169" spans="1:12" x14ac:dyDescent="0.3">
      <c r="A2169" s="19">
        <f>COUNTIFS($B$2:B2169,B2169)</f>
        <v>8</v>
      </c>
      <c r="B2169" s="20" t="s">
        <v>634</v>
      </c>
      <c r="C2169" s="24">
        <v>20060368076540</v>
      </c>
      <c r="D2169" s="20" t="s">
        <v>272</v>
      </c>
      <c r="E2169" s="22">
        <v>7.74</v>
      </c>
      <c r="F2169" s="9"/>
      <c r="G2169" s="14" t="str">
        <f t="shared" si="81"/>
        <v>O</v>
      </c>
      <c r="H2169" s="15">
        <f t="shared" si="82"/>
        <v>3.87</v>
      </c>
      <c r="L2169" s="35"/>
    </row>
    <row r="2170" spans="1:12" x14ac:dyDescent="0.3">
      <c r="A2170" s="19">
        <f>COUNTIFS($B$2:B2170,B2170)</f>
        <v>9</v>
      </c>
      <c r="B2170" s="20" t="s">
        <v>634</v>
      </c>
      <c r="C2170" s="24">
        <v>20060368076540</v>
      </c>
      <c r="D2170" s="20" t="s">
        <v>168</v>
      </c>
      <c r="E2170" s="22">
        <v>7.26</v>
      </c>
      <c r="F2170" s="9"/>
      <c r="G2170" s="14" t="str">
        <f t="shared" si="81"/>
        <v>O</v>
      </c>
      <c r="H2170" s="15">
        <f t="shared" si="82"/>
        <v>3.63</v>
      </c>
      <c r="L2170" s="35"/>
    </row>
    <row r="2171" spans="1:12" x14ac:dyDescent="0.3">
      <c r="A2171" s="19">
        <f>COUNTIFS($B$2:B2171,B2171)</f>
        <v>10</v>
      </c>
      <c r="B2171" s="20" t="s">
        <v>634</v>
      </c>
      <c r="C2171" s="24">
        <v>20060368076540</v>
      </c>
      <c r="D2171" s="20" t="s">
        <v>21</v>
      </c>
      <c r="E2171" s="22">
        <v>29.04</v>
      </c>
      <c r="F2171" s="9"/>
      <c r="G2171" s="14" t="str">
        <f t="shared" si="81"/>
        <v>O</v>
      </c>
      <c r="H2171" s="15">
        <f t="shared" si="82"/>
        <v>14.52</v>
      </c>
      <c r="L2171" s="35"/>
    </row>
    <row r="2172" spans="1:12" x14ac:dyDescent="0.3">
      <c r="A2172" s="23">
        <f>COUNTIFS($B$2:B2172,B2172)</f>
        <v>7</v>
      </c>
      <c r="B2172" s="20" t="s">
        <v>574</v>
      </c>
      <c r="C2172" s="24">
        <v>20060368076540</v>
      </c>
      <c r="D2172" s="20" t="s">
        <v>210</v>
      </c>
      <c r="E2172" s="22">
        <v>37.340000000000003</v>
      </c>
      <c r="F2172" s="9"/>
      <c r="G2172" s="14" t="str">
        <f t="shared" si="81"/>
        <v>O</v>
      </c>
      <c r="H2172" s="15">
        <f t="shared" si="82"/>
        <v>18.670000000000002</v>
      </c>
      <c r="L2172" s="35"/>
    </row>
    <row r="2173" spans="1:12" x14ac:dyDescent="0.3">
      <c r="A2173" s="19">
        <f>COUNTIFS($B$2:B2173,B2173)</f>
        <v>8</v>
      </c>
      <c r="B2173" s="20" t="s">
        <v>574</v>
      </c>
      <c r="C2173" s="24">
        <v>20060368076540</v>
      </c>
      <c r="D2173" s="20" t="s">
        <v>213</v>
      </c>
      <c r="E2173" s="22">
        <v>14.94</v>
      </c>
      <c r="F2173" s="9"/>
      <c r="G2173" s="14" t="str">
        <f t="shared" si="81"/>
        <v>O</v>
      </c>
      <c r="H2173" s="15">
        <f t="shared" si="82"/>
        <v>7.47</v>
      </c>
      <c r="L2173" s="35"/>
    </row>
    <row r="2174" spans="1:12" x14ac:dyDescent="0.3">
      <c r="A2174" s="19">
        <f>COUNTIFS($B$2:B2174,B2174)</f>
        <v>9</v>
      </c>
      <c r="B2174" s="20" t="s">
        <v>574</v>
      </c>
      <c r="C2174" s="24">
        <v>20060368076540</v>
      </c>
      <c r="D2174" s="20" t="s">
        <v>404</v>
      </c>
      <c r="E2174" s="22">
        <v>5.6</v>
      </c>
      <c r="F2174" s="9"/>
      <c r="G2174" s="14" t="str">
        <f t="shared" si="81"/>
        <v>O</v>
      </c>
      <c r="H2174" s="15">
        <f t="shared" si="82"/>
        <v>2.8</v>
      </c>
      <c r="L2174" s="35"/>
    </row>
    <row r="2175" spans="1:12" x14ac:dyDescent="0.3">
      <c r="A2175" s="19">
        <f>COUNTIFS($B$2:B2175,B2175)</f>
        <v>10</v>
      </c>
      <c r="B2175" s="20" t="s">
        <v>574</v>
      </c>
      <c r="C2175" s="24">
        <v>20060368076540</v>
      </c>
      <c r="D2175" s="20" t="s">
        <v>222</v>
      </c>
      <c r="E2175" s="22">
        <v>0.37</v>
      </c>
      <c r="F2175" s="9"/>
      <c r="G2175" s="14" t="str">
        <f t="shared" si="81"/>
        <v>O</v>
      </c>
      <c r="H2175" s="15">
        <f t="shared" si="82"/>
        <v>0.185</v>
      </c>
      <c r="L2175" s="35"/>
    </row>
    <row r="2176" spans="1:12" x14ac:dyDescent="0.3">
      <c r="A2176" s="19">
        <f>COUNTIFS($B$2:B2176,B2176)</f>
        <v>11</v>
      </c>
      <c r="B2176" s="20" t="s">
        <v>574</v>
      </c>
      <c r="C2176" s="24">
        <v>20060368076540</v>
      </c>
      <c r="D2176" s="20" t="s">
        <v>206</v>
      </c>
      <c r="E2176" s="22">
        <v>37.340000000000003</v>
      </c>
      <c r="F2176" s="9"/>
      <c r="G2176" s="14" t="str">
        <f t="shared" si="81"/>
        <v>O</v>
      </c>
      <c r="H2176" s="15">
        <f t="shared" si="82"/>
        <v>18.670000000000002</v>
      </c>
      <c r="L2176" s="35"/>
    </row>
    <row r="2177" spans="1:12" x14ac:dyDescent="0.3">
      <c r="A2177" s="19">
        <f>COUNTIFS($B$2:B2177,B2177)</f>
        <v>12</v>
      </c>
      <c r="B2177" s="20" t="s">
        <v>574</v>
      </c>
      <c r="C2177" s="24">
        <v>20060368076540</v>
      </c>
      <c r="D2177" s="20" t="s">
        <v>82</v>
      </c>
      <c r="E2177" s="22">
        <v>22.41</v>
      </c>
      <c r="F2177" s="9"/>
      <c r="G2177" s="14" t="str">
        <f t="shared" si="81"/>
        <v>O</v>
      </c>
      <c r="H2177" s="15">
        <f t="shared" si="82"/>
        <v>11.205</v>
      </c>
      <c r="L2177" s="35"/>
    </row>
    <row r="2178" spans="1:12" x14ac:dyDescent="0.3">
      <c r="A2178" s="23">
        <f>COUNTIFS($B$2:B2178,B2178)</f>
        <v>6</v>
      </c>
      <c r="B2178" s="20" t="s">
        <v>533</v>
      </c>
      <c r="C2178" s="24">
        <v>20060368076540</v>
      </c>
      <c r="D2178" s="20" t="s">
        <v>206</v>
      </c>
      <c r="E2178" s="22">
        <v>50.49</v>
      </c>
      <c r="F2178" s="9"/>
      <c r="G2178" s="14" t="str">
        <f t="shared" si="81"/>
        <v>O</v>
      </c>
      <c r="H2178" s="15">
        <f t="shared" si="82"/>
        <v>25.245000000000001</v>
      </c>
      <c r="L2178" s="35"/>
    </row>
    <row r="2179" spans="1:12" x14ac:dyDescent="0.3">
      <c r="A2179" s="19">
        <f>COUNTIFS($B$2:B2179,B2179)</f>
        <v>7</v>
      </c>
      <c r="B2179" s="20" t="s">
        <v>533</v>
      </c>
      <c r="C2179" s="24">
        <v>20060368076540</v>
      </c>
      <c r="D2179" s="20" t="s">
        <v>222</v>
      </c>
      <c r="E2179" s="22">
        <v>0.71</v>
      </c>
      <c r="F2179" s="9"/>
      <c r="G2179" s="14" t="str">
        <f t="shared" si="81"/>
        <v>O</v>
      </c>
      <c r="H2179" s="15">
        <f t="shared" si="82"/>
        <v>0.35499999999999998</v>
      </c>
      <c r="L2179" s="35"/>
    </row>
    <row r="2180" spans="1:12" x14ac:dyDescent="0.3">
      <c r="A2180" s="19">
        <f>COUNTIFS($B$2:B2180,B2180)</f>
        <v>8</v>
      </c>
      <c r="B2180" s="20" t="s">
        <v>533</v>
      </c>
      <c r="C2180" s="24">
        <v>20060368076540</v>
      </c>
      <c r="D2180" s="20" t="s">
        <v>210</v>
      </c>
      <c r="E2180" s="22">
        <v>42.72</v>
      </c>
      <c r="F2180" s="9"/>
      <c r="G2180" s="14" t="str">
        <f t="shared" si="81"/>
        <v>O</v>
      </c>
      <c r="H2180" s="15">
        <f t="shared" si="82"/>
        <v>21.36</v>
      </c>
      <c r="L2180" s="35"/>
    </row>
    <row r="2181" spans="1:12" x14ac:dyDescent="0.3">
      <c r="A2181" s="19">
        <f>COUNTIFS($B$2:B2181,B2181)</f>
        <v>9</v>
      </c>
      <c r="B2181" s="20" t="s">
        <v>533</v>
      </c>
      <c r="C2181" s="24">
        <v>20060368076540</v>
      </c>
      <c r="D2181" s="20" t="s">
        <v>213</v>
      </c>
      <c r="E2181" s="22">
        <v>17.09</v>
      </c>
      <c r="F2181" s="9"/>
      <c r="G2181" s="14" t="str">
        <f t="shared" si="81"/>
        <v>O</v>
      </c>
      <c r="H2181" s="15">
        <f t="shared" si="82"/>
        <v>8.5449999999999999</v>
      </c>
      <c r="L2181" s="35"/>
    </row>
    <row r="2182" spans="1:12" x14ac:dyDescent="0.3">
      <c r="A2182" s="19">
        <f>COUNTIFS($B$2:B2182,B2182)</f>
        <v>10</v>
      </c>
      <c r="B2182" s="20" t="s">
        <v>533</v>
      </c>
      <c r="C2182" s="24">
        <v>20060368076540</v>
      </c>
      <c r="D2182" s="20" t="s">
        <v>11</v>
      </c>
      <c r="E2182" s="22">
        <v>6.99</v>
      </c>
      <c r="F2182" s="9"/>
      <c r="G2182" s="14" t="str">
        <f t="shared" si="81"/>
        <v>O</v>
      </c>
      <c r="H2182" s="15">
        <f t="shared" si="82"/>
        <v>3.4950000000000001</v>
      </c>
      <c r="L2182" s="35"/>
    </row>
    <row r="2183" spans="1:12" x14ac:dyDescent="0.3">
      <c r="A2183" s="23">
        <f>COUNTIFS($B$2:B2183,B2183)</f>
        <v>1</v>
      </c>
      <c r="B2183" s="20" t="s">
        <v>635</v>
      </c>
      <c r="C2183" s="24">
        <v>20060368076540</v>
      </c>
      <c r="D2183" s="20" t="s">
        <v>157</v>
      </c>
      <c r="E2183" s="22">
        <v>17.25</v>
      </c>
      <c r="F2183" s="9"/>
      <c r="G2183" s="14" t="str">
        <f t="shared" si="81"/>
        <v>O</v>
      </c>
      <c r="H2183" s="15">
        <f t="shared" si="82"/>
        <v>8.625</v>
      </c>
      <c r="L2183" s="35"/>
    </row>
    <row r="2184" spans="1:12" x14ac:dyDescent="0.3">
      <c r="A2184" s="19">
        <f>COUNTIFS($B$2:B2184,B2184)</f>
        <v>2</v>
      </c>
      <c r="B2184" s="20" t="s">
        <v>635</v>
      </c>
      <c r="C2184" s="24">
        <v>20060368076540</v>
      </c>
      <c r="D2184" s="20" t="s">
        <v>210</v>
      </c>
      <c r="E2184" s="22">
        <v>43.12</v>
      </c>
      <c r="F2184" s="9"/>
      <c r="G2184" s="14" t="str">
        <f t="shared" si="81"/>
        <v>O</v>
      </c>
      <c r="H2184" s="15">
        <f t="shared" si="82"/>
        <v>21.56</v>
      </c>
      <c r="L2184" s="35"/>
    </row>
    <row r="2185" spans="1:12" x14ac:dyDescent="0.3">
      <c r="A2185" s="19">
        <f>COUNTIFS($B$2:B2185,B2185)</f>
        <v>3</v>
      </c>
      <c r="B2185" s="20" t="s">
        <v>635</v>
      </c>
      <c r="C2185" s="24">
        <v>20060368076540</v>
      </c>
      <c r="D2185" s="20" t="s">
        <v>12</v>
      </c>
      <c r="E2185" s="22">
        <v>7.06</v>
      </c>
      <c r="F2185" s="9"/>
      <c r="G2185" s="14" t="str">
        <f t="shared" si="81"/>
        <v>O</v>
      </c>
      <c r="H2185" s="15">
        <f t="shared" si="82"/>
        <v>3.53</v>
      </c>
      <c r="L2185" s="35"/>
    </row>
    <row r="2186" spans="1:12" x14ac:dyDescent="0.3">
      <c r="A2186" s="19">
        <f>COUNTIFS($B$2:B2186,B2186)</f>
        <v>4</v>
      </c>
      <c r="B2186" s="20" t="s">
        <v>635</v>
      </c>
      <c r="C2186" s="24">
        <v>20060368076540</v>
      </c>
      <c r="D2186" s="20" t="s">
        <v>206</v>
      </c>
      <c r="E2186" s="22">
        <v>44.84</v>
      </c>
      <c r="F2186" s="9"/>
      <c r="G2186" s="14" t="str">
        <f t="shared" si="81"/>
        <v>O</v>
      </c>
      <c r="H2186" s="15">
        <f t="shared" si="82"/>
        <v>22.42</v>
      </c>
      <c r="L2186" s="35"/>
    </row>
    <row r="2187" spans="1:12" x14ac:dyDescent="0.3">
      <c r="A2187" s="19">
        <f>COUNTIFS($B$2:B2187,B2187)</f>
        <v>5</v>
      </c>
      <c r="B2187" s="20" t="s">
        <v>635</v>
      </c>
      <c r="C2187" s="24">
        <v>20060368076540</v>
      </c>
      <c r="D2187" s="20" t="s">
        <v>172</v>
      </c>
      <c r="E2187" s="22">
        <v>5.0199999999999996</v>
      </c>
      <c r="F2187" s="9"/>
      <c r="G2187" s="14" t="str">
        <f t="shared" ref="G2187:G2204" si="83">IF(D2187="","",IF(COUNTIF(I:I,D2187)&gt;0,"O","X"))</f>
        <v>O</v>
      </c>
      <c r="H2187" s="15">
        <f t="shared" si="82"/>
        <v>2.5099999999999998</v>
      </c>
      <c r="L2187" s="35"/>
    </row>
    <row r="2188" spans="1:12" x14ac:dyDescent="0.3">
      <c r="A2188" s="19">
        <f>COUNTIFS($B$2:B2188,B2188)</f>
        <v>6</v>
      </c>
      <c r="B2188" s="20" t="s">
        <v>635</v>
      </c>
      <c r="C2188" s="24">
        <v>20060368076540</v>
      </c>
      <c r="D2188" s="20" t="s">
        <v>222</v>
      </c>
      <c r="E2188" s="22">
        <v>0.72</v>
      </c>
      <c r="F2188" s="9"/>
      <c r="G2188" s="14" t="str">
        <f t="shared" si="83"/>
        <v>O</v>
      </c>
      <c r="H2188" s="15">
        <f t="shared" si="82"/>
        <v>0.36</v>
      </c>
      <c r="L2188" s="35"/>
    </row>
    <row r="2189" spans="1:12" x14ac:dyDescent="0.3">
      <c r="A2189" s="19">
        <f>COUNTIFS($B$2:B2189,B2189)</f>
        <v>1</v>
      </c>
      <c r="B2189" s="20" t="s">
        <v>480</v>
      </c>
      <c r="C2189" s="21">
        <v>20060368076541</v>
      </c>
      <c r="D2189" s="20"/>
      <c r="E2189" s="22"/>
      <c r="F2189" s="9"/>
      <c r="G2189" s="14" t="str">
        <f t="shared" si="83"/>
        <v/>
      </c>
      <c r="H2189" s="15">
        <f t="shared" si="82"/>
        <v>0</v>
      </c>
      <c r="L2189" s="35"/>
    </row>
    <row r="2190" spans="1:12" x14ac:dyDescent="0.3">
      <c r="A2190" s="23">
        <f>COUNTIFS($B$2:B2190,B2190)</f>
        <v>1</v>
      </c>
      <c r="B2190" s="20" t="s">
        <v>636</v>
      </c>
      <c r="C2190" s="21">
        <v>20060368076541</v>
      </c>
      <c r="D2190" s="20" t="s">
        <v>157</v>
      </c>
      <c r="E2190" s="22">
        <v>25.69</v>
      </c>
      <c r="F2190" s="9"/>
      <c r="G2190" s="14" t="str">
        <f t="shared" si="83"/>
        <v>O</v>
      </c>
      <c r="H2190" s="15">
        <f t="shared" si="82"/>
        <v>12.845000000000001</v>
      </c>
      <c r="L2190" s="35"/>
    </row>
    <row r="2191" spans="1:12" x14ac:dyDescent="0.3">
      <c r="A2191" s="19">
        <f>COUNTIFS($B$2:B2191,B2191)</f>
        <v>2</v>
      </c>
      <c r="B2191" s="20" t="s">
        <v>636</v>
      </c>
      <c r="C2191" s="21">
        <v>20060368076541</v>
      </c>
      <c r="D2191" s="20" t="s">
        <v>210</v>
      </c>
      <c r="E2191" s="22">
        <v>29.14</v>
      </c>
      <c r="F2191" s="9"/>
      <c r="G2191" s="14" t="str">
        <f t="shared" si="83"/>
        <v>O</v>
      </c>
      <c r="H2191" s="15">
        <f t="shared" si="82"/>
        <v>14.57</v>
      </c>
      <c r="L2191" s="35"/>
    </row>
    <row r="2192" spans="1:12" x14ac:dyDescent="0.3">
      <c r="A2192" s="19">
        <f>COUNTIFS($B$2:B2192,B2192)</f>
        <v>3</v>
      </c>
      <c r="B2192" s="20" t="s">
        <v>636</v>
      </c>
      <c r="C2192" s="21">
        <v>20060368076541</v>
      </c>
      <c r="D2192" s="20" t="s">
        <v>17</v>
      </c>
      <c r="E2192" s="22">
        <v>7.63</v>
      </c>
      <c r="F2192" s="9"/>
      <c r="G2192" s="14" t="str">
        <f t="shared" si="83"/>
        <v>O</v>
      </c>
      <c r="H2192" s="15">
        <f t="shared" si="82"/>
        <v>3.8149999999999999</v>
      </c>
      <c r="L2192" s="35"/>
    </row>
    <row r="2193" spans="1:12" x14ac:dyDescent="0.3">
      <c r="A2193" s="19">
        <f>COUNTIFS($B$2:B2193,B2193)</f>
        <v>4</v>
      </c>
      <c r="B2193" s="20" t="s">
        <v>636</v>
      </c>
      <c r="C2193" s="21">
        <v>20060368076541</v>
      </c>
      <c r="D2193" s="20" t="s">
        <v>206</v>
      </c>
      <c r="E2193" s="22">
        <v>34.22</v>
      </c>
      <c r="F2193" s="9"/>
      <c r="G2193" s="14" t="str">
        <f t="shared" si="83"/>
        <v>O</v>
      </c>
      <c r="H2193" s="15">
        <f t="shared" si="82"/>
        <v>17.11</v>
      </c>
      <c r="L2193" s="35"/>
    </row>
    <row r="2194" spans="1:12" x14ac:dyDescent="0.3">
      <c r="A2194" s="19">
        <f>COUNTIFS($B$2:B2194,B2194)</f>
        <v>5</v>
      </c>
      <c r="B2194" s="20" t="s">
        <v>636</v>
      </c>
      <c r="C2194" s="21">
        <v>20060368076541</v>
      </c>
      <c r="D2194" s="20" t="s">
        <v>172</v>
      </c>
      <c r="E2194" s="22">
        <v>3.45</v>
      </c>
      <c r="F2194" s="9"/>
      <c r="G2194" s="14" t="str">
        <f t="shared" si="83"/>
        <v>O</v>
      </c>
      <c r="H2194" s="15">
        <f t="shared" si="82"/>
        <v>1.7250000000000001</v>
      </c>
      <c r="L2194" s="35"/>
    </row>
    <row r="2195" spans="1:12" x14ac:dyDescent="0.3">
      <c r="A2195" s="19">
        <f>COUNTIFS($B$2:B2195,B2195)</f>
        <v>6</v>
      </c>
      <c r="B2195" s="20" t="s">
        <v>636</v>
      </c>
      <c r="C2195" s="21">
        <v>20060368076541</v>
      </c>
      <c r="D2195" s="20" t="s">
        <v>141</v>
      </c>
      <c r="E2195" s="22">
        <v>15.43</v>
      </c>
      <c r="F2195" s="9"/>
      <c r="G2195" s="14" t="str">
        <f t="shared" si="83"/>
        <v>O</v>
      </c>
      <c r="H2195" s="15">
        <f t="shared" si="82"/>
        <v>7.7149999999999999</v>
      </c>
      <c r="L2195" s="35"/>
    </row>
    <row r="2196" spans="1:12" x14ac:dyDescent="0.3">
      <c r="A2196" s="19">
        <f>COUNTIFS($B$2:B2196,B2196)</f>
        <v>7</v>
      </c>
      <c r="B2196" s="20" t="s">
        <v>636</v>
      </c>
      <c r="C2196" s="21">
        <v>20060368076541</v>
      </c>
      <c r="D2196" s="20" t="s">
        <v>222</v>
      </c>
      <c r="E2196" s="22">
        <v>0.26</v>
      </c>
      <c r="F2196" s="9"/>
      <c r="G2196" s="14" t="str">
        <f t="shared" si="83"/>
        <v>O</v>
      </c>
      <c r="H2196" s="15">
        <f t="shared" si="82"/>
        <v>0.13</v>
      </c>
      <c r="L2196" s="35"/>
    </row>
    <row r="2197" spans="1:12" x14ac:dyDescent="0.3">
      <c r="A2197" s="19">
        <f>COUNTIFS($B$2:B2197,B2197)</f>
        <v>8</v>
      </c>
      <c r="B2197" s="20" t="s">
        <v>636</v>
      </c>
      <c r="C2197" s="21">
        <v>20060368076541</v>
      </c>
      <c r="D2197" s="20" t="s">
        <v>255</v>
      </c>
      <c r="E2197" s="22">
        <v>2.1800000000000002</v>
      </c>
      <c r="F2197" s="9"/>
      <c r="G2197" s="14" t="str">
        <f t="shared" si="83"/>
        <v>O</v>
      </c>
      <c r="H2197" s="15">
        <f t="shared" si="82"/>
        <v>1.0900000000000001</v>
      </c>
      <c r="L2197" s="35"/>
    </row>
    <row r="2198" spans="1:12" x14ac:dyDescent="0.3">
      <c r="A2198" s="23">
        <f>COUNTIFS($B$2:B2198,B2198)</f>
        <v>1</v>
      </c>
      <c r="B2198" s="20" t="s">
        <v>637</v>
      </c>
      <c r="C2198" s="21">
        <v>20060368076541</v>
      </c>
      <c r="D2198" s="20" t="s">
        <v>210</v>
      </c>
      <c r="E2198" s="22">
        <v>30.27</v>
      </c>
      <c r="F2198" s="9"/>
      <c r="G2198" s="14" t="str">
        <f t="shared" si="83"/>
        <v>O</v>
      </c>
      <c r="H2198" s="15">
        <f t="shared" si="82"/>
        <v>15.135</v>
      </c>
      <c r="L2198" s="35"/>
    </row>
    <row r="2199" spans="1:12" x14ac:dyDescent="0.3">
      <c r="A2199" s="19">
        <f>COUNTIFS($B$2:B2199,B2199)</f>
        <v>2</v>
      </c>
      <c r="B2199" s="20" t="s">
        <v>637</v>
      </c>
      <c r="C2199" s="21">
        <v>20060368076541</v>
      </c>
      <c r="D2199" s="20" t="s">
        <v>213</v>
      </c>
      <c r="E2199" s="22">
        <v>24.28</v>
      </c>
      <c r="F2199" s="9"/>
      <c r="G2199" s="14" t="str">
        <f t="shared" si="83"/>
        <v>O</v>
      </c>
      <c r="H2199" s="15">
        <f t="shared" si="82"/>
        <v>12.14</v>
      </c>
      <c r="L2199" s="35"/>
    </row>
    <row r="2200" spans="1:12" x14ac:dyDescent="0.3">
      <c r="A2200" s="19">
        <f>COUNTIFS($B$2:B2200,B2200)</f>
        <v>3</v>
      </c>
      <c r="B2200" s="20" t="s">
        <v>637</v>
      </c>
      <c r="C2200" s="21">
        <v>20060368076541</v>
      </c>
      <c r="D2200" s="20" t="s">
        <v>222</v>
      </c>
      <c r="E2200" s="22">
        <v>0.27</v>
      </c>
      <c r="F2200" s="9"/>
      <c r="G2200" s="14" t="str">
        <f t="shared" si="83"/>
        <v>O</v>
      </c>
      <c r="H2200" s="15">
        <f t="shared" si="82"/>
        <v>0.13500000000000001</v>
      </c>
      <c r="L2200" s="35"/>
    </row>
    <row r="2201" spans="1:12" x14ac:dyDescent="0.3">
      <c r="A2201" s="19">
        <f>COUNTIFS($B$2:B2201,B2201)</f>
        <v>4</v>
      </c>
      <c r="B2201" s="20" t="s">
        <v>637</v>
      </c>
      <c r="C2201" s="21">
        <v>20060368076541</v>
      </c>
      <c r="D2201" s="20" t="s">
        <v>17</v>
      </c>
      <c r="E2201" s="22">
        <v>6.04</v>
      </c>
      <c r="F2201" s="9"/>
      <c r="G2201" s="14" t="str">
        <f t="shared" si="83"/>
        <v>O</v>
      </c>
      <c r="H2201" s="15">
        <f t="shared" si="82"/>
        <v>3.02</v>
      </c>
      <c r="L2201" s="35"/>
    </row>
    <row r="2202" spans="1:12" x14ac:dyDescent="0.3">
      <c r="A2202" s="19">
        <f>COUNTIFS($B$2:B2202,B2202)</f>
        <v>5</v>
      </c>
      <c r="B2202" s="20" t="s">
        <v>637</v>
      </c>
      <c r="C2202" s="21">
        <v>20060368076541</v>
      </c>
      <c r="D2202" s="20" t="s">
        <v>141</v>
      </c>
      <c r="E2202" s="22">
        <v>14.89</v>
      </c>
      <c r="F2202" s="9"/>
      <c r="G2202" s="14" t="str">
        <f t="shared" si="83"/>
        <v>O</v>
      </c>
      <c r="H2202" s="15">
        <f t="shared" si="82"/>
        <v>7.4450000000000003</v>
      </c>
      <c r="L2202" s="35"/>
    </row>
    <row r="2203" spans="1:12" x14ac:dyDescent="0.3">
      <c r="A2203" s="19">
        <f>COUNTIFS($B$2:B2203,B2203)</f>
        <v>6</v>
      </c>
      <c r="B2203" s="20" t="s">
        <v>637</v>
      </c>
      <c r="C2203" s="21">
        <v>20060368076541</v>
      </c>
      <c r="D2203" s="20" t="s">
        <v>206</v>
      </c>
      <c r="E2203" s="22">
        <v>40.479999999999997</v>
      </c>
      <c r="F2203" s="9"/>
      <c r="G2203" s="14" t="str">
        <f t="shared" si="83"/>
        <v>O</v>
      </c>
      <c r="H2203" s="15">
        <f t="shared" si="82"/>
        <v>20.239999999999998</v>
      </c>
      <c r="L2203" s="35"/>
    </row>
    <row r="2204" spans="1:12" x14ac:dyDescent="0.3">
      <c r="A2204" s="19">
        <f>COUNTIFS($B$2:B2204,B2204)</f>
        <v>7</v>
      </c>
      <c r="B2204" s="20" t="s">
        <v>637</v>
      </c>
      <c r="C2204" s="21">
        <v>20060368076541</v>
      </c>
      <c r="D2204" s="20" t="s">
        <v>583</v>
      </c>
      <c r="E2204" s="22">
        <v>1.5</v>
      </c>
      <c r="F2204" s="9"/>
      <c r="G2204" s="14" t="str">
        <f t="shared" si="83"/>
        <v>O</v>
      </c>
      <c r="H2204" s="15">
        <f t="shared" si="82"/>
        <v>0.75</v>
      </c>
      <c r="L2204" s="35"/>
    </row>
    <row r="2205" spans="1:12" x14ac:dyDescent="0.3">
      <c r="A2205" s="19">
        <f>COUNTIFS($B$2:B2205,B2205)</f>
        <v>8</v>
      </c>
      <c r="B2205" s="20" t="s">
        <v>637</v>
      </c>
      <c r="C2205" s="21">
        <v>20060368076541</v>
      </c>
      <c r="D2205" s="20" t="s">
        <v>214</v>
      </c>
      <c r="E2205" s="22">
        <v>0.27</v>
      </c>
      <c r="F2205" s="9"/>
      <c r="G2205" s="14"/>
      <c r="H2205" s="15">
        <f t="shared" si="82"/>
        <v>0.13500000000000001</v>
      </c>
      <c r="L2205" s="35"/>
    </row>
    <row r="2206" spans="1:12" x14ac:dyDescent="0.3">
      <c r="A2206" s="23">
        <f>COUNTIFS($B$2:B2206,B2206)</f>
        <v>1</v>
      </c>
      <c r="B2206" s="20" t="s">
        <v>638</v>
      </c>
      <c r="C2206" s="21">
        <v>20060368076541</v>
      </c>
      <c r="D2206" s="20" t="s">
        <v>210</v>
      </c>
      <c r="E2206" s="22">
        <v>28.59</v>
      </c>
      <c r="F2206" s="9"/>
      <c r="G2206" s="14" t="str">
        <f t="shared" ref="G2206:G2235" si="84">IF(D2206="","",IF(COUNTIF(I:I,D2206)&gt;0,"O","X"))</f>
        <v>O</v>
      </c>
      <c r="H2206" s="15">
        <f t="shared" si="82"/>
        <v>14.295</v>
      </c>
      <c r="L2206" s="35"/>
    </row>
    <row r="2207" spans="1:12" x14ac:dyDescent="0.3">
      <c r="A2207" s="19">
        <f>COUNTIFS($B$2:B2207,B2207)</f>
        <v>2</v>
      </c>
      <c r="B2207" s="20" t="s">
        <v>638</v>
      </c>
      <c r="C2207" s="21">
        <v>20060368076541</v>
      </c>
      <c r="D2207" s="20" t="s">
        <v>213</v>
      </c>
      <c r="E2207" s="22">
        <v>23.45</v>
      </c>
      <c r="F2207" s="9"/>
      <c r="G2207" s="14" t="str">
        <f t="shared" si="84"/>
        <v>O</v>
      </c>
      <c r="H2207" s="15">
        <f t="shared" si="82"/>
        <v>11.725</v>
      </c>
      <c r="L2207" s="35"/>
    </row>
    <row r="2208" spans="1:12" x14ac:dyDescent="0.3">
      <c r="A2208" s="19">
        <f>COUNTIFS($B$2:B2208,B2208)</f>
        <v>3</v>
      </c>
      <c r="B2208" s="20" t="s">
        <v>638</v>
      </c>
      <c r="C2208" s="21">
        <v>20060368076541</v>
      </c>
      <c r="D2208" s="20" t="s">
        <v>17</v>
      </c>
      <c r="E2208" s="22">
        <v>7.67</v>
      </c>
      <c r="F2208" s="9"/>
      <c r="G2208" s="14" t="str">
        <f t="shared" si="84"/>
        <v>O</v>
      </c>
      <c r="H2208" s="15">
        <f t="shared" si="82"/>
        <v>3.835</v>
      </c>
      <c r="L2208" s="35"/>
    </row>
    <row r="2209" spans="1:12" x14ac:dyDescent="0.3">
      <c r="A2209" s="19">
        <f>COUNTIFS($B$2:B2209,B2209)</f>
        <v>4</v>
      </c>
      <c r="B2209" s="20" t="s">
        <v>638</v>
      </c>
      <c r="C2209" s="21">
        <v>20060368076541</v>
      </c>
      <c r="D2209" s="20" t="s">
        <v>206</v>
      </c>
      <c r="E2209" s="22">
        <v>40.4</v>
      </c>
      <c r="F2209" s="9"/>
      <c r="G2209" s="14" t="str">
        <f t="shared" si="84"/>
        <v>O</v>
      </c>
      <c r="H2209" s="15">
        <f t="shared" si="82"/>
        <v>20.2</v>
      </c>
      <c r="L2209" s="35"/>
    </row>
    <row r="2210" spans="1:12" x14ac:dyDescent="0.3">
      <c r="A2210" s="19">
        <f>COUNTIFS($B$2:B2210,B2210)</f>
        <v>5</v>
      </c>
      <c r="B2210" s="20" t="s">
        <v>638</v>
      </c>
      <c r="C2210" s="21">
        <v>20060368076541</v>
      </c>
      <c r="D2210" s="20" t="s">
        <v>141</v>
      </c>
      <c r="E2210" s="22">
        <v>16.86</v>
      </c>
      <c r="F2210" s="9"/>
      <c r="G2210" s="14" t="str">
        <f t="shared" si="84"/>
        <v>O</v>
      </c>
      <c r="H2210" s="15">
        <f t="shared" si="82"/>
        <v>8.43</v>
      </c>
      <c r="L2210" s="35"/>
    </row>
    <row r="2211" spans="1:12" x14ac:dyDescent="0.3">
      <c r="A2211" s="19">
        <f>COUNTIFS($B$2:B2211,B2211)</f>
        <v>6</v>
      </c>
      <c r="B2211" s="20" t="s">
        <v>638</v>
      </c>
      <c r="C2211" s="21">
        <v>20060368076541</v>
      </c>
      <c r="D2211" s="20" t="s">
        <v>222</v>
      </c>
      <c r="E2211" s="22">
        <v>1.03</v>
      </c>
      <c r="F2211" s="9"/>
      <c r="G2211" s="14" t="str">
        <f t="shared" si="84"/>
        <v>O</v>
      </c>
      <c r="H2211" s="15">
        <f t="shared" si="82"/>
        <v>0.51500000000000001</v>
      </c>
      <c r="L2211" s="35"/>
    </row>
    <row r="2212" spans="1:12" x14ac:dyDescent="0.3">
      <c r="A2212" s="23">
        <f>COUNTIFS($B$2:B2212,B2212)</f>
        <v>1</v>
      </c>
      <c r="B2212" s="20" t="s">
        <v>639</v>
      </c>
      <c r="C2212" s="21">
        <v>20060368076550</v>
      </c>
      <c r="D2212" s="20" t="s">
        <v>210</v>
      </c>
      <c r="E2212" s="22">
        <v>41.76</v>
      </c>
      <c r="F2212" s="9"/>
      <c r="G2212" s="14" t="str">
        <f t="shared" si="84"/>
        <v>O</v>
      </c>
      <c r="H2212" s="15">
        <f t="shared" si="82"/>
        <v>20.88</v>
      </c>
      <c r="L2212" s="35"/>
    </row>
    <row r="2213" spans="1:12" x14ac:dyDescent="0.3">
      <c r="A2213" s="19">
        <f>COUNTIFS($B$2:B2213,B2213)</f>
        <v>2</v>
      </c>
      <c r="B2213" s="20" t="s">
        <v>639</v>
      </c>
      <c r="C2213" s="21">
        <v>20060368076550</v>
      </c>
      <c r="D2213" s="20" t="s">
        <v>157</v>
      </c>
      <c r="E2213" s="22">
        <v>16.71</v>
      </c>
      <c r="F2213" s="9"/>
      <c r="G2213" s="14" t="str">
        <f t="shared" si="84"/>
        <v>O</v>
      </c>
      <c r="H2213" s="15">
        <f t="shared" si="82"/>
        <v>8.3550000000000004</v>
      </c>
      <c r="L2213" s="35"/>
    </row>
    <row r="2214" spans="1:12" x14ac:dyDescent="0.3">
      <c r="A2214" s="19">
        <f>COUNTIFS($B$2:B2214,B2214)</f>
        <v>3</v>
      </c>
      <c r="B2214" s="20" t="s">
        <v>639</v>
      </c>
      <c r="C2214" s="21">
        <v>20060368076550</v>
      </c>
      <c r="D2214" s="20" t="s">
        <v>11</v>
      </c>
      <c r="E2214" s="22">
        <v>6.99</v>
      </c>
      <c r="F2214" s="9"/>
      <c r="G2214" s="14" t="str">
        <f t="shared" si="84"/>
        <v>O</v>
      </c>
      <c r="H2214" s="15">
        <f t="shared" si="82"/>
        <v>3.4950000000000001</v>
      </c>
      <c r="L2214" s="35"/>
    </row>
    <row r="2215" spans="1:12" x14ac:dyDescent="0.3">
      <c r="A2215" s="19">
        <f>COUNTIFS($B$2:B2215,B2215)</f>
        <v>4</v>
      </c>
      <c r="B2215" s="20" t="s">
        <v>639</v>
      </c>
      <c r="C2215" s="21">
        <v>20060368076550</v>
      </c>
      <c r="D2215" s="20" t="s">
        <v>514</v>
      </c>
      <c r="E2215" s="22">
        <v>3.04</v>
      </c>
      <c r="F2215" s="9"/>
      <c r="G2215" s="14" t="str">
        <f t="shared" si="84"/>
        <v>O</v>
      </c>
      <c r="H2215" s="15">
        <f t="shared" si="82"/>
        <v>1.52</v>
      </c>
      <c r="L2215" s="35"/>
    </row>
    <row r="2216" spans="1:12" x14ac:dyDescent="0.3">
      <c r="A2216" s="19">
        <f>COUNTIFS($B$2:B2216,B2216)</f>
        <v>5</v>
      </c>
      <c r="B2216" s="20" t="s">
        <v>639</v>
      </c>
      <c r="C2216" s="21">
        <v>20060368076550</v>
      </c>
      <c r="D2216" s="20" t="s">
        <v>206</v>
      </c>
      <c r="E2216" s="22">
        <v>49.2</v>
      </c>
      <c r="F2216" s="9"/>
      <c r="G2216" s="14" t="str">
        <f t="shared" si="84"/>
        <v>O</v>
      </c>
      <c r="H2216" s="15">
        <f t="shared" si="82"/>
        <v>24.6</v>
      </c>
      <c r="L2216" s="35"/>
    </row>
    <row r="2217" spans="1:12" x14ac:dyDescent="0.3">
      <c r="A2217" s="19">
        <f>COUNTIFS($B$2:B2217,B2217)</f>
        <v>6</v>
      </c>
      <c r="B2217" s="20" t="s">
        <v>639</v>
      </c>
      <c r="C2217" s="21">
        <v>20060368076550</v>
      </c>
      <c r="D2217" s="20" t="s">
        <v>222</v>
      </c>
      <c r="E2217" s="22">
        <v>0.3</v>
      </c>
      <c r="F2217" s="9"/>
      <c r="G2217" s="14" t="str">
        <f t="shared" si="84"/>
        <v>O</v>
      </c>
      <c r="H2217" s="15">
        <f t="shared" si="82"/>
        <v>0.15</v>
      </c>
      <c r="L2217" s="35"/>
    </row>
    <row r="2218" spans="1:12" x14ac:dyDescent="0.3">
      <c r="A2218" s="19">
        <f>COUNTIFS($B$2:B2218,B2218)</f>
        <v>1</v>
      </c>
      <c r="B2218" s="20" t="s">
        <v>482</v>
      </c>
      <c r="C2218" s="21">
        <v>320060368076462</v>
      </c>
      <c r="D2218" s="20"/>
      <c r="E2218" s="22"/>
      <c r="F2218" s="9"/>
      <c r="G2218" s="14" t="str">
        <f t="shared" si="84"/>
        <v/>
      </c>
      <c r="H2218" s="15">
        <f t="shared" si="82"/>
        <v>0</v>
      </c>
      <c r="L2218" s="35"/>
    </row>
    <row r="2219" spans="1:12" x14ac:dyDescent="0.3">
      <c r="A2219" s="23">
        <f>COUNTIFS($B$2:B2219,B2219)</f>
        <v>1</v>
      </c>
      <c r="B2219" s="20" t="s">
        <v>640</v>
      </c>
      <c r="C2219" s="21">
        <v>320060368076462</v>
      </c>
      <c r="D2219" s="20" t="s">
        <v>157</v>
      </c>
      <c r="E2219" s="22">
        <v>17.25</v>
      </c>
      <c r="F2219" s="9"/>
      <c r="G2219" s="14" t="str">
        <f t="shared" si="84"/>
        <v>O</v>
      </c>
      <c r="H2219" s="15">
        <f t="shared" si="82"/>
        <v>8.625</v>
      </c>
      <c r="L2219" s="35"/>
    </row>
    <row r="2220" spans="1:12" x14ac:dyDescent="0.3">
      <c r="A2220" s="19">
        <f>COUNTIFS($B$2:B2220,B2220)</f>
        <v>2</v>
      </c>
      <c r="B2220" s="20" t="s">
        <v>640</v>
      </c>
      <c r="C2220" s="21">
        <v>320060368076462</v>
      </c>
      <c r="D2220" s="20" t="s">
        <v>210</v>
      </c>
      <c r="E2220" s="22">
        <v>43.12</v>
      </c>
      <c r="F2220" s="9"/>
      <c r="G2220" s="14" t="str">
        <f t="shared" si="84"/>
        <v>O</v>
      </c>
      <c r="H2220" s="15">
        <f t="shared" si="82"/>
        <v>21.56</v>
      </c>
      <c r="L2220" s="35"/>
    </row>
    <row r="2221" spans="1:12" x14ac:dyDescent="0.3">
      <c r="A2221" s="19">
        <f>COUNTIFS($B$2:B2221,B2221)</f>
        <v>3</v>
      </c>
      <c r="B2221" s="20" t="s">
        <v>640</v>
      </c>
      <c r="C2221" s="21">
        <v>320060368076462</v>
      </c>
      <c r="D2221" s="20" t="s">
        <v>12</v>
      </c>
      <c r="E2221" s="22">
        <v>7.06</v>
      </c>
      <c r="F2221" s="9"/>
      <c r="G2221" s="14" t="str">
        <f t="shared" si="84"/>
        <v>O</v>
      </c>
      <c r="H2221" s="15">
        <f t="shared" si="82"/>
        <v>3.53</v>
      </c>
      <c r="L2221" s="35"/>
    </row>
    <row r="2222" spans="1:12" x14ac:dyDescent="0.3">
      <c r="A2222" s="19">
        <f>COUNTIFS($B$2:B2222,B2222)</f>
        <v>4</v>
      </c>
      <c r="B2222" s="20" t="s">
        <v>640</v>
      </c>
      <c r="C2222" s="21">
        <v>320060368076462</v>
      </c>
      <c r="D2222" s="20" t="s">
        <v>206</v>
      </c>
      <c r="E2222" s="22">
        <v>44.84</v>
      </c>
      <c r="F2222" s="9"/>
      <c r="G2222" s="14" t="str">
        <f t="shared" si="84"/>
        <v>O</v>
      </c>
      <c r="H2222" s="15">
        <f t="shared" si="82"/>
        <v>22.42</v>
      </c>
      <c r="L2222" s="35"/>
    </row>
    <row r="2223" spans="1:12" x14ac:dyDescent="0.3">
      <c r="A2223" s="19">
        <f>COUNTIFS($B$2:B2223,B2223)</f>
        <v>5</v>
      </c>
      <c r="B2223" s="20" t="s">
        <v>640</v>
      </c>
      <c r="C2223" s="21">
        <v>320060368076462</v>
      </c>
      <c r="D2223" s="20" t="s">
        <v>172</v>
      </c>
      <c r="E2223" s="22">
        <v>5.0199999999999996</v>
      </c>
      <c r="F2223" s="9"/>
      <c r="G2223" s="14" t="str">
        <f t="shared" si="84"/>
        <v>O</v>
      </c>
      <c r="H2223" s="15">
        <f t="shared" si="82"/>
        <v>2.5099999999999998</v>
      </c>
      <c r="L2223" s="35"/>
    </row>
    <row r="2224" spans="1:12" x14ac:dyDescent="0.3">
      <c r="A2224" s="19">
        <f>COUNTIFS($B$2:B2224,B2224)</f>
        <v>6</v>
      </c>
      <c r="B2224" s="20" t="s">
        <v>640</v>
      </c>
      <c r="C2224" s="21">
        <v>320060368076462</v>
      </c>
      <c r="D2224" s="20" t="s">
        <v>222</v>
      </c>
      <c r="E2224" s="22">
        <v>0.72</v>
      </c>
      <c r="F2224" s="9"/>
      <c r="G2224" s="14" t="str">
        <f t="shared" si="84"/>
        <v>O</v>
      </c>
      <c r="H2224" s="15">
        <f t="shared" si="82"/>
        <v>0.36</v>
      </c>
      <c r="L2224" s="35"/>
    </row>
    <row r="2225" spans="1:12" x14ac:dyDescent="0.3">
      <c r="A2225" s="23">
        <f>COUNTIFS($B$2:B2225,B2225)</f>
        <v>11</v>
      </c>
      <c r="B2225" s="20" t="s">
        <v>533</v>
      </c>
      <c r="C2225" s="21">
        <v>320060368076462</v>
      </c>
      <c r="D2225" s="20" t="s">
        <v>206</v>
      </c>
      <c r="E2225" s="22">
        <v>50.49</v>
      </c>
      <c r="F2225" s="9"/>
      <c r="G2225" s="14" t="str">
        <f t="shared" si="84"/>
        <v>O</v>
      </c>
      <c r="H2225" s="15">
        <f t="shared" si="82"/>
        <v>25.245000000000001</v>
      </c>
      <c r="L2225" s="35"/>
    </row>
    <row r="2226" spans="1:12" x14ac:dyDescent="0.3">
      <c r="A2226" s="19">
        <f>COUNTIFS($B$2:B2226,B2226)</f>
        <v>12</v>
      </c>
      <c r="B2226" s="20" t="s">
        <v>533</v>
      </c>
      <c r="C2226" s="21">
        <v>320060368076462</v>
      </c>
      <c r="D2226" s="20" t="s">
        <v>222</v>
      </c>
      <c r="E2226" s="22">
        <v>0.71</v>
      </c>
      <c r="F2226" s="9"/>
      <c r="G2226" s="14" t="str">
        <f t="shared" si="84"/>
        <v>O</v>
      </c>
      <c r="H2226" s="15">
        <f t="shared" si="82"/>
        <v>0.35499999999999998</v>
      </c>
      <c r="L2226" s="35"/>
    </row>
    <row r="2227" spans="1:12" x14ac:dyDescent="0.3">
      <c r="A2227" s="19">
        <f>COUNTIFS($B$2:B2227,B2227)</f>
        <v>13</v>
      </c>
      <c r="B2227" s="20" t="s">
        <v>533</v>
      </c>
      <c r="C2227" s="21">
        <v>320060368076462</v>
      </c>
      <c r="D2227" s="20" t="s">
        <v>210</v>
      </c>
      <c r="E2227" s="22">
        <v>42.72</v>
      </c>
      <c r="F2227" s="9"/>
      <c r="G2227" s="14" t="str">
        <f t="shared" si="84"/>
        <v>O</v>
      </c>
      <c r="H2227" s="15">
        <f t="shared" si="82"/>
        <v>21.36</v>
      </c>
      <c r="L2227" s="35"/>
    </row>
    <row r="2228" spans="1:12" x14ac:dyDescent="0.3">
      <c r="A2228" s="19">
        <f>COUNTIFS($B$2:B2228,B2228)</f>
        <v>14</v>
      </c>
      <c r="B2228" s="20" t="s">
        <v>533</v>
      </c>
      <c r="C2228" s="21">
        <v>320060368076462</v>
      </c>
      <c r="D2228" s="20" t="s">
        <v>213</v>
      </c>
      <c r="E2228" s="22">
        <v>17.09</v>
      </c>
      <c r="F2228" s="9"/>
      <c r="G2228" s="14" t="str">
        <f t="shared" si="84"/>
        <v>O</v>
      </c>
      <c r="H2228" s="15">
        <f t="shared" si="82"/>
        <v>8.5449999999999999</v>
      </c>
      <c r="L2228" s="35"/>
    </row>
    <row r="2229" spans="1:12" x14ac:dyDescent="0.3">
      <c r="A2229" s="19">
        <f>COUNTIFS($B$2:B2229,B2229)</f>
        <v>15</v>
      </c>
      <c r="B2229" s="20" t="s">
        <v>533</v>
      </c>
      <c r="C2229" s="21">
        <v>320060368076462</v>
      </c>
      <c r="D2229" s="20" t="s">
        <v>11</v>
      </c>
      <c r="E2229" s="22">
        <v>6.99</v>
      </c>
      <c r="F2229" s="9"/>
      <c r="G2229" s="14" t="str">
        <f t="shared" si="84"/>
        <v>O</v>
      </c>
      <c r="H2229" s="15">
        <f t="shared" ref="H2229:H2292" si="85">E2229/2</f>
        <v>3.4950000000000001</v>
      </c>
      <c r="L2229" s="35"/>
    </row>
    <row r="2230" spans="1:12" x14ac:dyDescent="0.3">
      <c r="A2230" s="23">
        <f>COUNTIFS($B$2:B2230,B2230)</f>
        <v>7</v>
      </c>
      <c r="B2230" s="20" t="s">
        <v>534</v>
      </c>
      <c r="C2230" s="21">
        <v>320060368076462</v>
      </c>
      <c r="D2230" s="20" t="s">
        <v>210</v>
      </c>
      <c r="E2230" s="22">
        <v>41.77</v>
      </c>
      <c r="F2230" s="9"/>
      <c r="G2230" s="14" t="str">
        <f t="shared" si="84"/>
        <v>O</v>
      </c>
      <c r="H2230" s="15">
        <f t="shared" si="85"/>
        <v>20.885000000000002</v>
      </c>
      <c r="L2230" s="35"/>
    </row>
    <row r="2231" spans="1:12" x14ac:dyDescent="0.3">
      <c r="A2231" s="19">
        <f>COUNTIFS($B$2:B2231,B2231)</f>
        <v>8</v>
      </c>
      <c r="B2231" s="20" t="s">
        <v>534</v>
      </c>
      <c r="C2231" s="21">
        <v>320060368076462</v>
      </c>
      <c r="D2231" s="20" t="s">
        <v>11</v>
      </c>
      <c r="E2231" s="22">
        <v>6.99</v>
      </c>
      <c r="F2231" s="9"/>
      <c r="G2231" s="14" t="str">
        <f t="shared" si="84"/>
        <v>O</v>
      </c>
      <c r="H2231" s="15">
        <f t="shared" si="85"/>
        <v>3.4950000000000001</v>
      </c>
      <c r="L2231" s="35"/>
    </row>
    <row r="2232" spans="1:12" x14ac:dyDescent="0.3">
      <c r="A2232" s="19">
        <f>COUNTIFS($B$2:B2232,B2232)</f>
        <v>9</v>
      </c>
      <c r="B2232" s="20" t="s">
        <v>534</v>
      </c>
      <c r="C2232" s="21">
        <v>320060368076462</v>
      </c>
      <c r="D2232" s="20" t="s">
        <v>213</v>
      </c>
      <c r="E2232" s="22">
        <v>16.71</v>
      </c>
      <c r="F2232" s="9"/>
      <c r="G2232" s="14" t="str">
        <f t="shared" si="84"/>
        <v>O</v>
      </c>
      <c r="H2232" s="15">
        <f t="shared" si="85"/>
        <v>8.3550000000000004</v>
      </c>
      <c r="L2232" s="35"/>
    </row>
    <row r="2233" spans="1:12" x14ac:dyDescent="0.3">
      <c r="A2233" s="19">
        <f>COUNTIFS($B$2:B2233,B2233)</f>
        <v>10</v>
      </c>
      <c r="B2233" s="20" t="s">
        <v>534</v>
      </c>
      <c r="C2233" s="21">
        <v>320060368076462</v>
      </c>
      <c r="D2233" s="20" t="s">
        <v>206</v>
      </c>
      <c r="E2233" s="22">
        <v>49.21</v>
      </c>
      <c r="F2233" s="9"/>
      <c r="G2233" s="14" t="str">
        <f t="shared" si="84"/>
        <v>O</v>
      </c>
      <c r="H2233" s="15">
        <f t="shared" si="85"/>
        <v>24.605</v>
      </c>
      <c r="L2233" s="35"/>
    </row>
    <row r="2234" spans="1:12" x14ac:dyDescent="0.3">
      <c r="A2234" s="19">
        <f>COUNTIFS($B$2:B2234,B2234)</f>
        <v>11</v>
      </c>
      <c r="B2234" s="20" t="s">
        <v>534</v>
      </c>
      <c r="C2234" s="21">
        <v>320060368076462</v>
      </c>
      <c r="D2234" s="20" t="s">
        <v>222</v>
      </c>
      <c r="E2234" s="22">
        <v>0.28999999999999998</v>
      </c>
      <c r="F2234" s="9"/>
      <c r="G2234" s="14" t="str">
        <f t="shared" si="84"/>
        <v>O</v>
      </c>
      <c r="H2234" s="15">
        <f t="shared" si="85"/>
        <v>0.14499999999999999</v>
      </c>
      <c r="L2234" s="35"/>
    </row>
    <row r="2235" spans="1:12" x14ac:dyDescent="0.3">
      <c r="A2235" s="19">
        <f>COUNTIFS($B$2:B2235,B2235)</f>
        <v>12</v>
      </c>
      <c r="B2235" s="20" t="s">
        <v>534</v>
      </c>
      <c r="C2235" s="21">
        <v>320060368076462</v>
      </c>
      <c r="D2235" s="20" t="s">
        <v>102</v>
      </c>
      <c r="E2235" s="22">
        <v>3.04</v>
      </c>
      <c r="F2235" s="9"/>
      <c r="G2235" s="14" t="str">
        <f t="shared" si="84"/>
        <v>O</v>
      </c>
      <c r="H2235" s="15">
        <f t="shared" si="85"/>
        <v>1.52</v>
      </c>
      <c r="L2235" s="35"/>
    </row>
    <row r="2236" spans="1:12" x14ac:dyDescent="0.3">
      <c r="A2236" s="19">
        <f>COUNTIFS($B$2:B2236,B2236)</f>
        <v>1</v>
      </c>
      <c r="B2236" s="20" t="s">
        <v>641</v>
      </c>
      <c r="C2236" s="25">
        <v>320060368076648</v>
      </c>
      <c r="D2236" s="20"/>
      <c r="E2236" s="22"/>
      <c r="F2236" s="9"/>
      <c r="G2236" s="14"/>
      <c r="H2236" s="15">
        <f t="shared" si="85"/>
        <v>0</v>
      </c>
      <c r="L2236" s="35"/>
    </row>
    <row r="2237" spans="1:12" x14ac:dyDescent="0.3">
      <c r="A2237" s="23">
        <f>COUNTIFS($B$2:B2237,B2237)</f>
        <v>10</v>
      </c>
      <c r="B2237" s="20" t="s">
        <v>606</v>
      </c>
      <c r="C2237" s="25">
        <v>320060368076648</v>
      </c>
      <c r="D2237" s="20" t="s">
        <v>210</v>
      </c>
      <c r="E2237" s="22">
        <v>28.58</v>
      </c>
      <c r="F2237" s="9"/>
      <c r="G2237" s="14" t="str">
        <f t="shared" ref="G2237:G2300" si="86">IF(D2237="","",IF(COUNTIF(I:I,D2237)&gt;0,"O","X"))</f>
        <v>O</v>
      </c>
      <c r="H2237" s="15">
        <f t="shared" si="85"/>
        <v>14.29</v>
      </c>
      <c r="L2237" s="35"/>
    </row>
    <row r="2238" spans="1:12" x14ac:dyDescent="0.3">
      <c r="A2238" s="19">
        <f>COUNTIFS($B$2:B2238,B2238)</f>
        <v>11</v>
      </c>
      <c r="B2238" s="20" t="s">
        <v>606</v>
      </c>
      <c r="C2238" s="25">
        <v>320060368076648</v>
      </c>
      <c r="D2238" s="20" t="s">
        <v>157</v>
      </c>
      <c r="E2238" s="22">
        <v>24.5</v>
      </c>
      <c r="F2238" s="9"/>
      <c r="G2238" s="14" t="str">
        <f t="shared" si="86"/>
        <v>O</v>
      </c>
      <c r="H2238" s="15">
        <f t="shared" si="85"/>
        <v>12.25</v>
      </c>
      <c r="L2238" s="35"/>
    </row>
    <row r="2239" spans="1:12" x14ac:dyDescent="0.3">
      <c r="A2239" s="19">
        <f>COUNTIFS($B$2:B2239,B2239)</f>
        <v>12</v>
      </c>
      <c r="B2239" s="20" t="s">
        <v>606</v>
      </c>
      <c r="C2239" s="25">
        <v>320060368076648</v>
      </c>
      <c r="D2239" s="20" t="s">
        <v>263</v>
      </c>
      <c r="E2239" s="22">
        <v>4.9000000000000004</v>
      </c>
      <c r="F2239" s="9"/>
      <c r="G2239" s="14" t="str">
        <f t="shared" si="86"/>
        <v>O</v>
      </c>
      <c r="H2239" s="15">
        <f t="shared" si="85"/>
        <v>2.4500000000000002</v>
      </c>
      <c r="L2239" s="35"/>
    </row>
    <row r="2240" spans="1:12" x14ac:dyDescent="0.3">
      <c r="A2240" s="19">
        <f>COUNTIFS($B$2:B2240,B2240)</f>
        <v>13</v>
      </c>
      <c r="B2240" s="20" t="s">
        <v>606</v>
      </c>
      <c r="C2240" s="25">
        <v>320060368076648</v>
      </c>
      <c r="D2240" s="20" t="s">
        <v>21</v>
      </c>
      <c r="E2240" s="22">
        <v>5.72</v>
      </c>
      <c r="F2240" s="9"/>
      <c r="G2240" s="14" t="str">
        <f t="shared" si="86"/>
        <v>O</v>
      </c>
      <c r="H2240" s="15">
        <f t="shared" si="85"/>
        <v>2.86</v>
      </c>
      <c r="L2240" s="35"/>
    </row>
    <row r="2241" spans="1:12" x14ac:dyDescent="0.3">
      <c r="A2241" s="19">
        <f>COUNTIFS($B$2:B2241,B2241)</f>
        <v>14</v>
      </c>
      <c r="B2241" s="20" t="s">
        <v>606</v>
      </c>
      <c r="C2241" s="25">
        <v>320060368076648</v>
      </c>
      <c r="D2241" s="20" t="s">
        <v>206</v>
      </c>
      <c r="E2241" s="22">
        <v>40.83</v>
      </c>
      <c r="F2241" s="9"/>
      <c r="G2241" s="14" t="str">
        <f t="shared" si="86"/>
        <v>O</v>
      </c>
      <c r="H2241" s="15">
        <f t="shared" si="85"/>
        <v>20.414999999999999</v>
      </c>
      <c r="L2241" s="35"/>
    </row>
    <row r="2242" spans="1:12" x14ac:dyDescent="0.3">
      <c r="A2242" s="19">
        <f>COUNTIFS($B$2:B2242,B2242)</f>
        <v>15</v>
      </c>
      <c r="B2242" s="20" t="s">
        <v>606</v>
      </c>
      <c r="C2242" s="25">
        <v>320060368076648</v>
      </c>
      <c r="D2242" s="20" t="s">
        <v>185</v>
      </c>
      <c r="E2242" s="22">
        <v>4.2</v>
      </c>
      <c r="F2242" s="9"/>
      <c r="G2242" s="14" t="str">
        <f t="shared" si="86"/>
        <v>O</v>
      </c>
      <c r="H2242" s="15">
        <f t="shared" si="85"/>
        <v>2.1</v>
      </c>
      <c r="L2242" s="35"/>
    </row>
    <row r="2243" spans="1:12" x14ac:dyDescent="0.3">
      <c r="A2243" s="19">
        <f>COUNTIFS($B$2:B2243,B2243)</f>
        <v>16</v>
      </c>
      <c r="B2243" s="20" t="s">
        <v>606</v>
      </c>
      <c r="C2243" s="25">
        <v>320060368076648</v>
      </c>
      <c r="D2243" s="20" t="s">
        <v>222</v>
      </c>
      <c r="E2243" s="22">
        <v>0.31</v>
      </c>
      <c r="F2243" s="9"/>
      <c r="G2243" s="14" t="str">
        <f t="shared" si="86"/>
        <v>O</v>
      </c>
      <c r="H2243" s="15">
        <f t="shared" si="85"/>
        <v>0.155</v>
      </c>
      <c r="L2243" s="35"/>
    </row>
    <row r="2244" spans="1:12" x14ac:dyDescent="0.3">
      <c r="A2244" s="19">
        <f>COUNTIFS($B$2:B2244,B2244)</f>
        <v>17</v>
      </c>
      <c r="B2244" s="20" t="s">
        <v>606</v>
      </c>
      <c r="C2244" s="25">
        <v>320060368076648</v>
      </c>
      <c r="D2244" s="20" t="s">
        <v>41</v>
      </c>
      <c r="E2244" s="22">
        <v>3.36</v>
      </c>
      <c r="F2244" s="9"/>
      <c r="G2244" s="14" t="str">
        <f t="shared" si="86"/>
        <v>O</v>
      </c>
      <c r="H2244" s="15">
        <f t="shared" si="85"/>
        <v>1.68</v>
      </c>
      <c r="L2244" s="35"/>
    </row>
    <row r="2245" spans="1:12" x14ac:dyDescent="0.3">
      <c r="A2245" s="19">
        <f>COUNTIFS($B$2:B2245,B2245)</f>
        <v>18</v>
      </c>
      <c r="B2245" s="20" t="s">
        <v>606</v>
      </c>
      <c r="C2245" s="25">
        <v>320060368076648</v>
      </c>
      <c r="D2245" s="20" t="s">
        <v>21</v>
      </c>
      <c r="E2245" s="22">
        <v>5.6</v>
      </c>
      <c r="F2245" s="9"/>
      <c r="G2245" s="14" t="str">
        <f t="shared" si="86"/>
        <v>O</v>
      </c>
      <c r="H2245" s="15">
        <f t="shared" si="85"/>
        <v>2.8</v>
      </c>
      <c r="L2245" s="35"/>
    </row>
    <row r="2246" spans="1:12" x14ac:dyDescent="0.3">
      <c r="A2246" s="23">
        <f>COUNTIFS($B$2:B2246,B2246)</f>
        <v>10</v>
      </c>
      <c r="B2246" s="20" t="s">
        <v>607</v>
      </c>
      <c r="C2246" s="25">
        <v>320060368076648</v>
      </c>
      <c r="D2246" s="20" t="s">
        <v>210</v>
      </c>
      <c r="E2246" s="22">
        <v>28.58</v>
      </c>
      <c r="F2246" s="9"/>
      <c r="G2246" s="14" t="str">
        <f t="shared" si="86"/>
        <v>O</v>
      </c>
      <c r="H2246" s="15">
        <f t="shared" si="85"/>
        <v>14.29</v>
      </c>
      <c r="L2246" s="35"/>
    </row>
    <row r="2247" spans="1:12" x14ac:dyDescent="0.3">
      <c r="A2247" s="19">
        <f>COUNTIFS($B$2:B2247,B2247)</f>
        <v>11</v>
      </c>
      <c r="B2247" s="20" t="s">
        <v>607</v>
      </c>
      <c r="C2247" s="25">
        <v>320060368076648</v>
      </c>
      <c r="D2247" s="20" t="s">
        <v>157</v>
      </c>
      <c r="E2247" s="22">
        <v>24.5</v>
      </c>
      <c r="F2247" s="9"/>
      <c r="G2247" s="14" t="str">
        <f t="shared" si="86"/>
        <v>O</v>
      </c>
      <c r="H2247" s="15">
        <f t="shared" si="85"/>
        <v>12.25</v>
      </c>
      <c r="L2247" s="35"/>
    </row>
    <row r="2248" spans="1:12" x14ac:dyDescent="0.3">
      <c r="A2248" s="19">
        <f>COUNTIFS($B$2:B2248,B2248)</f>
        <v>12</v>
      </c>
      <c r="B2248" s="20" t="s">
        <v>607</v>
      </c>
      <c r="C2248" s="25">
        <v>320060368076648</v>
      </c>
      <c r="D2248" s="20" t="s">
        <v>263</v>
      </c>
      <c r="E2248" s="22">
        <v>4.9000000000000004</v>
      </c>
      <c r="F2248" s="9"/>
      <c r="G2248" s="14" t="str">
        <f t="shared" si="86"/>
        <v>O</v>
      </c>
      <c r="H2248" s="15">
        <f t="shared" si="85"/>
        <v>2.4500000000000002</v>
      </c>
      <c r="L2248" s="35"/>
    </row>
    <row r="2249" spans="1:12" x14ac:dyDescent="0.3">
      <c r="A2249" s="19">
        <f>COUNTIFS($B$2:B2249,B2249)</f>
        <v>13</v>
      </c>
      <c r="B2249" s="20" t="s">
        <v>607</v>
      </c>
      <c r="C2249" s="25">
        <v>320060368076648</v>
      </c>
      <c r="D2249" s="20" t="s">
        <v>21</v>
      </c>
      <c r="E2249" s="22">
        <v>5.72</v>
      </c>
      <c r="F2249" s="9"/>
      <c r="G2249" s="14" t="str">
        <f t="shared" si="86"/>
        <v>O</v>
      </c>
      <c r="H2249" s="15">
        <f t="shared" si="85"/>
        <v>2.86</v>
      </c>
      <c r="L2249" s="35"/>
    </row>
    <row r="2250" spans="1:12" x14ac:dyDescent="0.3">
      <c r="A2250" s="19">
        <f>COUNTIFS($B$2:B2250,B2250)</f>
        <v>14</v>
      </c>
      <c r="B2250" s="20" t="s">
        <v>607</v>
      </c>
      <c r="C2250" s="25">
        <v>320060368076648</v>
      </c>
      <c r="D2250" s="20" t="s">
        <v>206</v>
      </c>
      <c r="E2250" s="22">
        <v>40.83</v>
      </c>
      <c r="F2250" s="9"/>
      <c r="G2250" s="14" t="str">
        <f t="shared" si="86"/>
        <v>O</v>
      </c>
      <c r="H2250" s="15">
        <f t="shared" si="85"/>
        <v>20.414999999999999</v>
      </c>
      <c r="L2250" s="35"/>
    </row>
    <row r="2251" spans="1:12" x14ac:dyDescent="0.3">
      <c r="A2251" s="19">
        <f>COUNTIFS($B$2:B2251,B2251)</f>
        <v>15</v>
      </c>
      <c r="B2251" s="20" t="s">
        <v>607</v>
      </c>
      <c r="C2251" s="25">
        <v>320060368076648</v>
      </c>
      <c r="D2251" s="20" t="s">
        <v>66</v>
      </c>
      <c r="E2251" s="22">
        <v>4.2</v>
      </c>
      <c r="F2251" s="9"/>
      <c r="G2251" s="14" t="str">
        <f t="shared" si="86"/>
        <v>O</v>
      </c>
      <c r="H2251" s="15">
        <f t="shared" si="85"/>
        <v>2.1</v>
      </c>
      <c r="L2251" s="35"/>
    </row>
    <row r="2252" spans="1:12" x14ac:dyDescent="0.3">
      <c r="A2252" s="19">
        <f>COUNTIFS($B$2:B2252,B2252)</f>
        <v>16</v>
      </c>
      <c r="B2252" s="20" t="s">
        <v>607</v>
      </c>
      <c r="C2252" s="25">
        <v>320060368076648</v>
      </c>
      <c r="D2252" s="20" t="s">
        <v>222</v>
      </c>
      <c r="E2252" s="22">
        <v>0.31</v>
      </c>
      <c r="F2252" s="9"/>
      <c r="G2252" s="14" t="str">
        <f t="shared" si="86"/>
        <v>O</v>
      </c>
      <c r="H2252" s="15">
        <f t="shared" si="85"/>
        <v>0.155</v>
      </c>
      <c r="L2252" s="35"/>
    </row>
    <row r="2253" spans="1:12" x14ac:dyDescent="0.3">
      <c r="A2253" s="19">
        <f>COUNTIFS($B$2:B2253,B2253)</f>
        <v>17</v>
      </c>
      <c r="B2253" s="20" t="s">
        <v>607</v>
      </c>
      <c r="C2253" s="25">
        <v>320060368076648</v>
      </c>
      <c r="D2253" s="20" t="s">
        <v>41</v>
      </c>
      <c r="E2253" s="22">
        <v>3.36</v>
      </c>
      <c r="F2253" s="9"/>
      <c r="G2253" s="14" t="str">
        <f t="shared" si="86"/>
        <v>O</v>
      </c>
      <c r="H2253" s="15">
        <f t="shared" si="85"/>
        <v>1.68</v>
      </c>
      <c r="L2253" s="35"/>
    </row>
    <row r="2254" spans="1:12" x14ac:dyDescent="0.3">
      <c r="A2254" s="19">
        <f>COUNTIFS($B$2:B2254,B2254)</f>
        <v>18</v>
      </c>
      <c r="B2254" s="20" t="s">
        <v>607</v>
      </c>
      <c r="C2254" s="25">
        <v>320060368076648</v>
      </c>
      <c r="D2254" s="20" t="s">
        <v>21</v>
      </c>
      <c r="E2254" s="22">
        <v>5.6</v>
      </c>
      <c r="F2254" s="9"/>
      <c r="G2254" s="14" t="str">
        <f t="shared" si="86"/>
        <v>O</v>
      </c>
      <c r="H2254" s="15">
        <f t="shared" si="85"/>
        <v>2.8</v>
      </c>
      <c r="L2254" s="35"/>
    </row>
    <row r="2255" spans="1:12" x14ac:dyDescent="0.3">
      <c r="A2255" s="23">
        <f>COUNTIFS($B$2:B2255,B2255)</f>
        <v>11</v>
      </c>
      <c r="B2255" s="20" t="s">
        <v>608</v>
      </c>
      <c r="C2255" s="25">
        <v>320060368076648</v>
      </c>
      <c r="D2255" s="20" t="s">
        <v>210</v>
      </c>
      <c r="E2255" s="22">
        <v>27.21</v>
      </c>
      <c r="F2255" s="9"/>
      <c r="G2255" s="14" t="str">
        <f t="shared" si="86"/>
        <v>O</v>
      </c>
      <c r="H2255" s="15">
        <f t="shared" si="85"/>
        <v>13.605</v>
      </c>
      <c r="L2255" s="35"/>
    </row>
    <row r="2256" spans="1:12" x14ac:dyDescent="0.3">
      <c r="A2256" s="19">
        <f>COUNTIFS($B$2:B2256,B2256)</f>
        <v>12</v>
      </c>
      <c r="B2256" s="20" t="s">
        <v>608</v>
      </c>
      <c r="C2256" s="25">
        <v>320060368076648</v>
      </c>
      <c r="D2256" s="20" t="s">
        <v>157</v>
      </c>
      <c r="E2256" s="22">
        <v>23.32</v>
      </c>
      <c r="F2256" s="9"/>
      <c r="G2256" s="14" t="str">
        <f t="shared" si="86"/>
        <v>O</v>
      </c>
      <c r="H2256" s="15">
        <f t="shared" si="85"/>
        <v>11.66</v>
      </c>
      <c r="L2256" s="35"/>
    </row>
    <row r="2257" spans="1:12" x14ac:dyDescent="0.3">
      <c r="A2257" s="19">
        <f>COUNTIFS($B$2:B2257,B2257)</f>
        <v>13</v>
      </c>
      <c r="B2257" s="20" t="s">
        <v>608</v>
      </c>
      <c r="C2257" s="25">
        <v>320060368076648</v>
      </c>
      <c r="D2257" s="20" t="s">
        <v>263</v>
      </c>
      <c r="E2257" s="22">
        <v>4.66</v>
      </c>
      <c r="F2257" s="9"/>
      <c r="G2257" s="14" t="str">
        <f t="shared" si="86"/>
        <v>O</v>
      </c>
      <c r="H2257" s="15">
        <f t="shared" si="85"/>
        <v>2.33</v>
      </c>
      <c r="L2257" s="35"/>
    </row>
    <row r="2258" spans="1:12" x14ac:dyDescent="0.3">
      <c r="A2258" s="19">
        <f>COUNTIFS($B$2:B2258,B2258)</f>
        <v>14</v>
      </c>
      <c r="B2258" s="20" t="s">
        <v>608</v>
      </c>
      <c r="C2258" s="25">
        <v>320060368076648</v>
      </c>
      <c r="D2258" s="20" t="s">
        <v>255</v>
      </c>
      <c r="E2258" s="22">
        <v>5.44</v>
      </c>
      <c r="F2258" s="9"/>
      <c r="G2258" s="14" t="str">
        <f t="shared" si="86"/>
        <v>O</v>
      </c>
      <c r="H2258" s="15">
        <f t="shared" si="85"/>
        <v>2.72</v>
      </c>
      <c r="L2258" s="35"/>
    </row>
    <row r="2259" spans="1:12" x14ac:dyDescent="0.3">
      <c r="A2259" s="19">
        <f>COUNTIFS($B$2:B2259,B2259)</f>
        <v>15</v>
      </c>
      <c r="B2259" s="20" t="s">
        <v>608</v>
      </c>
      <c r="C2259" s="25">
        <v>320060368076648</v>
      </c>
      <c r="D2259" s="20" t="s">
        <v>206</v>
      </c>
      <c r="E2259" s="22">
        <v>38.869999999999997</v>
      </c>
      <c r="F2259" s="9"/>
      <c r="G2259" s="14" t="str">
        <f t="shared" si="86"/>
        <v>O</v>
      </c>
      <c r="H2259" s="15">
        <f t="shared" si="85"/>
        <v>19.434999999999999</v>
      </c>
      <c r="L2259" s="35"/>
    </row>
    <row r="2260" spans="1:12" x14ac:dyDescent="0.3">
      <c r="A2260" s="19">
        <f>COUNTIFS($B$2:B2260,B2260)</f>
        <v>16</v>
      </c>
      <c r="B2260" s="20" t="s">
        <v>608</v>
      </c>
      <c r="C2260" s="25">
        <v>320060368076648</v>
      </c>
      <c r="D2260" s="20" t="s">
        <v>172</v>
      </c>
      <c r="E2260" s="22">
        <v>0.89</v>
      </c>
      <c r="F2260" s="9"/>
      <c r="G2260" s="14" t="str">
        <f t="shared" si="86"/>
        <v>O</v>
      </c>
      <c r="H2260" s="15">
        <f t="shared" si="85"/>
        <v>0.44500000000000001</v>
      </c>
      <c r="L2260" s="35"/>
    </row>
    <row r="2261" spans="1:12" x14ac:dyDescent="0.3">
      <c r="A2261" s="19">
        <f>COUNTIFS($B$2:B2261,B2261)</f>
        <v>17</v>
      </c>
      <c r="B2261" s="20" t="s">
        <v>608</v>
      </c>
      <c r="C2261" s="25">
        <v>320060368076648</v>
      </c>
      <c r="D2261" s="20" t="s">
        <v>609</v>
      </c>
      <c r="E2261" s="22">
        <v>3.11</v>
      </c>
      <c r="F2261" s="9"/>
      <c r="G2261" s="14" t="str">
        <f t="shared" si="86"/>
        <v>O</v>
      </c>
      <c r="H2261" s="15">
        <f t="shared" si="85"/>
        <v>1.5549999999999999</v>
      </c>
      <c r="L2261" s="35"/>
    </row>
    <row r="2262" spans="1:12" x14ac:dyDescent="0.3">
      <c r="A2262" s="19">
        <f>COUNTIFS($B$2:B2262,B2262)</f>
        <v>18</v>
      </c>
      <c r="B2262" s="20" t="s">
        <v>608</v>
      </c>
      <c r="C2262" s="25">
        <v>320060368076648</v>
      </c>
      <c r="D2262" s="20" t="s">
        <v>222</v>
      </c>
      <c r="E2262" s="22">
        <v>0.28999999999999998</v>
      </c>
      <c r="F2262" s="9"/>
      <c r="G2262" s="14" t="str">
        <f t="shared" si="86"/>
        <v>O</v>
      </c>
      <c r="H2262" s="15">
        <f t="shared" si="85"/>
        <v>0.14499999999999999</v>
      </c>
      <c r="L2262" s="35"/>
    </row>
    <row r="2263" spans="1:12" x14ac:dyDescent="0.3">
      <c r="A2263" s="19">
        <f>COUNTIFS($B$2:B2263,B2263)</f>
        <v>19</v>
      </c>
      <c r="B2263" s="20" t="s">
        <v>608</v>
      </c>
      <c r="C2263" s="25">
        <v>320060368076648</v>
      </c>
      <c r="D2263" s="20" t="s">
        <v>41</v>
      </c>
      <c r="E2263" s="22">
        <v>5.33</v>
      </c>
      <c r="F2263" s="9"/>
      <c r="G2263" s="14" t="str">
        <f t="shared" si="86"/>
        <v>O</v>
      </c>
      <c r="H2263" s="15">
        <f t="shared" si="85"/>
        <v>2.665</v>
      </c>
      <c r="L2263" s="35"/>
    </row>
    <row r="2264" spans="1:12" x14ac:dyDescent="0.3">
      <c r="A2264" s="19">
        <f>COUNTIFS($B$2:B2264,B2264)</f>
        <v>20</v>
      </c>
      <c r="B2264" s="20" t="s">
        <v>608</v>
      </c>
      <c r="C2264" s="25">
        <v>320060368076648</v>
      </c>
      <c r="D2264" s="20" t="s">
        <v>21</v>
      </c>
      <c r="E2264" s="22">
        <v>8.8800000000000008</v>
      </c>
      <c r="F2264" s="9"/>
      <c r="G2264" s="14" t="str">
        <f t="shared" si="86"/>
        <v>O</v>
      </c>
      <c r="H2264" s="15">
        <f t="shared" si="85"/>
        <v>4.4400000000000004</v>
      </c>
      <c r="L2264" s="35"/>
    </row>
    <row r="2265" spans="1:12" x14ac:dyDescent="0.3">
      <c r="A2265" s="19">
        <f>COUNTIFS($B$2:B2265,B2265)</f>
        <v>1</v>
      </c>
      <c r="B2265" s="20" t="s">
        <v>484</v>
      </c>
      <c r="C2265" s="25">
        <v>320060368076580</v>
      </c>
      <c r="D2265" s="20"/>
      <c r="E2265" s="22"/>
      <c r="F2265" s="9"/>
      <c r="G2265" s="14" t="str">
        <f t="shared" si="86"/>
        <v/>
      </c>
      <c r="H2265" s="15">
        <f t="shared" si="85"/>
        <v>0</v>
      </c>
      <c r="L2265" s="35"/>
    </row>
    <row r="2266" spans="1:12" x14ac:dyDescent="0.3">
      <c r="A2266" s="23">
        <f>COUNTIFS($B$2:B2266,B2266)</f>
        <v>7</v>
      </c>
      <c r="B2266" s="20" t="s">
        <v>593</v>
      </c>
      <c r="C2266" s="25">
        <v>320060368076580</v>
      </c>
      <c r="D2266" s="20" t="s">
        <v>210</v>
      </c>
      <c r="E2266" s="22">
        <v>34.96</v>
      </c>
      <c r="F2266" s="9"/>
      <c r="G2266" s="14" t="str">
        <f t="shared" si="86"/>
        <v>O</v>
      </c>
      <c r="H2266" s="15">
        <f t="shared" si="85"/>
        <v>17.48</v>
      </c>
      <c r="L2266" s="35"/>
    </row>
    <row r="2267" spans="1:12" x14ac:dyDescent="0.3">
      <c r="A2267" s="19">
        <f>COUNTIFS($B$2:B2267,B2267)</f>
        <v>8</v>
      </c>
      <c r="B2267" s="20" t="s">
        <v>593</v>
      </c>
      <c r="C2267" s="25">
        <v>320060368076580</v>
      </c>
      <c r="D2267" s="20" t="s">
        <v>157</v>
      </c>
      <c r="E2267" s="22">
        <v>17.48</v>
      </c>
      <c r="F2267" s="9"/>
      <c r="G2267" s="14" t="str">
        <f t="shared" si="86"/>
        <v>O</v>
      </c>
      <c r="H2267" s="15">
        <f t="shared" si="85"/>
        <v>8.74</v>
      </c>
      <c r="L2267" s="35"/>
    </row>
    <row r="2268" spans="1:12" x14ac:dyDescent="0.3">
      <c r="A2268" s="19">
        <f>COUNTIFS($B$2:B2268,B2268)</f>
        <v>9</v>
      </c>
      <c r="B2268" s="20" t="s">
        <v>593</v>
      </c>
      <c r="C2268" s="25">
        <v>320060368076580</v>
      </c>
      <c r="D2268" s="20" t="s">
        <v>404</v>
      </c>
      <c r="E2268" s="22">
        <v>4.37</v>
      </c>
      <c r="F2268" s="9"/>
      <c r="G2268" s="14" t="str">
        <f t="shared" si="86"/>
        <v>O</v>
      </c>
      <c r="H2268" s="15">
        <f t="shared" si="85"/>
        <v>2.1850000000000001</v>
      </c>
      <c r="L2268" s="35"/>
    </row>
    <row r="2269" spans="1:12" x14ac:dyDescent="0.3">
      <c r="A2269" s="19">
        <f>COUNTIFS($B$2:B2269,B2269)</f>
        <v>10</v>
      </c>
      <c r="B2269" s="20" t="s">
        <v>593</v>
      </c>
      <c r="C2269" s="25">
        <v>320060368076580</v>
      </c>
      <c r="D2269" s="20" t="s">
        <v>141</v>
      </c>
      <c r="E2269" s="22">
        <v>17.48</v>
      </c>
      <c r="F2269" s="9"/>
      <c r="G2269" s="14" t="str">
        <f t="shared" si="86"/>
        <v>O</v>
      </c>
      <c r="H2269" s="15">
        <f t="shared" si="85"/>
        <v>8.74</v>
      </c>
      <c r="L2269" s="35"/>
    </row>
    <row r="2270" spans="1:12" x14ac:dyDescent="0.3">
      <c r="A2270" s="19">
        <f>COUNTIFS($B$2:B2270,B2270)</f>
        <v>11</v>
      </c>
      <c r="B2270" s="20" t="s">
        <v>593</v>
      </c>
      <c r="C2270" s="25">
        <v>320060368076580</v>
      </c>
      <c r="D2270" s="20" t="s">
        <v>206</v>
      </c>
      <c r="E2270" s="22">
        <v>43.7</v>
      </c>
      <c r="F2270" s="9"/>
      <c r="G2270" s="14" t="str">
        <f t="shared" si="86"/>
        <v>O</v>
      </c>
      <c r="H2270" s="15">
        <f t="shared" si="85"/>
        <v>21.85</v>
      </c>
      <c r="L2270" s="35"/>
    </row>
    <row r="2271" spans="1:12" x14ac:dyDescent="0.3">
      <c r="A2271" s="23">
        <f>COUNTIFS($B$2:B2271,B2271)</f>
        <v>7</v>
      </c>
      <c r="B2271" s="20" t="s">
        <v>612</v>
      </c>
      <c r="C2271" s="25">
        <v>320060368076580</v>
      </c>
      <c r="D2271" s="20" t="s">
        <v>210</v>
      </c>
      <c r="E2271" s="22">
        <v>28.3</v>
      </c>
      <c r="F2271" s="9"/>
      <c r="G2271" s="14" t="str">
        <f t="shared" si="86"/>
        <v>O</v>
      </c>
      <c r="H2271" s="15">
        <f t="shared" si="85"/>
        <v>14.15</v>
      </c>
      <c r="L2271" s="35"/>
    </row>
    <row r="2272" spans="1:12" x14ac:dyDescent="0.3">
      <c r="A2272" s="19">
        <f>COUNTIFS($B$2:B2272,B2272)</f>
        <v>8</v>
      </c>
      <c r="B2272" s="20" t="s">
        <v>612</v>
      </c>
      <c r="C2272" s="25">
        <v>320060368076580</v>
      </c>
      <c r="D2272" s="20" t="s">
        <v>157</v>
      </c>
      <c r="E2272" s="22">
        <v>14.15</v>
      </c>
      <c r="F2272" s="9"/>
      <c r="G2272" s="14" t="str">
        <f t="shared" si="86"/>
        <v>O</v>
      </c>
      <c r="H2272" s="15">
        <f t="shared" si="85"/>
        <v>7.0750000000000002</v>
      </c>
      <c r="L2272" s="35"/>
    </row>
    <row r="2273" spans="1:12" x14ac:dyDescent="0.3">
      <c r="A2273" s="19">
        <f>COUNTIFS($B$2:B2273,B2273)</f>
        <v>9</v>
      </c>
      <c r="B2273" s="20" t="s">
        <v>612</v>
      </c>
      <c r="C2273" s="25">
        <v>320060368076580</v>
      </c>
      <c r="D2273" s="20" t="s">
        <v>404</v>
      </c>
      <c r="E2273" s="22">
        <v>3.54</v>
      </c>
      <c r="F2273" s="9"/>
      <c r="G2273" s="14" t="str">
        <f t="shared" si="86"/>
        <v>O</v>
      </c>
      <c r="H2273" s="15">
        <f t="shared" si="85"/>
        <v>1.77</v>
      </c>
      <c r="L2273" s="35"/>
    </row>
    <row r="2274" spans="1:12" x14ac:dyDescent="0.3">
      <c r="A2274" s="19">
        <f>COUNTIFS($B$2:B2274,B2274)</f>
        <v>10</v>
      </c>
      <c r="B2274" s="20" t="s">
        <v>612</v>
      </c>
      <c r="C2274" s="25">
        <v>320060368076580</v>
      </c>
      <c r="D2274" s="20" t="s">
        <v>141</v>
      </c>
      <c r="E2274" s="22">
        <v>14.15</v>
      </c>
      <c r="F2274" s="9"/>
      <c r="G2274" s="14" t="str">
        <f t="shared" si="86"/>
        <v>O</v>
      </c>
      <c r="H2274" s="15">
        <f t="shared" si="85"/>
        <v>7.0750000000000002</v>
      </c>
      <c r="L2274" s="35"/>
    </row>
    <row r="2275" spans="1:12" x14ac:dyDescent="0.3">
      <c r="A2275" s="19">
        <f>COUNTIFS($B$2:B2275,B2275)</f>
        <v>11</v>
      </c>
      <c r="B2275" s="20" t="s">
        <v>612</v>
      </c>
      <c r="C2275" s="25">
        <v>320060368076580</v>
      </c>
      <c r="D2275" s="20" t="s">
        <v>206</v>
      </c>
      <c r="E2275" s="22">
        <v>35.380000000000003</v>
      </c>
      <c r="F2275" s="9"/>
      <c r="G2275" s="14" t="str">
        <f t="shared" si="86"/>
        <v>O</v>
      </c>
      <c r="H2275" s="15">
        <f t="shared" si="85"/>
        <v>17.690000000000001</v>
      </c>
      <c r="L2275" s="35"/>
    </row>
    <row r="2276" spans="1:12" x14ac:dyDescent="0.3">
      <c r="A2276" s="19">
        <f>COUNTIFS($B$2:B2276,B2276)</f>
        <v>12</v>
      </c>
      <c r="B2276" s="20" t="s">
        <v>612</v>
      </c>
      <c r="C2276" s="25">
        <v>320060368076580</v>
      </c>
      <c r="D2276" s="20" t="s">
        <v>611</v>
      </c>
      <c r="E2276" s="22">
        <v>22.48</v>
      </c>
      <c r="F2276" s="9"/>
      <c r="G2276" s="14" t="str">
        <f t="shared" si="86"/>
        <v>O</v>
      </c>
      <c r="H2276" s="15">
        <f t="shared" si="85"/>
        <v>11.24</v>
      </c>
      <c r="L2276" s="35"/>
    </row>
    <row r="2277" spans="1:12" x14ac:dyDescent="0.3">
      <c r="A2277" s="23">
        <f>COUNTIFS($B$2:B2277,B2277)</f>
        <v>8</v>
      </c>
      <c r="B2277" s="20" t="s">
        <v>610</v>
      </c>
      <c r="C2277" s="25">
        <v>320060368076580</v>
      </c>
      <c r="D2277" s="20" t="s">
        <v>210</v>
      </c>
      <c r="E2277" s="22">
        <v>33.83</v>
      </c>
      <c r="F2277" s="9"/>
      <c r="G2277" s="14" t="str">
        <f t="shared" si="86"/>
        <v>O</v>
      </c>
      <c r="H2277" s="15">
        <f t="shared" si="85"/>
        <v>16.914999999999999</v>
      </c>
      <c r="L2277" s="35"/>
    </row>
    <row r="2278" spans="1:12" x14ac:dyDescent="0.3">
      <c r="A2278" s="19">
        <f>COUNTIFS($B$2:B2278,B2278)</f>
        <v>9</v>
      </c>
      <c r="B2278" s="20" t="s">
        <v>610</v>
      </c>
      <c r="C2278" s="25">
        <v>320060368076580</v>
      </c>
      <c r="D2278" s="20" t="s">
        <v>213</v>
      </c>
      <c r="E2278" s="22">
        <v>16.91</v>
      </c>
      <c r="F2278" s="9"/>
      <c r="G2278" s="14" t="str">
        <f t="shared" si="86"/>
        <v>O</v>
      </c>
      <c r="H2278" s="15">
        <f t="shared" si="85"/>
        <v>8.4550000000000001</v>
      </c>
      <c r="L2278" s="35"/>
    </row>
    <row r="2279" spans="1:12" x14ac:dyDescent="0.3">
      <c r="A2279" s="19">
        <f>COUNTIFS($B$2:B2279,B2279)</f>
        <v>10</v>
      </c>
      <c r="B2279" s="20" t="s">
        <v>610</v>
      </c>
      <c r="C2279" s="25">
        <v>320060368076580</v>
      </c>
      <c r="D2279" s="20" t="s">
        <v>404</v>
      </c>
      <c r="E2279" s="22">
        <v>4.28</v>
      </c>
      <c r="F2279" s="9"/>
      <c r="G2279" s="14" t="str">
        <f t="shared" si="86"/>
        <v>O</v>
      </c>
      <c r="H2279" s="15">
        <f t="shared" si="85"/>
        <v>2.14</v>
      </c>
      <c r="L2279" s="35"/>
    </row>
    <row r="2280" spans="1:12" x14ac:dyDescent="0.3">
      <c r="A2280" s="19">
        <f>COUNTIFS($B$2:B2280,B2280)</f>
        <v>11</v>
      </c>
      <c r="B2280" s="20" t="s">
        <v>610</v>
      </c>
      <c r="C2280" s="25">
        <v>320060368076580</v>
      </c>
      <c r="D2280" s="20" t="s">
        <v>255</v>
      </c>
      <c r="E2280" s="22">
        <v>3.66</v>
      </c>
      <c r="F2280" s="9"/>
      <c r="G2280" s="14" t="str">
        <f t="shared" si="86"/>
        <v>O</v>
      </c>
      <c r="H2280" s="15">
        <f t="shared" si="85"/>
        <v>1.83</v>
      </c>
      <c r="L2280" s="35"/>
    </row>
    <row r="2281" spans="1:12" x14ac:dyDescent="0.3">
      <c r="A2281" s="19">
        <f>COUNTIFS($B$2:B2281,B2281)</f>
        <v>12</v>
      </c>
      <c r="B2281" s="20" t="s">
        <v>610</v>
      </c>
      <c r="C2281" s="25">
        <v>320060368076580</v>
      </c>
      <c r="D2281" s="20" t="s">
        <v>141</v>
      </c>
      <c r="E2281" s="22">
        <v>16.91</v>
      </c>
      <c r="F2281" s="9"/>
      <c r="G2281" s="14" t="str">
        <f t="shared" si="86"/>
        <v>O</v>
      </c>
      <c r="H2281" s="15">
        <f t="shared" si="85"/>
        <v>8.4550000000000001</v>
      </c>
      <c r="L2281" s="35"/>
    </row>
    <row r="2282" spans="1:12" x14ac:dyDescent="0.3">
      <c r="A2282" s="19">
        <f>COUNTIFS($B$2:B2282,B2282)</f>
        <v>13</v>
      </c>
      <c r="B2282" s="20" t="s">
        <v>610</v>
      </c>
      <c r="C2282" s="25">
        <v>320060368076580</v>
      </c>
      <c r="D2282" s="20" t="s">
        <v>206</v>
      </c>
      <c r="E2282" s="22">
        <v>36.71</v>
      </c>
      <c r="F2282" s="9"/>
      <c r="G2282" s="14" t="str">
        <f t="shared" si="86"/>
        <v>O</v>
      </c>
      <c r="H2282" s="15">
        <f t="shared" si="85"/>
        <v>18.355</v>
      </c>
      <c r="L2282" s="35"/>
    </row>
    <row r="2283" spans="1:12" x14ac:dyDescent="0.3">
      <c r="A2283" s="19">
        <f>COUNTIFS($B$2:B2283,B2283)</f>
        <v>14</v>
      </c>
      <c r="B2283" s="20" t="s">
        <v>610</v>
      </c>
      <c r="C2283" s="25">
        <v>320060368076580</v>
      </c>
      <c r="D2283" s="20" t="s">
        <v>172</v>
      </c>
      <c r="E2283" s="22">
        <v>5.71</v>
      </c>
      <c r="F2283" s="9"/>
      <c r="G2283" s="14" t="str">
        <f t="shared" si="86"/>
        <v>O</v>
      </c>
      <c r="H2283" s="15">
        <f t="shared" si="85"/>
        <v>2.855</v>
      </c>
      <c r="L2283" s="35"/>
    </row>
    <row r="2284" spans="1:12" x14ac:dyDescent="0.3">
      <c r="A2284" s="19">
        <f>COUNTIFS($B$2:B2284,B2284)</f>
        <v>1</v>
      </c>
      <c r="B2284" s="20" t="s">
        <v>485</v>
      </c>
      <c r="C2284" s="25">
        <v>320060368076561</v>
      </c>
      <c r="D2284" s="20"/>
      <c r="E2284" s="22"/>
      <c r="F2284" s="9"/>
      <c r="G2284" s="14" t="str">
        <f t="shared" si="86"/>
        <v/>
      </c>
      <c r="H2284" s="15">
        <f t="shared" si="85"/>
        <v>0</v>
      </c>
      <c r="L2284" s="35"/>
    </row>
    <row r="2285" spans="1:12" x14ac:dyDescent="0.3">
      <c r="A2285" s="23">
        <f>COUNTIFS($B$2:B2285,B2285)</f>
        <v>1</v>
      </c>
      <c r="B2285" s="20" t="s">
        <v>642</v>
      </c>
      <c r="C2285" s="25">
        <v>320060368076561</v>
      </c>
      <c r="D2285" s="20" t="s">
        <v>210</v>
      </c>
      <c r="E2285" s="22">
        <v>14.98</v>
      </c>
      <c r="F2285" s="9"/>
      <c r="G2285" s="14" t="str">
        <f t="shared" si="86"/>
        <v>O</v>
      </c>
      <c r="H2285" s="15">
        <f t="shared" si="85"/>
        <v>7.49</v>
      </c>
      <c r="L2285" s="35"/>
    </row>
    <row r="2286" spans="1:12" x14ac:dyDescent="0.3">
      <c r="A2286" s="19">
        <f>COUNTIFS($B$2:B2286,B2286)</f>
        <v>2</v>
      </c>
      <c r="B2286" s="20" t="s">
        <v>642</v>
      </c>
      <c r="C2286" s="25">
        <v>320060368076561</v>
      </c>
      <c r="D2286" s="20" t="s">
        <v>157</v>
      </c>
      <c r="E2286" s="22">
        <v>27.35</v>
      </c>
      <c r="F2286" s="9"/>
      <c r="G2286" s="14" t="str">
        <f t="shared" si="86"/>
        <v>O</v>
      </c>
      <c r="H2286" s="15">
        <f t="shared" si="85"/>
        <v>13.675000000000001</v>
      </c>
      <c r="L2286" s="35"/>
    </row>
    <row r="2287" spans="1:12" x14ac:dyDescent="0.3">
      <c r="A2287" s="19">
        <f>COUNTIFS($B$2:B2287,B2287)</f>
        <v>3</v>
      </c>
      <c r="B2287" s="20" t="s">
        <v>642</v>
      </c>
      <c r="C2287" s="25">
        <v>320060368076561</v>
      </c>
      <c r="D2287" s="20" t="s">
        <v>116</v>
      </c>
      <c r="E2287" s="22">
        <v>9.3699999999999992</v>
      </c>
      <c r="F2287" s="9"/>
      <c r="G2287" s="14" t="str">
        <f t="shared" si="86"/>
        <v>O</v>
      </c>
      <c r="H2287" s="15">
        <f t="shared" si="85"/>
        <v>4.6849999999999996</v>
      </c>
      <c r="L2287" s="35"/>
    </row>
    <row r="2288" spans="1:12" x14ac:dyDescent="0.3">
      <c r="A2288" s="19">
        <f>COUNTIFS($B$2:B2288,B2288)</f>
        <v>4</v>
      </c>
      <c r="B2288" s="20" t="s">
        <v>642</v>
      </c>
      <c r="C2288" s="25">
        <v>320060368076561</v>
      </c>
      <c r="D2288" s="20" t="s">
        <v>44</v>
      </c>
      <c r="E2288" s="22">
        <v>34.090000000000003</v>
      </c>
      <c r="F2288" s="9"/>
      <c r="G2288" s="14" t="str">
        <f t="shared" si="86"/>
        <v>O</v>
      </c>
      <c r="H2288" s="15">
        <f t="shared" si="85"/>
        <v>17.045000000000002</v>
      </c>
      <c r="L2288" s="35"/>
    </row>
    <row r="2289" spans="1:12" x14ac:dyDescent="0.3">
      <c r="A2289" s="19">
        <f>COUNTIFS($B$2:B2289,B2289)</f>
        <v>5</v>
      </c>
      <c r="B2289" s="20" t="s">
        <v>642</v>
      </c>
      <c r="C2289" s="25">
        <v>320060368076561</v>
      </c>
      <c r="D2289" s="20" t="s">
        <v>206</v>
      </c>
      <c r="E2289" s="22">
        <v>27.72</v>
      </c>
      <c r="F2289" s="9"/>
      <c r="G2289" s="14" t="str">
        <f t="shared" si="86"/>
        <v>O</v>
      </c>
      <c r="H2289" s="15">
        <f t="shared" si="85"/>
        <v>13.86</v>
      </c>
      <c r="L2289" s="35"/>
    </row>
    <row r="2290" spans="1:12" x14ac:dyDescent="0.3">
      <c r="A2290" s="19">
        <f>COUNTIFS($B$2:B2290,B2290)</f>
        <v>6</v>
      </c>
      <c r="B2290" s="20" t="s">
        <v>642</v>
      </c>
      <c r="C2290" s="25">
        <v>320060368076561</v>
      </c>
      <c r="D2290" s="20" t="s">
        <v>516</v>
      </c>
      <c r="E2290" s="22">
        <v>3.37</v>
      </c>
      <c r="F2290" s="9"/>
      <c r="G2290" s="14" t="str">
        <f t="shared" si="86"/>
        <v>O</v>
      </c>
      <c r="H2290" s="15">
        <f t="shared" si="85"/>
        <v>1.6850000000000001</v>
      </c>
      <c r="L2290" s="35"/>
    </row>
    <row r="2291" spans="1:12" x14ac:dyDescent="0.3">
      <c r="A2291" s="19">
        <f>COUNTIFS($B$2:B2291,B2291)</f>
        <v>7</v>
      </c>
      <c r="B2291" s="20" t="s">
        <v>642</v>
      </c>
      <c r="C2291" s="25">
        <v>320060368076561</v>
      </c>
      <c r="D2291" s="20" t="s">
        <v>222</v>
      </c>
      <c r="E2291" s="22">
        <v>0.22</v>
      </c>
      <c r="F2291" s="9"/>
      <c r="G2291" s="14" t="str">
        <f t="shared" si="86"/>
        <v>O</v>
      </c>
      <c r="H2291" s="15">
        <f t="shared" si="85"/>
        <v>0.11</v>
      </c>
      <c r="L2291" s="35"/>
    </row>
    <row r="2292" spans="1:12" x14ac:dyDescent="0.3">
      <c r="A2292" s="19">
        <f>COUNTIFS($B$2:B2292,B2292)</f>
        <v>8</v>
      </c>
      <c r="B2292" s="20" t="s">
        <v>642</v>
      </c>
      <c r="C2292" s="25">
        <v>320060368076561</v>
      </c>
      <c r="D2292" s="20" t="s">
        <v>170</v>
      </c>
      <c r="E2292" s="22">
        <v>0.75</v>
      </c>
      <c r="F2292" s="9"/>
      <c r="G2292" s="14" t="str">
        <f t="shared" si="86"/>
        <v>O</v>
      </c>
      <c r="H2292" s="15">
        <f t="shared" si="85"/>
        <v>0.375</v>
      </c>
      <c r="L2292" s="35"/>
    </row>
    <row r="2293" spans="1:12" x14ac:dyDescent="0.3">
      <c r="A2293" s="19">
        <f>COUNTIFS($B$2:B2293,B2293)</f>
        <v>9</v>
      </c>
      <c r="B2293" s="20" t="s">
        <v>642</v>
      </c>
      <c r="C2293" s="25">
        <v>320060368076561</v>
      </c>
      <c r="D2293" s="20" t="s">
        <v>192</v>
      </c>
      <c r="E2293" s="22">
        <v>0.15</v>
      </c>
      <c r="F2293" s="9"/>
      <c r="G2293" s="14" t="str">
        <f t="shared" si="86"/>
        <v>O</v>
      </c>
      <c r="H2293" s="15">
        <f t="shared" ref="H2293:H2356" si="87">E2293/2</f>
        <v>7.4999999999999997E-2</v>
      </c>
      <c r="L2293" s="35"/>
    </row>
    <row r="2294" spans="1:12" x14ac:dyDescent="0.3">
      <c r="A2294" s="19">
        <f>COUNTIFS($B$2:B2294,B2294)</f>
        <v>10</v>
      </c>
      <c r="B2294" s="20" t="s">
        <v>642</v>
      </c>
      <c r="C2294" s="25">
        <v>320060368076561</v>
      </c>
      <c r="D2294" s="20" t="s">
        <v>114</v>
      </c>
      <c r="E2294" s="22">
        <v>1.87</v>
      </c>
      <c r="F2294" s="9"/>
      <c r="G2294" s="14" t="str">
        <f t="shared" si="86"/>
        <v>O</v>
      </c>
      <c r="H2294" s="15">
        <f t="shared" si="87"/>
        <v>0.93500000000000005</v>
      </c>
      <c r="L2294" s="35"/>
    </row>
    <row r="2295" spans="1:12" x14ac:dyDescent="0.3">
      <c r="A2295" s="23">
        <f>COUNTIFS($B$2:B2295,B2295)</f>
        <v>9</v>
      </c>
      <c r="B2295" s="20" t="s">
        <v>603</v>
      </c>
      <c r="C2295" s="25">
        <v>320060368076561</v>
      </c>
      <c r="D2295" s="20" t="s">
        <v>210</v>
      </c>
      <c r="E2295" s="22">
        <v>15.09</v>
      </c>
      <c r="F2295" s="9"/>
      <c r="G2295" s="14" t="str">
        <f t="shared" si="86"/>
        <v>O</v>
      </c>
      <c r="H2295" s="15">
        <f t="shared" si="87"/>
        <v>7.5449999999999999</v>
      </c>
      <c r="L2295" s="35"/>
    </row>
    <row r="2296" spans="1:12" x14ac:dyDescent="0.3">
      <c r="A2296" s="19">
        <f>COUNTIFS($B$2:B2296,B2296)</f>
        <v>10</v>
      </c>
      <c r="B2296" s="20" t="s">
        <v>603</v>
      </c>
      <c r="C2296" s="25">
        <v>320060368076561</v>
      </c>
      <c r="D2296" s="20" t="s">
        <v>213</v>
      </c>
      <c r="E2296" s="22">
        <v>27.54</v>
      </c>
      <c r="F2296" s="9"/>
      <c r="G2296" s="14" t="str">
        <f t="shared" si="86"/>
        <v>O</v>
      </c>
      <c r="H2296" s="15">
        <f t="shared" si="87"/>
        <v>13.77</v>
      </c>
      <c r="L2296" s="35"/>
    </row>
    <row r="2297" spans="1:12" x14ac:dyDescent="0.3">
      <c r="A2297" s="19">
        <f>COUNTIFS($B$2:B2297,B2297)</f>
        <v>11</v>
      </c>
      <c r="B2297" s="20" t="s">
        <v>603</v>
      </c>
      <c r="C2297" s="25">
        <v>320060368076561</v>
      </c>
      <c r="D2297" s="20" t="s">
        <v>222</v>
      </c>
      <c r="E2297" s="22">
        <v>0.15</v>
      </c>
      <c r="F2297" s="9"/>
      <c r="G2297" s="14" t="str">
        <f t="shared" si="86"/>
        <v>O</v>
      </c>
      <c r="H2297" s="15">
        <f t="shared" si="87"/>
        <v>7.4999999999999997E-2</v>
      </c>
      <c r="L2297" s="35"/>
    </row>
    <row r="2298" spans="1:12" x14ac:dyDescent="0.3">
      <c r="A2298" s="19">
        <f>COUNTIFS($B$2:B2298,B2298)</f>
        <v>12</v>
      </c>
      <c r="B2298" s="20" t="s">
        <v>603</v>
      </c>
      <c r="C2298" s="25">
        <v>320060368076561</v>
      </c>
      <c r="D2298" s="20" t="s">
        <v>263</v>
      </c>
      <c r="E2298" s="22">
        <v>9.43</v>
      </c>
      <c r="F2298" s="9"/>
      <c r="G2298" s="14" t="str">
        <f t="shared" si="86"/>
        <v>O</v>
      </c>
      <c r="H2298" s="15">
        <f t="shared" si="87"/>
        <v>4.7149999999999999</v>
      </c>
      <c r="L2298" s="35"/>
    </row>
    <row r="2299" spans="1:12" x14ac:dyDescent="0.3">
      <c r="A2299" s="19">
        <f>COUNTIFS($B$2:B2299,B2299)</f>
        <v>13</v>
      </c>
      <c r="B2299" s="20" t="s">
        <v>603</v>
      </c>
      <c r="C2299" s="25">
        <v>320060368076561</v>
      </c>
      <c r="D2299" s="20" t="s">
        <v>114</v>
      </c>
      <c r="E2299" s="22">
        <v>1.89</v>
      </c>
      <c r="F2299" s="9"/>
      <c r="G2299" s="14" t="str">
        <f t="shared" si="86"/>
        <v>O</v>
      </c>
      <c r="H2299" s="15">
        <f t="shared" si="87"/>
        <v>0.94499999999999995</v>
      </c>
      <c r="L2299" s="35"/>
    </row>
    <row r="2300" spans="1:12" x14ac:dyDescent="0.3">
      <c r="A2300" s="19">
        <f>COUNTIFS($B$2:B2300,B2300)</f>
        <v>14</v>
      </c>
      <c r="B2300" s="20" t="s">
        <v>603</v>
      </c>
      <c r="C2300" s="25">
        <v>320060368076561</v>
      </c>
      <c r="D2300" s="20" t="s">
        <v>206</v>
      </c>
      <c r="E2300" s="22">
        <v>31.31</v>
      </c>
      <c r="F2300" s="9"/>
      <c r="G2300" s="14" t="str">
        <f t="shared" si="86"/>
        <v>O</v>
      </c>
      <c r="H2300" s="15">
        <f t="shared" si="87"/>
        <v>15.654999999999999</v>
      </c>
      <c r="L2300" s="35"/>
    </row>
    <row r="2301" spans="1:12" x14ac:dyDescent="0.3">
      <c r="A2301" s="19">
        <f>COUNTIFS($B$2:B2301,B2301)</f>
        <v>15</v>
      </c>
      <c r="B2301" s="20" t="s">
        <v>603</v>
      </c>
      <c r="C2301" s="25">
        <v>320060368076561</v>
      </c>
      <c r="D2301" s="20" t="s">
        <v>548</v>
      </c>
      <c r="E2301" s="22">
        <v>0.15</v>
      </c>
      <c r="F2301" s="9"/>
      <c r="G2301" s="14" t="str">
        <f t="shared" ref="G2301:G2364" si="88">IF(D2301="","",IF(COUNTIF(I:I,D2301)&gt;0,"O","X"))</f>
        <v>O</v>
      </c>
      <c r="H2301" s="15">
        <f t="shared" si="87"/>
        <v>7.4999999999999997E-2</v>
      </c>
      <c r="L2301" s="35"/>
    </row>
    <row r="2302" spans="1:12" x14ac:dyDescent="0.3">
      <c r="A2302" s="19">
        <f>COUNTIFS($B$2:B2302,B2302)</f>
        <v>16</v>
      </c>
      <c r="B2302" s="20" t="s">
        <v>603</v>
      </c>
      <c r="C2302" s="25">
        <v>320060368076561</v>
      </c>
      <c r="D2302" s="20" t="s">
        <v>280</v>
      </c>
      <c r="E2302" s="22">
        <v>34.33</v>
      </c>
      <c r="F2302" s="9"/>
      <c r="G2302" s="14" t="str">
        <f t="shared" si="88"/>
        <v>O</v>
      </c>
      <c r="H2302" s="15">
        <f t="shared" si="87"/>
        <v>17.164999999999999</v>
      </c>
      <c r="L2302" s="35"/>
    </row>
    <row r="2303" spans="1:12" x14ac:dyDescent="0.3">
      <c r="A2303" s="23">
        <f>COUNTIFS($B$2:B2303,B2303)</f>
        <v>10</v>
      </c>
      <c r="B2303" s="20" t="s">
        <v>605</v>
      </c>
      <c r="C2303" s="25">
        <v>320060368076561</v>
      </c>
      <c r="D2303" s="20" t="s">
        <v>210</v>
      </c>
      <c r="E2303" s="22">
        <v>15.42</v>
      </c>
      <c r="F2303" s="9"/>
      <c r="G2303" s="14" t="str">
        <f t="shared" si="88"/>
        <v>O</v>
      </c>
      <c r="H2303" s="15">
        <f t="shared" si="87"/>
        <v>7.71</v>
      </c>
      <c r="L2303" s="35"/>
    </row>
    <row r="2304" spans="1:12" x14ac:dyDescent="0.3">
      <c r="A2304" s="19">
        <f>COUNTIFS($B$2:B2304,B2304)</f>
        <v>11</v>
      </c>
      <c r="B2304" s="20" t="s">
        <v>605</v>
      </c>
      <c r="C2304" s="25">
        <v>320060368076561</v>
      </c>
      <c r="D2304" s="20" t="s">
        <v>213</v>
      </c>
      <c r="E2304" s="22">
        <v>28.15</v>
      </c>
      <c r="F2304" s="9"/>
      <c r="G2304" s="14" t="str">
        <f t="shared" si="88"/>
        <v>O</v>
      </c>
      <c r="H2304" s="15">
        <f t="shared" si="87"/>
        <v>14.074999999999999</v>
      </c>
      <c r="L2304" s="35"/>
    </row>
    <row r="2305" spans="1:12" x14ac:dyDescent="0.3">
      <c r="A2305" s="19">
        <f>COUNTIFS($B$2:B2305,B2305)</f>
        <v>12</v>
      </c>
      <c r="B2305" s="20" t="s">
        <v>605</v>
      </c>
      <c r="C2305" s="25">
        <v>320060368076561</v>
      </c>
      <c r="D2305" s="20" t="s">
        <v>263</v>
      </c>
      <c r="E2305" s="22">
        <v>9.64</v>
      </c>
      <c r="F2305" s="9"/>
      <c r="G2305" s="14" t="str">
        <f t="shared" si="88"/>
        <v>O</v>
      </c>
      <c r="H2305" s="15">
        <f t="shared" si="87"/>
        <v>4.82</v>
      </c>
      <c r="L2305" s="35"/>
    </row>
    <row r="2306" spans="1:12" x14ac:dyDescent="0.3">
      <c r="A2306" s="19">
        <f>COUNTIFS($B$2:B2306,B2306)</f>
        <v>13</v>
      </c>
      <c r="B2306" s="20" t="s">
        <v>605</v>
      </c>
      <c r="C2306" s="25">
        <v>320060368076561</v>
      </c>
      <c r="D2306" s="20" t="s">
        <v>547</v>
      </c>
      <c r="E2306" s="22">
        <v>28.54</v>
      </c>
      <c r="F2306" s="9"/>
      <c r="G2306" s="14" t="str">
        <f t="shared" si="88"/>
        <v>O</v>
      </c>
      <c r="H2306" s="15">
        <f t="shared" si="87"/>
        <v>14.27</v>
      </c>
      <c r="L2306" s="35"/>
    </row>
    <row r="2307" spans="1:12" x14ac:dyDescent="0.3">
      <c r="A2307" s="19">
        <f>COUNTIFS($B$2:B2307,B2307)</f>
        <v>14</v>
      </c>
      <c r="B2307" s="20" t="s">
        <v>605</v>
      </c>
      <c r="C2307" s="25">
        <v>320060368076561</v>
      </c>
      <c r="D2307" s="20" t="s">
        <v>222</v>
      </c>
      <c r="E2307" s="22">
        <v>0.23</v>
      </c>
      <c r="F2307" s="9"/>
      <c r="G2307" s="14" t="str">
        <f t="shared" si="88"/>
        <v>O</v>
      </c>
      <c r="H2307" s="15">
        <f t="shared" si="87"/>
        <v>0.115</v>
      </c>
      <c r="L2307" s="35"/>
    </row>
    <row r="2308" spans="1:12" x14ac:dyDescent="0.3">
      <c r="A2308" s="19">
        <f>COUNTIFS($B$2:B2308,B2308)</f>
        <v>15</v>
      </c>
      <c r="B2308" s="20" t="s">
        <v>605</v>
      </c>
      <c r="C2308" s="25">
        <v>320060368076561</v>
      </c>
      <c r="D2308" s="20" t="s">
        <v>132</v>
      </c>
      <c r="E2308" s="22">
        <v>0.77</v>
      </c>
      <c r="F2308" s="9"/>
      <c r="G2308" s="14" t="str">
        <f t="shared" si="88"/>
        <v>O</v>
      </c>
      <c r="H2308" s="15">
        <f t="shared" si="87"/>
        <v>0.38500000000000001</v>
      </c>
      <c r="L2308" s="35"/>
    </row>
    <row r="2309" spans="1:12" x14ac:dyDescent="0.3">
      <c r="A2309" s="19">
        <f>COUNTIFS($B$2:B2309,B2309)</f>
        <v>16</v>
      </c>
      <c r="B2309" s="20" t="s">
        <v>605</v>
      </c>
      <c r="C2309" s="25">
        <v>320060368076561</v>
      </c>
      <c r="D2309" s="20" t="s">
        <v>548</v>
      </c>
      <c r="E2309" s="22">
        <v>0.15</v>
      </c>
      <c r="F2309" s="9"/>
      <c r="G2309" s="14" t="str">
        <f t="shared" si="88"/>
        <v>O</v>
      </c>
      <c r="H2309" s="15">
        <f t="shared" si="87"/>
        <v>7.4999999999999997E-2</v>
      </c>
      <c r="L2309" s="35"/>
    </row>
    <row r="2310" spans="1:12" x14ac:dyDescent="0.3">
      <c r="A2310" s="19">
        <f>COUNTIFS($B$2:B2310,B2310)</f>
        <v>17</v>
      </c>
      <c r="B2310" s="20" t="s">
        <v>605</v>
      </c>
      <c r="C2310" s="25">
        <v>320060368076561</v>
      </c>
      <c r="D2310" s="20" t="s">
        <v>549</v>
      </c>
      <c r="E2310" s="22">
        <v>35.090000000000003</v>
      </c>
      <c r="F2310" s="9"/>
      <c r="G2310" s="14" t="str">
        <f t="shared" si="88"/>
        <v>O</v>
      </c>
      <c r="H2310" s="15">
        <f t="shared" si="87"/>
        <v>17.545000000000002</v>
      </c>
      <c r="L2310" s="35"/>
    </row>
    <row r="2311" spans="1:12" ht="17.25" thickBot="1" x14ac:dyDescent="0.35">
      <c r="A2311" s="64">
        <f>COUNTIFS($B$2:B2311,B2311)</f>
        <v>18</v>
      </c>
      <c r="B2311" s="65" t="s">
        <v>605</v>
      </c>
      <c r="C2311" s="25">
        <v>320060368076561</v>
      </c>
      <c r="D2311" s="65" t="s">
        <v>114</v>
      </c>
      <c r="E2311" s="66">
        <v>1.93</v>
      </c>
      <c r="F2311" s="9"/>
      <c r="G2311" s="14" t="str">
        <f t="shared" si="88"/>
        <v>O</v>
      </c>
      <c r="H2311" s="15">
        <f t="shared" si="87"/>
        <v>0.96499999999999997</v>
      </c>
      <c r="L2311" s="35"/>
    </row>
    <row r="2312" spans="1:12" x14ac:dyDescent="0.3">
      <c r="A2312" s="38">
        <v>1</v>
      </c>
      <c r="B2312" s="39" t="s">
        <v>643</v>
      </c>
      <c r="C2312" s="40">
        <v>20060368076585</v>
      </c>
      <c r="D2312" s="67" t="s">
        <v>644</v>
      </c>
      <c r="E2312" s="40">
        <v>257</v>
      </c>
      <c r="F2312" s="9"/>
      <c r="G2312" s="14" t="str">
        <f t="shared" si="88"/>
        <v>O</v>
      </c>
      <c r="H2312" s="15">
        <f t="shared" si="87"/>
        <v>128.5</v>
      </c>
    </row>
    <row r="2313" spans="1:12" x14ac:dyDescent="0.3">
      <c r="A2313" s="38">
        <v>2</v>
      </c>
      <c r="B2313" s="39" t="s">
        <v>643</v>
      </c>
      <c r="C2313" s="40">
        <v>20060368076585</v>
      </c>
      <c r="D2313" s="67" t="s">
        <v>325</v>
      </c>
      <c r="E2313" s="41">
        <v>5</v>
      </c>
      <c r="F2313" s="9"/>
      <c r="G2313" s="14" t="str">
        <f t="shared" si="88"/>
        <v>O</v>
      </c>
      <c r="H2313" s="15">
        <f t="shared" si="87"/>
        <v>2.5</v>
      </c>
    </row>
    <row r="2314" spans="1:12" x14ac:dyDescent="0.3">
      <c r="A2314" s="38">
        <v>3</v>
      </c>
      <c r="B2314" s="39" t="s">
        <v>643</v>
      </c>
      <c r="C2314" s="40">
        <v>20060368076585</v>
      </c>
      <c r="D2314" s="67" t="s">
        <v>645</v>
      </c>
      <c r="E2314" s="41">
        <v>9</v>
      </c>
      <c r="F2314" s="9"/>
      <c r="G2314" s="14" t="str">
        <f t="shared" si="88"/>
        <v>O</v>
      </c>
      <c r="H2314" s="15">
        <f t="shared" si="87"/>
        <v>4.5</v>
      </c>
    </row>
    <row r="2315" spans="1:12" x14ac:dyDescent="0.3">
      <c r="A2315" s="38">
        <v>4</v>
      </c>
      <c r="B2315" s="39" t="s">
        <v>643</v>
      </c>
      <c r="C2315" s="40">
        <v>20060368076585</v>
      </c>
      <c r="D2315" s="67" t="s">
        <v>48</v>
      </c>
      <c r="E2315" s="41">
        <v>15</v>
      </c>
      <c r="F2315" s="9"/>
      <c r="G2315" s="14" t="str">
        <f t="shared" si="88"/>
        <v>O</v>
      </c>
      <c r="H2315" s="15">
        <f t="shared" si="87"/>
        <v>7.5</v>
      </c>
    </row>
    <row r="2316" spans="1:12" x14ac:dyDescent="0.3">
      <c r="A2316" s="38">
        <v>5</v>
      </c>
      <c r="B2316" s="39" t="s">
        <v>643</v>
      </c>
      <c r="C2316" s="40">
        <v>20060368076585</v>
      </c>
      <c r="D2316" s="67" t="s">
        <v>646</v>
      </c>
      <c r="E2316" s="41">
        <v>51</v>
      </c>
      <c r="F2316" s="9"/>
      <c r="G2316" s="14" t="str">
        <f t="shared" si="88"/>
        <v>O</v>
      </c>
      <c r="H2316" s="15">
        <f t="shared" si="87"/>
        <v>25.5</v>
      </c>
    </row>
    <row r="2317" spans="1:12" x14ac:dyDescent="0.3">
      <c r="A2317" s="38">
        <v>6</v>
      </c>
      <c r="B2317" s="39" t="s">
        <v>643</v>
      </c>
      <c r="C2317" s="40">
        <v>20060368076585</v>
      </c>
      <c r="D2317" s="67" t="s">
        <v>647</v>
      </c>
      <c r="E2317" s="41">
        <v>1</v>
      </c>
      <c r="F2317" s="9"/>
      <c r="G2317" s="14" t="str">
        <f t="shared" si="88"/>
        <v>O</v>
      </c>
      <c r="H2317" s="15">
        <f t="shared" si="87"/>
        <v>0.5</v>
      </c>
    </row>
    <row r="2318" spans="1:12" x14ac:dyDescent="0.3">
      <c r="A2318" s="38">
        <v>7</v>
      </c>
      <c r="B2318" s="39" t="s">
        <v>643</v>
      </c>
      <c r="C2318" s="40">
        <v>20060368076585</v>
      </c>
      <c r="D2318" s="67" t="s">
        <v>648</v>
      </c>
      <c r="E2318" s="41">
        <v>40</v>
      </c>
      <c r="F2318" s="9"/>
      <c r="G2318" s="14" t="str">
        <f t="shared" si="88"/>
        <v>O</v>
      </c>
      <c r="H2318" s="15">
        <f t="shared" si="87"/>
        <v>20</v>
      </c>
    </row>
    <row r="2319" spans="1:12" x14ac:dyDescent="0.3">
      <c r="A2319" s="38">
        <v>8</v>
      </c>
      <c r="B2319" s="39" t="s">
        <v>643</v>
      </c>
      <c r="C2319" s="40">
        <v>20060368076585</v>
      </c>
      <c r="D2319" s="67" t="s">
        <v>649</v>
      </c>
      <c r="E2319" s="41">
        <v>51</v>
      </c>
      <c r="F2319" s="9"/>
      <c r="G2319" s="14" t="str">
        <f t="shared" si="88"/>
        <v>O</v>
      </c>
      <c r="H2319" s="15">
        <f t="shared" si="87"/>
        <v>25.5</v>
      </c>
    </row>
    <row r="2320" spans="1:12" x14ac:dyDescent="0.3">
      <c r="A2320" s="38">
        <v>9</v>
      </c>
      <c r="B2320" s="39" t="s">
        <v>643</v>
      </c>
      <c r="C2320" s="40">
        <v>20060368076585</v>
      </c>
      <c r="D2320" s="67" t="s">
        <v>518</v>
      </c>
      <c r="E2320" s="41">
        <v>46</v>
      </c>
      <c r="F2320" s="9"/>
      <c r="G2320" s="14" t="str">
        <f t="shared" si="88"/>
        <v>O</v>
      </c>
      <c r="H2320" s="15">
        <f t="shared" si="87"/>
        <v>23</v>
      </c>
    </row>
    <row r="2321" spans="1:8" x14ac:dyDescent="0.3">
      <c r="A2321" s="38">
        <v>10</v>
      </c>
      <c r="B2321" s="39" t="s">
        <v>643</v>
      </c>
      <c r="C2321" s="40">
        <v>20060368076585</v>
      </c>
      <c r="D2321" s="67" t="s">
        <v>650</v>
      </c>
      <c r="E2321" s="41">
        <v>41</v>
      </c>
      <c r="F2321" s="9"/>
      <c r="G2321" s="14" t="str">
        <f t="shared" si="88"/>
        <v>O</v>
      </c>
      <c r="H2321" s="15">
        <f t="shared" si="87"/>
        <v>20.5</v>
      </c>
    </row>
    <row r="2322" spans="1:8" x14ac:dyDescent="0.3">
      <c r="A2322" s="38">
        <v>11</v>
      </c>
      <c r="B2322" s="39" t="s">
        <v>643</v>
      </c>
      <c r="C2322" s="40">
        <v>20060368076585</v>
      </c>
      <c r="D2322" s="67" t="s">
        <v>651</v>
      </c>
      <c r="E2322" s="41">
        <v>3</v>
      </c>
      <c r="F2322" s="9"/>
      <c r="G2322" s="14" t="str">
        <f t="shared" si="88"/>
        <v>O</v>
      </c>
      <c r="H2322" s="15">
        <f t="shared" si="87"/>
        <v>1.5</v>
      </c>
    </row>
    <row r="2323" spans="1:8" x14ac:dyDescent="0.3">
      <c r="A2323" s="38">
        <v>12</v>
      </c>
      <c r="B2323" s="39" t="s">
        <v>643</v>
      </c>
      <c r="C2323" s="40">
        <v>20060368076585</v>
      </c>
      <c r="D2323" s="67" t="s">
        <v>519</v>
      </c>
      <c r="E2323" s="41">
        <v>31</v>
      </c>
      <c r="F2323" s="9"/>
      <c r="G2323" s="14" t="str">
        <f t="shared" si="88"/>
        <v>O</v>
      </c>
      <c r="H2323" s="15">
        <f t="shared" si="87"/>
        <v>15.5</v>
      </c>
    </row>
    <row r="2324" spans="1:8" x14ac:dyDescent="0.3">
      <c r="A2324" s="31">
        <v>1</v>
      </c>
      <c r="B2324" s="26" t="s">
        <v>652</v>
      </c>
      <c r="C2324" s="27">
        <v>20060368076265</v>
      </c>
      <c r="D2324" s="26" t="s">
        <v>284</v>
      </c>
      <c r="E2324" s="28">
        <v>72.707926937400245</v>
      </c>
      <c r="F2324" s="9"/>
      <c r="G2324" s="14" t="str">
        <f t="shared" si="88"/>
        <v>O</v>
      </c>
      <c r="H2324" s="15">
        <f t="shared" si="87"/>
        <v>36.353963468700123</v>
      </c>
    </row>
    <row r="2325" spans="1:8" x14ac:dyDescent="0.3">
      <c r="A2325" s="31">
        <v>2</v>
      </c>
      <c r="B2325" s="26" t="s">
        <v>652</v>
      </c>
      <c r="C2325" s="27">
        <v>20060368076265</v>
      </c>
      <c r="D2325" s="68" t="s">
        <v>644</v>
      </c>
      <c r="E2325" s="28">
        <v>10.640184429863451</v>
      </c>
      <c r="F2325" s="9"/>
      <c r="G2325" s="14" t="str">
        <f t="shared" si="88"/>
        <v>O</v>
      </c>
      <c r="H2325" s="15">
        <f t="shared" si="87"/>
        <v>5.3200922149317256</v>
      </c>
    </row>
    <row r="2326" spans="1:8" x14ac:dyDescent="0.3">
      <c r="A2326" s="31">
        <v>3</v>
      </c>
      <c r="B2326" s="26" t="s">
        <v>652</v>
      </c>
      <c r="C2326" s="27">
        <v>20060368076265</v>
      </c>
      <c r="D2326" s="68" t="s">
        <v>157</v>
      </c>
      <c r="E2326" s="28">
        <v>32.07</v>
      </c>
      <c r="F2326" s="9"/>
      <c r="G2326" s="14" t="str">
        <f t="shared" si="88"/>
        <v>O</v>
      </c>
      <c r="H2326" s="15">
        <f t="shared" si="87"/>
        <v>16.035</v>
      </c>
    </row>
    <row r="2327" spans="1:8" x14ac:dyDescent="0.3">
      <c r="A2327" s="31">
        <v>4</v>
      </c>
      <c r="B2327" s="26" t="s">
        <v>652</v>
      </c>
      <c r="C2327" s="27">
        <v>20060368076265</v>
      </c>
      <c r="D2327" s="68" t="s">
        <v>325</v>
      </c>
      <c r="E2327" s="28">
        <v>1.6</v>
      </c>
      <c r="F2327" s="9"/>
      <c r="G2327" s="14" t="str">
        <f t="shared" si="88"/>
        <v>O</v>
      </c>
      <c r="H2327" s="15">
        <f t="shared" si="87"/>
        <v>0.8</v>
      </c>
    </row>
    <row r="2328" spans="1:8" x14ac:dyDescent="0.3">
      <c r="A2328" s="31">
        <v>5</v>
      </c>
      <c r="B2328" s="26" t="s">
        <v>652</v>
      </c>
      <c r="C2328" s="27">
        <v>20060368076265</v>
      </c>
      <c r="D2328" s="68" t="s">
        <v>650</v>
      </c>
      <c r="E2328" s="28">
        <v>24.83</v>
      </c>
      <c r="F2328" s="9"/>
      <c r="G2328" s="14" t="str">
        <f t="shared" si="88"/>
        <v>O</v>
      </c>
      <c r="H2328" s="15">
        <f t="shared" si="87"/>
        <v>12.414999999999999</v>
      </c>
    </row>
    <row r="2329" spans="1:8" x14ac:dyDescent="0.3">
      <c r="A2329" s="31">
        <v>6</v>
      </c>
      <c r="B2329" s="26" t="s">
        <v>652</v>
      </c>
      <c r="C2329" s="27">
        <v>20060368076265</v>
      </c>
      <c r="D2329" s="68" t="s">
        <v>33</v>
      </c>
      <c r="E2329" s="28">
        <v>18.53</v>
      </c>
      <c r="F2329" s="9"/>
      <c r="G2329" s="14" t="str">
        <f t="shared" si="88"/>
        <v>O</v>
      </c>
      <c r="H2329" s="15">
        <f t="shared" si="87"/>
        <v>9.2650000000000006</v>
      </c>
    </row>
    <row r="2330" spans="1:8" x14ac:dyDescent="0.3">
      <c r="A2330" s="31">
        <v>7</v>
      </c>
      <c r="B2330" s="26" t="s">
        <v>652</v>
      </c>
      <c r="C2330" s="27">
        <v>20060368076265</v>
      </c>
      <c r="D2330" s="68" t="s">
        <v>351</v>
      </c>
      <c r="E2330" s="28">
        <v>3.55</v>
      </c>
      <c r="F2330" s="9"/>
      <c r="G2330" s="14" t="str">
        <f t="shared" si="88"/>
        <v>O</v>
      </c>
      <c r="H2330" s="15">
        <f t="shared" si="87"/>
        <v>1.7749999999999999</v>
      </c>
    </row>
    <row r="2331" spans="1:8" x14ac:dyDescent="0.3">
      <c r="A2331" s="31">
        <v>8</v>
      </c>
      <c r="B2331" s="26" t="s">
        <v>652</v>
      </c>
      <c r="C2331" s="27">
        <v>20060368076265</v>
      </c>
      <c r="D2331" s="68" t="s">
        <v>653</v>
      </c>
      <c r="E2331" s="28">
        <v>3.55</v>
      </c>
      <c r="F2331" s="9"/>
      <c r="G2331" s="14" t="str">
        <f t="shared" si="88"/>
        <v>O</v>
      </c>
      <c r="H2331" s="15">
        <f t="shared" si="87"/>
        <v>1.7749999999999999</v>
      </c>
    </row>
    <row r="2332" spans="1:8" x14ac:dyDescent="0.3">
      <c r="A2332" s="31">
        <v>9</v>
      </c>
      <c r="B2332" s="26" t="s">
        <v>652</v>
      </c>
      <c r="C2332" s="27">
        <v>20060368076265</v>
      </c>
      <c r="D2332" s="68" t="s">
        <v>654</v>
      </c>
      <c r="E2332" s="28">
        <v>3.55</v>
      </c>
      <c r="F2332" s="9"/>
      <c r="G2332" s="14" t="str">
        <f t="shared" si="88"/>
        <v>O</v>
      </c>
      <c r="H2332" s="15">
        <f t="shared" si="87"/>
        <v>1.7749999999999999</v>
      </c>
    </row>
    <row r="2333" spans="1:8" x14ac:dyDescent="0.3">
      <c r="A2333" s="31">
        <v>10</v>
      </c>
      <c r="B2333" s="26" t="s">
        <v>652</v>
      </c>
      <c r="C2333" s="27">
        <v>20060368076265</v>
      </c>
      <c r="D2333" s="68" t="s">
        <v>326</v>
      </c>
      <c r="E2333" s="28">
        <v>1.51</v>
      </c>
      <c r="F2333" s="9"/>
      <c r="G2333" s="14" t="str">
        <f t="shared" si="88"/>
        <v>O</v>
      </c>
      <c r="H2333" s="15">
        <f t="shared" si="87"/>
        <v>0.755</v>
      </c>
    </row>
    <row r="2334" spans="1:8" x14ac:dyDescent="0.3">
      <c r="A2334" s="31">
        <v>11</v>
      </c>
      <c r="B2334" s="26" t="s">
        <v>652</v>
      </c>
      <c r="C2334" s="27">
        <v>20060368076265</v>
      </c>
      <c r="D2334" s="68" t="s">
        <v>645</v>
      </c>
      <c r="E2334" s="28">
        <v>3.1</v>
      </c>
      <c r="F2334" s="9"/>
      <c r="G2334" s="14" t="str">
        <f t="shared" si="88"/>
        <v>O</v>
      </c>
      <c r="H2334" s="15">
        <f t="shared" si="87"/>
        <v>1.55</v>
      </c>
    </row>
    <row r="2335" spans="1:8" x14ac:dyDescent="0.3">
      <c r="A2335" s="31">
        <v>12</v>
      </c>
      <c r="B2335" s="26" t="s">
        <v>652</v>
      </c>
      <c r="C2335" s="27">
        <v>20060368076265</v>
      </c>
      <c r="D2335" s="68" t="s">
        <v>459</v>
      </c>
      <c r="E2335" s="28">
        <v>3.55</v>
      </c>
      <c r="F2335" s="9"/>
      <c r="G2335" s="14" t="str">
        <f t="shared" si="88"/>
        <v>O</v>
      </c>
      <c r="H2335" s="15">
        <f t="shared" si="87"/>
        <v>1.7749999999999999</v>
      </c>
    </row>
    <row r="2336" spans="1:8" x14ac:dyDescent="0.3">
      <c r="A2336" s="31">
        <v>13</v>
      </c>
      <c r="B2336" s="26" t="s">
        <v>652</v>
      </c>
      <c r="C2336" s="27">
        <v>20060368076265</v>
      </c>
      <c r="D2336" s="68" t="s">
        <v>646</v>
      </c>
      <c r="E2336" s="28">
        <v>7.09</v>
      </c>
      <c r="F2336" s="9"/>
      <c r="G2336" s="14" t="str">
        <f t="shared" si="88"/>
        <v>O</v>
      </c>
      <c r="H2336" s="15">
        <f t="shared" si="87"/>
        <v>3.5449999999999999</v>
      </c>
    </row>
    <row r="2337" spans="1:8" x14ac:dyDescent="0.3">
      <c r="A2337" s="31">
        <v>14</v>
      </c>
      <c r="B2337" s="26" t="s">
        <v>652</v>
      </c>
      <c r="C2337" s="27">
        <v>20060368076265</v>
      </c>
      <c r="D2337" s="68" t="s">
        <v>649</v>
      </c>
      <c r="E2337" s="28">
        <v>21.28</v>
      </c>
      <c r="F2337" s="9"/>
      <c r="G2337" s="14" t="str">
        <f t="shared" si="88"/>
        <v>O</v>
      </c>
      <c r="H2337" s="15">
        <f t="shared" si="87"/>
        <v>10.64</v>
      </c>
    </row>
    <row r="2338" spans="1:8" x14ac:dyDescent="0.3">
      <c r="A2338" s="31">
        <v>15</v>
      </c>
      <c r="B2338" s="26" t="s">
        <v>652</v>
      </c>
      <c r="C2338" s="27">
        <v>20060368076265</v>
      </c>
      <c r="D2338" s="68" t="s">
        <v>648</v>
      </c>
      <c r="E2338" s="28">
        <v>17.73</v>
      </c>
      <c r="F2338" s="9"/>
      <c r="G2338" s="14" t="str">
        <f t="shared" si="88"/>
        <v>O</v>
      </c>
      <c r="H2338" s="15">
        <f t="shared" si="87"/>
        <v>8.8650000000000002</v>
      </c>
    </row>
    <row r="2339" spans="1:8" x14ac:dyDescent="0.3">
      <c r="A2339" s="31">
        <v>16</v>
      </c>
      <c r="B2339" s="26" t="s">
        <v>652</v>
      </c>
      <c r="C2339" s="27">
        <v>20060368076265</v>
      </c>
      <c r="D2339" s="68" t="s">
        <v>539</v>
      </c>
      <c r="E2339" s="28">
        <v>30</v>
      </c>
      <c r="F2339" s="9"/>
      <c r="G2339" s="14" t="str">
        <f t="shared" si="88"/>
        <v>O</v>
      </c>
      <c r="H2339" s="15">
        <f t="shared" si="87"/>
        <v>15</v>
      </c>
    </row>
    <row r="2340" spans="1:8" x14ac:dyDescent="0.3">
      <c r="A2340" s="31">
        <v>17</v>
      </c>
      <c r="B2340" s="26" t="s">
        <v>652</v>
      </c>
      <c r="C2340" s="27">
        <v>20060368076265</v>
      </c>
      <c r="D2340" s="68" t="s">
        <v>12</v>
      </c>
      <c r="E2340" s="28">
        <v>5.28</v>
      </c>
      <c r="F2340" s="9"/>
      <c r="G2340" s="14" t="str">
        <f t="shared" si="88"/>
        <v>O</v>
      </c>
      <c r="H2340" s="15">
        <f t="shared" si="87"/>
        <v>2.64</v>
      </c>
    </row>
    <row r="2341" spans="1:8" x14ac:dyDescent="0.3">
      <c r="A2341" s="31">
        <v>1</v>
      </c>
      <c r="B2341" s="26" t="s">
        <v>655</v>
      </c>
      <c r="C2341" s="27">
        <v>20060368076849</v>
      </c>
      <c r="D2341" s="68" t="s">
        <v>82</v>
      </c>
      <c r="E2341" s="28">
        <v>178</v>
      </c>
      <c r="F2341" s="9"/>
      <c r="G2341" s="14" t="str">
        <f t="shared" si="88"/>
        <v>O</v>
      </c>
      <c r="H2341" s="15">
        <f t="shared" si="87"/>
        <v>89</v>
      </c>
    </row>
    <row r="2342" spans="1:8" x14ac:dyDescent="0.3">
      <c r="A2342" s="31">
        <v>2</v>
      </c>
      <c r="B2342" s="26" t="s">
        <v>655</v>
      </c>
      <c r="C2342" s="27">
        <v>20060368076849</v>
      </c>
      <c r="D2342" s="68" t="s">
        <v>155</v>
      </c>
      <c r="E2342" s="28">
        <v>3</v>
      </c>
      <c r="F2342" s="9"/>
      <c r="G2342" s="14" t="str">
        <f t="shared" si="88"/>
        <v>O</v>
      </c>
      <c r="H2342" s="15">
        <f t="shared" si="87"/>
        <v>1.5</v>
      </c>
    </row>
    <row r="2343" spans="1:8" x14ac:dyDescent="0.3">
      <c r="A2343" s="31">
        <v>3</v>
      </c>
      <c r="B2343" s="26" t="s">
        <v>655</v>
      </c>
      <c r="C2343" s="27">
        <v>20060368076849</v>
      </c>
      <c r="D2343" s="68" t="s">
        <v>114</v>
      </c>
      <c r="E2343" s="28">
        <v>110</v>
      </c>
      <c r="F2343" s="9"/>
      <c r="G2343" s="14" t="str">
        <f t="shared" si="88"/>
        <v>O</v>
      </c>
      <c r="H2343" s="15">
        <f t="shared" si="87"/>
        <v>55</v>
      </c>
    </row>
    <row r="2344" spans="1:8" x14ac:dyDescent="0.3">
      <c r="A2344" s="31">
        <v>4</v>
      </c>
      <c r="B2344" s="26" t="s">
        <v>655</v>
      </c>
      <c r="C2344" s="27">
        <v>20060368076849</v>
      </c>
      <c r="D2344" s="68" t="s">
        <v>164</v>
      </c>
      <c r="E2344" s="28">
        <v>2</v>
      </c>
      <c r="F2344" s="9"/>
      <c r="G2344" s="14" t="str">
        <f t="shared" si="88"/>
        <v>O</v>
      </c>
      <c r="H2344" s="15">
        <f t="shared" si="87"/>
        <v>1</v>
      </c>
    </row>
    <row r="2345" spans="1:8" x14ac:dyDescent="0.3">
      <c r="A2345" s="31">
        <v>5</v>
      </c>
      <c r="B2345" s="26" t="s">
        <v>655</v>
      </c>
      <c r="C2345" s="27">
        <v>20060368076849</v>
      </c>
      <c r="D2345" s="68" t="s">
        <v>586</v>
      </c>
      <c r="E2345" s="28">
        <v>23</v>
      </c>
      <c r="F2345" s="9"/>
      <c r="G2345" s="14" t="str">
        <f t="shared" si="88"/>
        <v>O</v>
      </c>
      <c r="H2345" s="15">
        <f t="shared" si="87"/>
        <v>11.5</v>
      </c>
    </row>
    <row r="2346" spans="1:8" x14ac:dyDescent="0.3">
      <c r="A2346" s="31">
        <v>6</v>
      </c>
      <c r="B2346" s="26" t="s">
        <v>655</v>
      </c>
      <c r="C2346" s="27">
        <v>20060368076849</v>
      </c>
      <c r="D2346" s="68" t="s">
        <v>218</v>
      </c>
      <c r="E2346" s="28">
        <v>12</v>
      </c>
      <c r="F2346" s="9"/>
      <c r="G2346" s="14" t="str">
        <f t="shared" si="88"/>
        <v>O</v>
      </c>
      <c r="H2346" s="15">
        <f t="shared" si="87"/>
        <v>6</v>
      </c>
    </row>
    <row r="2347" spans="1:8" x14ac:dyDescent="0.3">
      <c r="A2347" s="31">
        <v>7</v>
      </c>
      <c r="B2347" s="26" t="s">
        <v>655</v>
      </c>
      <c r="C2347" s="27">
        <v>20060368076849</v>
      </c>
      <c r="D2347" s="68" t="s">
        <v>60</v>
      </c>
      <c r="E2347" s="28">
        <v>7</v>
      </c>
      <c r="F2347" s="9"/>
      <c r="G2347" s="14" t="str">
        <f t="shared" si="88"/>
        <v>O</v>
      </c>
      <c r="H2347" s="15">
        <f t="shared" si="87"/>
        <v>3.5</v>
      </c>
    </row>
    <row r="2348" spans="1:8" x14ac:dyDescent="0.3">
      <c r="A2348" s="31">
        <v>8</v>
      </c>
      <c r="B2348" s="26" t="s">
        <v>655</v>
      </c>
      <c r="C2348" s="27">
        <v>20060368076849</v>
      </c>
      <c r="D2348" s="68" t="s">
        <v>78</v>
      </c>
      <c r="E2348" s="28">
        <v>29</v>
      </c>
      <c r="F2348" s="9"/>
      <c r="G2348" s="14" t="str">
        <f t="shared" si="88"/>
        <v>O</v>
      </c>
      <c r="H2348" s="15">
        <f t="shared" si="87"/>
        <v>14.5</v>
      </c>
    </row>
    <row r="2349" spans="1:8" x14ac:dyDescent="0.3">
      <c r="A2349" s="31">
        <v>9</v>
      </c>
      <c r="B2349" s="26" t="s">
        <v>655</v>
      </c>
      <c r="C2349" s="27">
        <v>20060368076849</v>
      </c>
      <c r="D2349" s="26" t="s">
        <v>295</v>
      </c>
      <c r="E2349" s="28">
        <v>0</v>
      </c>
      <c r="F2349" s="9"/>
      <c r="G2349" s="14" t="str">
        <f t="shared" si="88"/>
        <v>O</v>
      </c>
      <c r="H2349" s="15">
        <f t="shared" si="87"/>
        <v>0</v>
      </c>
    </row>
    <row r="2350" spans="1:8" x14ac:dyDescent="0.3">
      <c r="A2350" s="31">
        <v>10</v>
      </c>
      <c r="B2350" s="26" t="s">
        <v>655</v>
      </c>
      <c r="C2350" s="27">
        <v>20060368076849</v>
      </c>
      <c r="D2350" s="68" t="s">
        <v>45</v>
      </c>
      <c r="E2350" s="28">
        <v>0.9</v>
      </c>
      <c r="F2350" s="9"/>
      <c r="G2350" s="14" t="str">
        <f t="shared" si="88"/>
        <v>O</v>
      </c>
      <c r="H2350" s="15">
        <f t="shared" si="87"/>
        <v>0.45</v>
      </c>
    </row>
    <row r="2351" spans="1:8" x14ac:dyDescent="0.3">
      <c r="A2351" s="31">
        <v>11</v>
      </c>
      <c r="B2351" s="26" t="s">
        <v>655</v>
      </c>
      <c r="C2351" s="27">
        <v>20060368076849</v>
      </c>
      <c r="D2351" s="68" t="s">
        <v>323</v>
      </c>
      <c r="E2351" s="28">
        <v>0.75</v>
      </c>
      <c r="F2351" s="9"/>
      <c r="G2351" s="14" t="str">
        <f t="shared" si="88"/>
        <v>O</v>
      </c>
      <c r="H2351" s="15">
        <f t="shared" si="87"/>
        <v>0.375</v>
      </c>
    </row>
    <row r="2352" spans="1:8" x14ac:dyDescent="0.3">
      <c r="A2352" s="31">
        <v>1</v>
      </c>
      <c r="B2352" s="26" t="s">
        <v>656</v>
      </c>
      <c r="C2352" s="27">
        <v>20060368076508</v>
      </c>
      <c r="D2352" s="68" t="s">
        <v>82</v>
      </c>
      <c r="E2352" s="28">
        <v>59.4</v>
      </c>
      <c r="F2352" s="9"/>
      <c r="G2352" s="14" t="str">
        <f t="shared" si="88"/>
        <v>O</v>
      </c>
      <c r="H2352" s="15">
        <f t="shared" si="87"/>
        <v>29.7</v>
      </c>
    </row>
    <row r="2353" spans="1:8" x14ac:dyDescent="0.3">
      <c r="A2353" s="31">
        <v>2</v>
      </c>
      <c r="B2353" s="26" t="s">
        <v>656</v>
      </c>
      <c r="C2353" s="27">
        <v>20060368076508</v>
      </c>
      <c r="D2353" s="68" t="s">
        <v>155</v>
      </c>
      <c r="E2353" s="28">
        <v>1</v>
      </c>
      <c r="F2353" s="9"/>
      <c r="G2353" s="14" t="str">
        <f t="shared" si="88"/>
        <v>O</v>
      </c>
      <c r="H2353" s="15">
        <f t="shared" si="87"/>
        <v>0.5</v>
      </c>
    </row>
    <row r="2354" spans="1:8" x14ac:dyDescent="0.3">
      <c r="A2354" s="31">
        <v>3</v>
      </c>
      <c r="B2354" s="26" t="s">
        <v>656</v>
      </c>
      <c r="C2354" s="27">
        <v>20060368076508</v>
      </c>
      <c r="D2354" s="68" t="s">
        <v>114</v>
      </c>
      <c r="E2354" s="28">
        <v>36.5</v>
      </c>
      <c r="F2354" s="9"/>
      <c r="G2354" s="14" t="str">
        <f t="shared" si="88"/>
        <v>O</v>
      </c>
      <c r="H2354" s="15">
        <f t="shared" si="87"/>
        <v>18.25</v>
      </c>
    </row>
    <row r="2355" spans="1:8" x14ac:dyDescent="0.3">
      <c r="A2355" s="31">
        <v>4</v>
      </c>
      <c r="B2355" s="26" t="s">
        <v>656</v>
      </c>
      <c r="C2355" s="27">
        <v>20060368076508</v>
      </c>
      <c r="D2355" s="68" t="s">
        <v>164</v>
      </c>
      <c r="E2355" s="28">
        <v>0.6</v>
      </c>
      <c r="F2355" s="9"/>
      <c r="G2355" s="14" t="str">
        <f t="shared" si="88"/>
        <v>O</v>
      </c>
      <c r="H2355" s="15">
        <f t="shared" si="87"/>
        <v>0.3</v>
      </c>
    </row>
    <row r="2356" spans="1:8" x14ac:dyDescent="0.3">
      <c r="A2356" s="31">
        <v>5</v>
      </c>
      <c r="B2356" s="26" t="s">
        <v>656</v>
      </c>
      <c r="C2356" s="27">
        <v>20060368076508</v>
      </c>
      <c r="D2356" s="68" t="s">
        <v>586</v>
      </c>
      <c r="E2356" s="28">
        <v>7.8</v>
      </c>
      <c r="F2356" s="9"/>
      <c r="G2356" s="14" t="str">
        <f t="shared" si="88"/>
        <v>O</v>
      </c>
      <c r="H2356" s="15">
        <f t="shared" si="87"/>
        <v>3.9</v>
      </c>
    </row>
    <row r="2357" spans="1:8" x14ac:dyDescent="0.3">
      <c r="A2357" s="31">
        <v>6</v>
      </c>
      <c r="B2357" s="26" t="s">
        <v>656</v>
      </c>
      <c r="C2357" s="27">
        <v>20060368076508</v>
      </c>
      <c r="D2357" s="68" t="s">
        <v>218</v>
      </c>
      <c r="E2357" s="28">
        <v>4.0999999999999996</v>
      </c>
      <c r="F2357" s="9"/>
      <c r="G2357" s="14" t="str">
        <f t="shared" si="88"/>
        <v>O</v>
      </c>
      <c r="H2357" s="15">
        <f t="shared" ref="H2357:H2420" si="89">E2357/2</f>
        <v>2.0499999999999998</v>
      </c>
    </row>
    <row r="2358" spans="1:8" x14ac:dyDescent="0.3">
      <c r="A2358" s="31">
        <v>7</v>
      </c>
      <c r="B2358" s="26" t="s">
        <v>656</v>
      </c>
      <c r="C2358" s="27">
        <v>20060368076508</v>
      </c>
      <c r="D2358" s="68" t="s">
        <v>60</v>
      </c>
      <c r="E2358" s="28">
        <v>2.4</v>
      </c>
      <c r="F2358" s="9"/>
      <c r="G2358" s="14" t="str">
        <f t="shared" si="88"/>
        <v>O</v>
      </c>
      <c r="H2358" s="15">
        <f t="shared" si="89"/>
        <v>1.2</v>
      </c>
    </row>
    <row r="2359" spans="1:8" x14ac:dyDescent="0.3">
      <c r="A2359" s="31">
        <v>8</v>
      </c>
      <c r="B2359" s="26" t="s">
        <v>656</v>
      </c>
      <c r="C2359" s="27">
        <v>20060368076508</v>
      </c>
      <c r="D2359" s="68" t="s">
        <v>78</v>
      </c>
      <c r="E2359" s="28">
        <v>9.6999999999999993</v>
      </c>
      <c r="F2359" s="9"/>
      <c r="G2359" s="14" t="str">
        <f t="shared" si="88"/>
        <v>O</v>
      </c>
      <c r="H2359" s="15">
        <f t="shared" si="89"/>
        <v>4.8499999999999996</v>
      </c>
    </row>
    <row r="2360" spans="1:8" x14ac:dyDescent="0.3">
      <c r="A2360" s="31">
        <v>9</v>
      </c>
      <c r="B2360" s="26" t="s">
        <v>656</v>
      </c>
      <c r="C2360" s="27">
        <v>20060368076508</v>
      </c>
      <c r="D2360" s="26" t="s">
        <v>295</v>
      </c>
      <c r="E2360" s="28">
        <v>0</v>
      </c>
      <c r="F2360" s="9"/>
      <c r="G2360" s="14" t="str">
        <f t="shared" si="88"/>
        <v>O</v>
      </c>
      <c r="H2360" s="15">
        <f t="shared" si="89"/>
        <v>0</v>
      </c>
    </row>
    <row r="2361" spans="1:8" x14ac:dyDescent="0.3">
      <c r="A2361" s="31">
        <v>10</v>
      </c>
      <c r="B2361" s="26" t="s">
        <v>656</v>
      </c>
      <c r="C2361" s="27">
        <v>20060368076508</v>
      </c>
      <c r="D2361" s="68" t="s">
        <v>45</v>
      </c>
      <c r="E2361" s="28">
        <v>0.4</v>
      </c>
      <c r="F2361" s="9"/>
      <c r="G2361" s="14" t="str">
        <f t="shared" si="88"/>
        <v>O</v>
      </c>
      <c r="H2361" s="15">
        <f t="shared" si="89"/>
        <v>0.2</v>
      </c>
    </row>
    <row r="2362" spans="1:8" x14ac:dyDescent="0.3">
      <c r="A2362" s="31">
        <v>11</v>
      </c>
      <c r="B2362" s="26" t="s">
        <v>656</v>
      </c>
      <c r="C2362" s="27">
        <v>20060368076508</v>
      </c>
      <c r="D2362" s="68" t="s">
        <v>323</v>
      </c>
      <c r="E2362" s="28">
        <v>0.28000000000000003</v>
      </c>
      <c r="F2362" s="9"/>
      <c r="G2362" s="14" t="str">
        <f t="shared" si="88"/>
        <v>O</v>
      </c>
      <c r="H2362" s="15">
        <f t="shared" si="89"/>
        <v>0.14000000000000001</v>
      </c>
    </row>
    <row r="2363" spans="1:8" x14ac:dyDescent="0.3">
      <c r="A2363" s="31">
        <v>1</v>
      </c>
      <c r="B2363" s="26" t="s">
        <v>657</v>
      </c>
      <c r="C2363" s="27">
        <v>20060368076881</v>
      </c>
      <c r="D2363" s="26" t="s">
        <v>658</v>
      </c>
      <c r="E2363" s="28">
        <v>194.09</v>
      </c>
      <c r="F2363" s="9"/>
      <c r="G2363" s="14" t="str">
        <f t="shared" si="88"/>
        <v>O</v>
      </c>
      <c r="H2363" s="15">
        <f t="shared" si="89"/>
        <v>97.045000000000002</v>
      </c>
    </row>
    <row r="2364" spans="1:8" x14ac:dyDescent="0.3">
      <c r="A2364" s="31">
        <v>2</v>
      </c>
      <c r="B2364" s="26" t="s">
        <v>657</v>
      </c>
      <c r="C2364" s="27">
        <v>20060368076881</v>
      </c>
      <c r="D2364" s="68" t="s">
        <v>157</v>
      </c>
      <c r="E2364" s="28">
        <v>3.88</v>
      </c>
      <c r="F2364" s="9"/>
      <c r="G2364" s="14" t="str">
        <f t="shared" si="88"/>
        <v>O</v>
      </c>
      <c r="H2364" s="15">
        <f t="shared" si="89"/>
        <v>1.94</v>
      </c>
    </row>
    <row r="2365" spans="1:8" x14ac:dyDescent="0.3">
      <c r="A2365" s="31">
        <v>3</v>
      </c>
      <c r="B2365" s="26" t="s">
        <v>657</v>
      </c>
      <c r="C2365" s="27">
        <v>20060368076881</v>
      </c>
      <c r="D2365" s="68" t="s">
        <v>228</v>
      </c>
      <c r="E2365" s="28">
        <v>38.82</v>
      </c>
      <c r="F2365" s="9"/>
      <c r="G2365" s="14" t="str">
        <f t="shared" ref="G2365:G2428" si="90">IF(D2365="","",IF(COUNTIF(I:I,D2365)&gt;0,"O","X"))</f>
        <v>O</v>
      </c>
      <c r="H2365" s="15">
        <f t="shared" si="89"/>
        <v>19.41</v>
      </c>
    </row>
    <row r="2366" spans="1:8" x14ac:dyDescent="0.3">
      <c r="A2366" s="31">
        <v>4</v>
      </c>
      <c r="B2366" s="26" t="s">
        <v>657</v>
      </c>
      <c r="C2366" s="27">
        <v>20060368076881</v>
      </c>
      <c r="D2366" s="26" t="s">
        <v>295</v>
      </c>
      <c r="E2366" s="28">
        <v>0.52</v>
      </c>
      <c r="F2366" s="9"/>
      <c r="G2366" s="14" t="str">
        <f t="shared" si="90"/>
        <v>O</v>
      </c>
      <c r="H2366" s="15">
        <f t="shared" si="89"/>
        <v>0.26</v>
      </c>
    </row>
    <row r="2367" spans="1:8" x14ac:dyDescent="0.3">
      <c r="A2367" s="31">
        <v>5</v>
      </c>
      <c r="B2367" s="26" t="s">
        <v>657</v>
      </c>
      <c r="C2367" s="27">
        <v>20060368076881</v>
      </c>
      <c r="D2367" s="68" t="s">
        <v>164</v>
      </c>
      <c r="E2367" s="28">
        <v>5.82</v>
      </c>
      <c r="F2367" s="9"/>
      <c r="G2367" s="14" t="str">
        <f t="shared" si="90"/>
        <v>O</v>
      </c>
      <c r="H2367" s="15">
        <f t="shared" si="89"/>
        <v>2.91</v>
      </c>
    </row>
    <row r="2368" spans="1:8" x14ac:dyDescent="0.3">
      <c r="A2368" s="31">
        <v>6</v>
      </c>
      <c r="B2368" s="26" t="s">
        <v>657</v>
      </c>
      <c r="C2368" s="27">
        <v>20060368076881</v>
      </c>
      <c r="D2368" s="68" t="s">
        <v>114</v>
      </c>
      <c r="E2368" s="28">
        <v>161.74</v>
      </c>
      <c r="F2368" s="9"/>
      <c r="G2368" s="14" t="str">
        <f t="shared" si="90"/>
        <v>O</v>
      </c>
      <c r="H2368" s="15">
        <f t="shared" si="89"/>
        <v>80.87</v>
      </c>
    </row>
    <row r="2369" spans="1:8" x14ac:dyDescent="0.3">
      <c r="A2369" s="31">
        <v>7</v>
      </c>
      <c r="B2369" s="26" t="s">
        <v>657</v>
      </c>
      <c r="C2369" s="27">
        <v>20060368076881</v>
      </c>
      <c r="D2369" s="26" t="s">
        <v>492</v>
      </c>
      <c r="E2369" s="28">
        <v>9.6999999999999993</v>
      </c>
      <c r="F2369" s="9"/>
      <c r="G2369" s="14" t="str">
        <f t="shared" si="90"/>
        <v>O</v>
      </c>
      <c r="H2369" s="15">
        <f t="shared" si="89"/>
        <v>4.8499999999999996</v>
      </c>
    </row>
    <row r="2370" spans="1:8" x14ac:dyDescent="0.3">
      <c r="A2370" s="31">
        <v>8</v>
      </c>
      <c r="B2370" s="26" t="s">
        <v>657</v>
      </c>
      <c r="C2370" s="27">
        <v>20060368076881</v>
      </c>
      <c r="D2370" s="68" t="s">
        <v>155</v>
      </c>
      <c r="E2370" s="28">
        <v>3.67</v>
      </c>
      <c r="F2370" s="9"/>
      <c r="G2370" s="14" t="str">
        <f t="shared" si="90"/>
        <v>O</v>
      </c>
      <c r="H2370" s="15">
        <f t="shared" si="89"/>
        <v>1.835</v>
      </c>
    </row>
    <row r="2371" spans="1:8" x14ac:dyDescent="0.3">
      <c r="A2371" s="31">
        <v>9</v>
      </c>
      <c r="B2371" s="26" t="s">
        <v>657</v>
      </c>
      <c r="C2371" s="27">
        <v>20060368076881</v>
      </c>
      <c r="D2371" s="26" t="s">
        <v>166</v>
      </c>
      <c r="E2371" s="28">
        <v>51.76</v>
      </c>
      <c r="F2371" s="9"/>
      <c r="G2371" s="14" t="str">
        <f t="shared" si="90"/>
        <v>O</v>
      </c>
      <c r="H2371" s="15">
        <f t="shared" si="89"/>
        <v>25.88</v>
      </c>
    </row>
    <row r="2372" spans="1:8" x14ac:dyDescent="0.3">
      <c r="A2372" s="31">
        <v>10</v>
      </c>
      <c r="B2372" s="26" t="s">
        <v>657</v>
      </c>
      <c r="C2372" s="27">
        <v>20060368076881</v>
      </c>
      <c r="D2372" s="26" t="s">
        <v>368</v>
      </c>
      <c r="E2372" s="28">
        <v>51.8</v>
      </c>
      <c r="F2372" s="9"/>
      <c r="G2372" s="14" t="str">
        <f t="shared" si="90"/>
        <v>O</v>
      </c>
      <c r="H2372" s="15">
        <f t="shared" si="89"/>
        <v>25.9</v>
      </c>
    </row>
    <row r="2373" spans="1:8" x14ac:dyDescent="0.3">
      <c r="A2373" s="19">
        <v>1</v>
      </c>
      <c r="B2373" s="39" t="s">
        <v>659</v>
      </c>
      <c r="C2373" s="40">
        <v>20060368076860</v>
      </c>
      <c r="D2373" s="67" t="s">
        <v>82</v>
      </c>
      <c r="E2373" s="41">
        <v>128.13</v>
      </c>
      <c r="F2373" s="9"/>
      <c r="G2373" s="14" t="str">
        <f t="shared" si="90"/>
        <v>O</v>
      </c>
      <c r="H2373" s="15">
        <f t="shared" si="89"/>
        <v>64.064999999999998</v>
      </c>
    </row>
    <row r="2374" spans="1:8" x14ac:dyDescent="0.3">
      <c r="A2374" s="19">
        <v>2</v>
      </c>
      <c r="B2374" s="39" t="s">
        <v>659</v>
      </c>
      <c r="C2374" s="40">
        <v>20060368076860</v>
      </c>
      <c r="D2374" s="67" t="s">
        <v>92</v>
      </c>
      <c r="E2374" s="41">
        <v>32.03</v>
      </c>
      <c r="F2374" s="9"/>
      <c r="G2374" s="14" t="str">
        <f t="shared" si="90"/>
        <v>O</v>
      </c>
      <c r="H2374" s="15">
        <f t="shared" si="89"/>
        <v>16.015000000000001</v>
      </c>
    </row>
    <row r="2375" spans="1:8" x14ac:dyDescent="0.3">
      <c r="A2375" s="19">
        <v>3</v>
      </c>
      <c r="B2375" s="39" t="s">
        <v>659</v>
      </c>
      <c r="C2375" s="40">
        <v>20060368076860</v>
      </c>
      <c r="D2375" s="67" t="s">
        <v>218</v>
      </c>
      <c r="E2375" s="41">
        <v>1.6</v>
      </c>
      <c r="F2375" s="9"/>
      <c r="G2375" s="14" t="str">
        <f t="shared" si="90"/>
        <v>O</v>
      </c>
      <c r="H2375" s="15">
        <f t="shared" si="89"/>
        <v>0.8</v>
      </c>
    </row>
    <row r="2376" spans="1:8" x14ac:dyDescent="0.3">
      <c r="A2376" s="19">
        <v>4</v>
      </c>
      <c r="B2376" s="39" t="s">
        <v>659</v>
      </c>
      <c r="C2376" s="40">
        <v>20060368076860</v>
      </c>
      <c r="D2376" s="67" t="s">
        <v>155</v>
      </c>
      <c r="E2376" s="41">
        <v>1.63</v>
      </c>
      <c r="F2376" s="9"/>
      <c r="G2376" s="14" t="str">
        <f t="shared" si="90"/>
        <v>O</v>
      </c>
      <c r="H2376" s="15">
        <f t="shared" si="89"/>
        <v>0.81499999999999995</v>
      </c>
    </row>
    <row r="2377" spans="1:8" x14ac:dyDescent="0.3">
      <c r="A2377" s="19">
        <v>5</v>
      </c>
      <c r="B2377" s="39" t="s">
        <v>659</v>
      </c>
      <c r="C2377" s="40">
        <v>20060368076860</v>
      </c>
      <c r="D2377" s="67" t="s">
        <v>164</v>
      </c>
      <c r="E2377" s="41">
        <v>4.12</v>
      </c>
      <c r="F2377" s="9"/>
      <c r="G2377" s="14" t="str">
        <f t="shared" si="90"/>
        <v>O</v>
      </c>
      <c r="H2377" s="15">
        <f t="shared" si="89"/>
        <v>2.06</v>
      </c>
    </row>
    <row r="2378" spans="1:8" x14ac:dyDescent="0.3">
      <c r="A2378" s="19">
        <v>6</v>
      </c>
      <c r="B2378" s="39" t="s">
        <v>659</v>
      </c>
      <c r="C2378" s="40">
        <v>20060368076860</v>
      </c>
      <c r="D2378" s="67" t="s">
        <v>80</v>
      </c>
      <c r="E2378" s="41">
        <v>26.69</v>
      </c>
      <c r="F2378" s="9"/>
      <c r="G2378" s="14" t="str">
        <f t="shared" si="90"/>
        <v>O</v>
      </c>
      <c r="H2378" s="15">
        <f t="shared" si="89"/>
        <v>13.345000000000001</v>
      </c>
    </row>
    <row r="2379" spans="1:8" x14ac:dyDescent="0.3">
      <c r="A2379" s="19">
        <v>7</v>
      </c>
      <c r="B2379" s="39" t="s">
        <v>659</v>
      </c>
      <c r="C2379" s="40">
        <v>20060368076860</v>
      </c>
      <c r="D2379" s="39" t="s">
        <v>295</v>
      </c>
      <c r="E2379" s="41">
        <v>0.02</v>
      </c>
      <c r="F2379" s="9"/>
      <c r="G2379" s="14" t="str">
        <f t="shared" si="90"/>
        <v>O</v>
      </c>
      <c r="H2379" s="15">
        <f t="shared" si="89"/>
        <v>0.01</v>
      </c>
    </row>
    <row r="2380" spans="1:8" x14ac:dyDescent="0.3">
      <c r="A2380" s="19">
        <v>8</v>
      </c>
      <c r="B2380" s="39" t="s">
        <v>659</v>
      </c>
      <c r="C2380" s="40">
        <v>20060368076860</v>
      </c>
      <c r="D2380" s="39" t="s">
        <v>114</v>
      </c>
      <c r="E2380" s="41">
        <v>117.45</v>
      </c>
      <c r="F2380" s="9"/>
      <c r="G2380" s="14" t="str">
        <f t="shared" si="90"/>
        <v>O</v>
      </c>
      <c r="H2380" s="15">
        <f t="shared" si="89"/>
        <v>58.725000000000001</v>
      </c>
    </row>
    <row r="2381" spans="1:8" x14ac:dyDescent="0.3">
      <c r="A2381" s="19">
        <v>9</v>
      </c>
      <c r="B2381" s="39" t="s">
        <v>659</v>
      </c>
      <c r="C2381" s="40">
        <v>20060368076860</v>
      </c>
      <c r="D2381" s="67" t="s">
        <v>60</v>
      </c>
      <c r="E2381" s="41">
        <v>12.81</v>
      </c>
      <c r="F2381" s="9"/>
      <c r="G2381" s="14" t="str">
        <f t="shared" si="90"/>
        <v>O</v>
      </c>
      <c r="H2381" s="15">
        <f t="shared" si="89"/>
        <v>6.4050000000000002</v>
      </c>
    </row>
    <row r="2382" spans="1:8" x14ac:dyDescent="0.3">
      <c r="A2382" s="19">
        <v>10</v>
      </c>
      <c r="B2382" s="39" t="s">
        <v>659</v>
      </c>
      <c r="C2382" s="40">
        <v>20060368076860</v>
      </c>
      <c r="D2382" s="67" t="s">
        <v>27</v>
      </c>
      <c r="E2382" s="41">
        <v>18.690000000000001</v>
      </c>
      <c r="F2382" s="9"/>
      <c r="G2382" s="14" t="str">
        <f t="shared" si="90"/>
        <v>O</v>
      </c>
      <c r="H2382" s="15">
        <f t="shared" si="89"/>
        <v>9.3450000000000006</v>
      </c>
    </row>
    <row r="2383" spans="1:8" x14ac:dyDescent="0.3">
      <c r="A2383" s="19">
        <v>11</v>
      </c>
      <c r="B2383" s="39" t="s">
        <v>659</v>
      </c>
      <c r="C2383" s="40">
        <v>20060368076860</v>
      </c>
      <c r="D2383" s="67" t="s">
        <v>130</v>
      </c>
      <c r="E2383" s="41">
        <v>8.01</v>
      </c>
      <c r="F2383" s="9"/>
      <c r="G2383" s="14" t="str">
        <f t="shared" si="90"/>
        <v>O</v>
      </c>
      <c r="H2383" s="15">
        <f t="shared" si="89"/>
        <v>4.0049999999999999</v>
      </c>
    </row>
    <row r="2384" spans="1:8" x14ac:dyDescent="0.3">
      <c r="A2384" s="19">
        <v>12</v>
      </c>
      <c r="B2384" s="39" t="s">
        <v>659</v>
      </c>
      <c r="C2384" s="40">
        <v>20060368076860</v>
      </c>
      <c r="D2384" s="67" t="s">
        <v>564</v>
      </c>
      <c r="E2384" s="41">
        <v>7.47</v>
      </c>
      <c r="F2384" s="9"/>
      <c r="G2384" s="14" t="str">
        <f t="shared" si="90"/>
        <v>O</v>
      </c>
      <c r="H2384" s="15">
        <f t="shared" si="89"/>
        <v>3.7349999999999999</v>
      </c>
    </row>
    <row r="2385" spans="1:8" x14ac:dyDescent="0.3">
      <c r="A2385" s="19">
        <v>13</v>
      </c>
      <c r="B2385" s="39" t="s">
        <v>659</v>
      </c>
      <c r="C2385" s="40">
        <v>20060368076860</v>
      </c>
      <c r="D2385" s="67" t="s">
        <v>33</v>
      </c>
      <c r="E2385" s="41">
        <v>21.35</v>
      </c>
      <c r="F2385" s="9"/>
      <c r="G2385" s="14" t="str">
        <f t="shared" si="90"/>
        <v>O</v>
      </c>
      <c r="H2385" s="15">
        <f t="shared" si="89"/>
        <v>10.675000000000001</v>
      </c>
    </row>
    <row r="2386" spans="1:8" x14ac:dyDescent="0.3">
      <c r="A2386" s="19">
        <v>14</v>
      </c>
      <c r="B2386" s="39" t="s">
        <v>659</v>
      </c>
      <c r="C2386" s="40">
        <v>20060368076860</v>
      </c>
      <c r="D2386" s="67" t="s">
        <v>272</v>
      </c>
      <c r="E2386" s="41">
        <v>42.3</v>
      </c>
      <c r="F2386" s="9"/>
      <c r="G2386" s="14" t="str">
        <f t="shared" si="90"/>
        <v>O</v>
      </c>
      <c r="H2386" s="15">
        <f t="shared" si="89"/>
        <v>21.15</v>
      </c>
    </row>
    <row r="2387" spans="1:8" x14ac:dyDescent="0.3">
      <c r="A2387" s="19">
        <v>15</v>
      </c>
      <c r="B2387" s="39" t="s">
        <v>659</v>
      </c>
      <c r="C2387" s="40">
        <v>20060368076860</v>
      </c>
      <c r="D2387" s="67" t="s">
        <v>323</v>
      </c>
      <c r="E2387" s="41">
        <v>16</v>
      </c>
      <c r="F2387" s="9"/>
      <c r="G2387" s="14" t="str">
        <f t="shared" si="90"/>
        <v>O</v>
      </c>
      <c r="H2387" s="15">
        <f t="shared" si="89"/>
        <v>8</v>
      </c>
    </row>
    <row r="2388" spans="1:8" x14ac:dyDescent="0.3">
      <c r="A2388" s="19">
        <v>1</v>
      </c>
      <c r="B2388" s="20" t="s">
        <v>660</v>
      </c>
      <c r="C2388" s="21">
        <v>20060368076953</v>
      </c>
      <c r="D2388" s="69" t="s">
        <v>644</v>
      </c>
      <c r="E2388" s="22">
        <v>75</v>
      </c>
      <c r="F2388" s="9"/>
      <c r="G2388" s="14" t="str">
        <f t="shared" si="90"/>
        <v>O</v>
      </c>
      <c r="H2388" s="15">
        <f t="shared" si="89"/>
        <v>37.5</v>
      </c>
    </row>
    <row r="2389" spans="1:8" x14ac:dyDescent="0.3">
      <c r="A2389" s="19">
        <v>2</v>
      </c>
      <c r="B2389" s="20" t="s">
        <v>660</v>
      </c>
      <c r="C2389" s="21">
        <v>20060368076953</v>
      </c>
      <c r="D2389" s="69" t="s">
        <v>661</v>
      </c>
      <c r="E2389" s="22">
        <v>90</v>
      </c>
      <c r="F2389" s="9"/>
      <c r="G2389" s="14" t="str">
        <f t="shared" si="90"/>
        <v>O</v>
      </c>
      <c r="H2389" s="15">
        <f t="shared" si="89"/>
        <v>45</v>
      </c>
    </row>
    <row r="2390" spans="1:8" x14ac:dyDescent="0.3">
      <c r="A2390" s="19">
        <v>3</v>
      </c>
      <c r="B2390" s="20" t="s">
        <v>660</v>
      </c>
      <c r="C2390" s="21">
        <v>20060368076953</v>
      </c>
      <c r="D2390" s="69" t="s">
        <v>272</v>
      </c>
      <c r="E2390" s="22">
        <v>23</v>
      </c>
      <c r="F2390" s="9"/>
      <c r="G2390" s="14" t="str">
        <f t="shared" si="90"/>
        <v>O</v>
      </c>
      <c r="H2390" s="15">
        <f t="shared" si="89"/>
        <v>11.5</v>
      </c>
    </row>
    <row r="2391" spans="1:8" x14ac:dyDescent="0.3">
      <c r="A2391" s="19">
        <v>4</v>
      </c>
      <c r="B2391" s="20" t="s">
        <v>660</v>
      </c>
      <c r="C2391" s="21">
        <v>20060368076953</v>
      </c>
      <c r="D2391" s="69" t="s">
        <v>662</v>
      </c>
      <c r="E2391" s="22">
        <v>75</v>
      </c>
      <c r="F2391" s="9"/>
      <c r="G2391" s="14" t="str">
        <f t="shared" si="90"/>
        <v>O</v>
      </c>
      <c r="H2391" s="15">
        <f t="shared" si="89"/>
        <v>37.5</v>
      </c>
    </row>
    <row r="2392" spans="1:8" x14ac:dyDescent="0.3">
      <c r="A2392" s="19">
        <v>5</v>
      </c>
      <c r="B2392" s="20" t="s">
        <v>660</v>
      </c>
      <c r="C2392" s="21">
        <v>20060368076953</v>
      </c>
      <c r="D2392" s="69" t="s">
        <v>159</v>
      </c>
      <c r="E2392" s="22">
        <v>5</v>
      </c>
      <c r="F2392" s="9"/>
      <c r="G2392" s="14" t="str">
        <f t="shared" si="90"/>
        <v>O</v>
      </c>
      <c r="H2392" s="15">
        <f t="shared" si="89"/>
        <v>2.5</v>
      </c>
    </row>
    <row r="2393" spans="1:8" x14ac:dyDescent="0.3">
      <c r="A2393" s="19">
        <v>6</v>
      </c>
      <c r="B2393" s="20" t="s">
        <v>660</v>
      </c>
      <c r="C2393" s="21">
        <v>20060368076953</v>
      </c>
      <c r="D2393" s="69" t="s">
        <v>33</v>
      </c>
      <c r="E2393" s="22">
        <v>17</v>
      </c>
      <c r="F2393" s="9"/>
      <c r="G2393" s="14" t="str">
        <f t="shared" si="90"/>
        <v>O</v>
      </c>
      <c r="H2393" s="15">
        <f t="shared" si="89"/>
        <v>8.5</v>
      </c>
    </row>
    <row r="2394" spans="1:8" x14ac:dyDescent="0.3">
      <c r="A2394" s="19">
        <v>7</v>
      </c>
      <c r="B2394" s="20" t="s">
        <v>660</v>
      </c>
      <c r="C2394" s="21">
        <v>20060368076953</v>
      </c>
      <c r="D2394" s="69" t="s">
        <v>650</v>
      </c>
      <c r="E2394" s="22">
        <v>7</v>
      </c>
      <c r="F2394" s="9"/>
      <c r="G2394" s="14" t="str">
        <f t="shared" si="90"/>
        <v>O</v>
      </c>
      <c r="H2394" s="15">
        <f t="shared" si="89"/>
        <v>3.5</v>
      </c>
    </row>
    <row r="2395" spans="1:8" x14ac:dyDescent="0.3">
      <c r="A2395" s="19">
        <v>8</v>
      </c>
      <c r="B2395" s="20" t="s">
        <v>660</v>
      </c>
      <c r="C2395" s="21">
        <v>20060368076953</v>
      </c>
      <c r="D2395" s="69" t="s">
        <v>663</v>
      </c>
      <c r="E2395" s="22">
        <v>5.5</v>
      </c>
      <c r="F2395" s="9"/>
      <c r="G2395" s="14" t="str">
        <f t="shared" si="90"/>
        <v>O</v>
      </c>
      <c r="H2395" s="15">
        <f t="shared" si="89"/>
        <v>2.75</v>
      </c>
    </row>
    <row r="2396" spans="1:8" x14ac:dyDescent="0.3">
      <c r="A2396" s="19">
        <v>9</v>
      </c>
      <c r="B2396" s="20" t="s">
        <v>660</v>
      </c>
      <c r="C2396" s="21">
        <v>20060368076953</v>
      </c>
      <c r="D2396" s="69" t="s">
        <v>325</v>
      </c>
      <c r="E2396" s="22">
        <v>2</v>
      </c>
      <c r="F2396" s="9"/>
      <c r="G2396" s="14" t="str">
        <f t="shared" si="90"/>
        <v>O</v>
      </c>
      <c r="H2396" s="15">
        <f t="shared" si="89"/>
        <v>1</v>
      </c>
    </row>
    <row r="2397" spans="1:8" x14ac:dyDescent="0.3">
      <c r="A2397" s="19">
        <v>10</v>
      </c>
      <c r="B2397" s="20" t="s">
        <v>660</v>
      </c>
      <c r="C2397" s="21">
        <v>20060368076953</v>
      </c>
      <c r="D2397" s="69" t="s">
        <v>645</v>
      </c>
      <c r="E2397" s="22">
        <v>2</v>
      </c>
      <c r="F2397" s="9"/>
      <c r="G2397" s="14" t="str">
        <f t="shared" si="90"/>
        <v>O</v>
      </c>
      <c r="H2397" s="15">
        <f t="shared" si="89"/>
        <v>1</v>
      </c>
    </row>
    <row r="2398" spans="1:8" x14ac:dyDescent="0.3">
      <c r="A2398" s="19">
        <v>11</v>
      </c>
      <c r="B2398" s="20" t="s">
        <v>660</v>
      </c>
      <c r="C2398" s="21">
        <v>20060368076953</v>
      </c>
      <c r="D2398" s="69" t="s">
        <v>647</v>
      </c>
      <c r="E2398" s="22">
        <v>1</v>
      </c>
      <c r="F2398" s="9"/>
      <c r="G2398" s="14" t="str">
        <f t="shared" si="90"/>
        <v>O</v>
      </c>
      <c r="H2398" s="15">
        <f t="shared" si="89"/>
        <v>0.5</v>
      </c>
    </row>
    <row r="2399" spans="1:8" x14ac:dyDescent="0.3">
      <c r="A2399" s="19">
        <v>12</v>
      </c>
      <c r="B2399" s="20" t="s">
        <v>660</v>
      </c>
      <c r="C2399" s="21">
        <v>20060368076953</v>
      </c>
      <c r="D2399" s="69" t="s">
        <v>519</v>
      </c>
      <c r="E2399" s="22">
        <v>23</v>
      </c>
      <c r="F2399" s="9"/>
      <c r="G2399" s="14" t="str">
        <f t="shared" si="90"/>
        <v>O</v>
      </c>
      <c r="H2399" s="15">
        <f t="shared" si="89"/>
        <v>11.5</v>
      </c>
    </row>
    <row r="2400" spans="1:8" x14ac:dyDescent="0.3">
      <c r="A2400" s="19">
        <v>13</v>
      </c>
      <c r="B2400" s="20" t="s">
        <v>660</v>
      </c>
      <c r="C2400" s="21">
        <v>20060368076953</v>
      </c>
      <c r="D2400" s="69" t="s">
        <v>649</v>
      </c>
      <c r="E2400" s="22">
        <v>42</v>
      </c>
      <c r="F2400" s="9"/>
      <c r="G2400" s="14" t="str">
        <f t="shared" si="90"/>
        <v>O</v>
      </c>
      <c r="H2400" s="15">
        <f t="shared" si="89"/>
        <v>21</v>
      </c>
    </row>
    <row r="2401" spans="1:8" x14ac:dyDescent="0.3">
      <c r="A2401" s="19">
        <v>1</v>
      </c>
      <c r="B2401" s="20" t="s">
        <v>664</v>
      </c>
      <c r="C2401" s="21">
        <v>20060368076955</v>
      </c>
      <c r="D2401" s="69" t="s">
        <v>661</v>
      </c>
      <c r="E2401" s="22">
        <v>90</v>
      </c>
      <c r="F2401" s="9"/>
      <c r="G2401" s="14" t="str">
        <f t="shared" si="90"/>
        <v>O</v>
      </c>
      <c r="H2401" s="15">
        <f t="shared" si="89"/>
        <v>45</v>
      </c>
    </row>
    <row r="2402" spans="1:8" x14ac:dyDescent="0.3">
      <c r="A2402" s="19">
        <v>2</v>
      </c>
      <c r="B2402" s="20" t="s">
        <v>664</v>
      </c>
      <c r="C2402" s="21">
        <v>20060368076955</v>
      </c>
      <c r="D2402" s="69" t="s">
        <v>644</v>
      </c>
      <c r="E2402" s="22">
        <v>87</v>
      </c>
      <c r="F2402" s="9"/>
      <c r="G2402" s="14" t="str">
        <f t="shared" si="90"/>
        <v>O</v>
      </c>
      <c r="H2402" s="15">
        <f t="shared" si="89"/>
        <v>43.5</v>
      </c>
    </row>
    <row r="2403" spans="1:8" x14ac:dyDescent="0.3">
      <c r="A2403" s="19">
        <v>3</v>
      </c>
      <c r="B2403" s="20" t="s">
        <v>664</v>
      </c>
      <c r="C2403" s="21">
        <v>20060368076955</v>
      </c>
      <c r="D2403" s="69" t="s">
        <v>272</v>
      </c>
      <c r="E2403" s="22">
        <v>41</v>
      </c>
      <c r="F2403" s="9"/>
      <c r="G2403" s="14" t="str">
        <f t="shared" si="90"/>
        <v>O</v>
      </c>
      <c r="H2403" s="15">
        <f t="shared" si="89"/>
        <v>20.5</v>
      </c>
    </row>
    <row r="2404" spans="1:8" x14ac:dyDescent="0.3">
      <c r="A2404" s="19">
        <v>4</v>
      </c>
      <c r="B2404" s="20" t="s">
        <v>664</v>
      </c>
      <c r="C2404" s="21">
        <v>20060368076955</v>
      </c>
      <c r="D2404" s="69" t="s">
        <v>519</v>
      </c>
      <c r="E2404" s="22">
        <v>45</v>
      </c>
      <c r="F2404" s="9"/>
      <c r="G2404" s="14" t="str">
        <f t="shared" si="90"/>
        <v>O</v>
      </c>
      <c r="H2404" s="15">
        <f t="shared" si="89"/>
        <v>22.5</v>
      </c>
    </row>
    <row r="2405" spans="1:8" x14ac:dyDescent="0.3">
      <c r="A2405" s="19">
        <v>5</v>
      </c>
      <c r="B2405" s="20" t="s">
        <v>664</v>
      </c>
      <c r="C2405" s="21">
        <v>20060368076955</v>
      </c>
      <c r="D2405" s="70" t="s">
        <v>41</v>
      </c>
      <c r="E2405" s="22">
        <v>23</v>
      </c>
      <c r="F2405" s="9"/>
      <c r="G2405" s="14" t="str">
        <f t="shared" si="90"/>
        <v>O</v>
      </c>
      <c r="H2405" s="15">
        <f t="shared" si="89"/>
        <v>11.5</v>
      </c>
    </row>
    <row r="2406" spans="1:8" x14ac:dyDescent="0.3">
      <c r="A2406" s="19">
        <v>6</v>
      </c>
      <c r="B2406" s="20" t="s">
        <v>664</v>
      </c>
      <c r="C2406" s="21">
        <v>20060368076955</v>
      </c>
      <c r="D2406" s="69" t="s">
        <v>159</v>
      </c>
      <c r="E2406" s="22">
        <v>2</v>
      </c>
      <c r="F2406" s="9"/>
      <c r="G2406" s="14" t="str">
        <f t="shared" si="90"/>
        <v>O</v>
      </c>
      <c r="H2406" s="15">
        <f t="shared" si="89"/>
        <v>1</v>
      </c>
    </row>
    <row r="2407" spans="1:8" x14ac:dyDescent="0.3">
      <c r="A2407" s="19">
        <v>7</v>
      </c>
      <c r="B2407" s="20" t="s">
        <v>664</v>
      </c>
      <c r="C2407" s="21">
        <v>20060368076955</v>
      </c>
      <c r="D2407" s="69" t="s">
        <v>172</v>
      </c>
      <c r="E2407" s="22">
        <v>5</v>
      </c>
      <c r="F2407" s="9"/>
      <c r="G2407" s="14" t="str">
        <f t="shared" si="90"/>
        <v>O</v>
      </c>
      <c r="H2407" s="15">
        <f t="shared" si="89"/>
        <v>2.5</v>
      </c>
    </row>
    <row r="2408" spans="1:8" x14ac:dyDescent="0.3">
      <c r="A2408" s="19">
        <v>8</v>
      </c>
      <c r="B2408" s="20" t="s">
        <v>664</v>
      </c>
      <c r="C2408" s="21">
        <v>20060368076955</v>
      </c>
      <c r="D2408" s="69" t="s">
        <v>663</v>
      </c>
      <c r="E2408" s="22">
        <v>3.5</v>
      </c>
      <c r="F2408" s="9"/>
      <c r="G2408" s="14" t="str">
        <f t="shared" si="90"/>
        <v>O</v>
      </c>
      <c r="H2408" s="15">
        <f t="shared" si="89"/>
        <v>1.75</v>
      </c>
    </row>
    <row r="2409" spans="1:8" x14ac:dyDescent="0.3">
      <c r="A2409" s="19">
        <v>9</v>
      </c>
      <c r="B2409" s="20" t="s">
        <v>664</v>
      </c>
      <c r="C2409" s="21">
        <v>20060368076955</v>
      </c>
      <c r="D2409" s="70" t="s">
        <v>645</v>
      </c>
      <c r="E2409" s="22">
        <v>4</v>
      </c>
      <c r="F2409" s="9"/>
      <c r="G2409" s="14" t="str">
        <f t="shared" si="90"/>
        <v>O</v>
      </c>
      <c r="H2409" s="15">
        <f t="shared" si="89"/>
        <v>2</v>
      </c>
    </row>
    <row r="2410" spans="1:8" x14ac:dyDescent="0.3">
      <c r="A2410" s="19">
        <v>10</v>
      </c>
      <c r="B2410" s="20" t="s">
        <v>664</v>
      </c>
      <c r="C2410" s="21">
        <v>20060368076955</v>
      </c>
      <c r="D2410" s="69" t="s">
        <v>325</v>
      </c>
      <c r="E2410" s="22">
        <v>2</v>
      </c>
      <c r="F2410" s="9"/>
      <c r="G2410" s="14" t="str">
        <f t="shared" si="90"/>
        <v>O</v>
      </c>
      <c r="H2410" s="15">
        <f t="shared" si="89"/>
        <v>1</v>
      </c>
    </row>
    <row r="2411" spans="1:8" x14ac:dyDescent="0.3">
      <c r="A2411" s="19">
        <v>11</v>
      </c>
      <c r="B2411" s="20" t="s">
        <v>664</v>
      </c>
      <c r="C2411" s="21">
        <v>20060368076955</v>
      </c>
      <c r="D2411" s="69" t="s">
        <v>649</v>
      </c>
      <c r="E2411" s="22">
        <v>66</v>
      </c>
      <c r="F2411" s="9"/>
      <c r="G2411" s="14" t="str">
        <f t="shared" si="90"/>
        <v>O</v>
      </c>
      <c r="H2411" s="15">
        <f t="shared" si="89"/>
        <v>33</v>
      </c>
    </row>
    <row r="2412" spans="1:8" x14ac:dyDescent="0.3">
      <c r="A2412" s="19">
        <v>1</v>
      </c>
      <c r="B2412" s="20" t="s">
        <v>665</v>
      </c>
      <c r="C2412" s="21">
        <v>20060368076954</v>
      </c>
      <c r="D2412" s="69" t="s">
        <v>644</v>
      </c>
      <c r="E2412" s="22">
        <v>108</v>
      </c>
      <c r="F2412" s="9"/>
      <c r="G2412" s="14" t="str">
        <f t="shared" si="90"/>
        <v>O</v>
      </c>
      <c r="H2412" s="15">
        <f t="shared" si="89"/>
        <v>54</v>
      </c>
    </row>
    <row r="2413" spans="1:8" x14ac:dyDescent="0.3">
      <c r="A2413" s="19">
        <v>2</v>
      </c>
      <c r="B2413" s="20" t="s">
        <v>665</v>
      </c>
      <c r="C2413" s="21">
        <v>20060368076954</v>
      </c>
      <c r="D2413" s="69" t="s">
        <v>159</v>
      </c>
      <c r="E2413" s="22">
        <v>14.1</v>
      </c>
      <c r="F2413" s="9"/>
      <c r="G2413" s="14" t="str">
        <f t="shared" si="90"/>
        <v>O</v>
      </c>
      <c r="H2413" s="15">
        <f t="shared" si="89"/>
        <v>7.05</v>
      </c>
    </row>
    <row r="2414" spans="1:8" x14ac:dyDescent="0.3">
      <c r="A2414" s="19">
        <v>3</v>
      </c>
      <c r="B2414" s="20" t="s">
        <v>665</v>
      </c>
      <c r="C2414" s="21">
        <v>20060368076954</v>
      </c>
      <c r="D2414" s="69" t="s">
        <v>325</v>
      </c>
      <c r="E2414" s="22">
        <v>2</v>
      </c>
      <c r="F2414" s="9"/>
      <c r="G2414" s="14" t="str">
        <f t="shared" si="90"/>
        <v>O</v>
      </c>
      <c r="H2414" s="15">
        <f t="shared" si="89"/>
        <v>1</v>
      </c>
    </row>
    <row r="2415" spans="1:8" x14ac:dyDescent="0.3">
      <c r="A2415" s="19">
        <v>4</v>
      </c>
      <c r="B2415" s="20" t="s">
        <v>665</v>
      </c>
      <c r="C2415" s="21">
        <v>20060368076954</v>
      </c>
      <c r="D2415" s="69" t="s">
        <v>645</v>
      </c>
      <c r="E2415" s="22">
        <v>2</v>
      </c>
      <c r="F2415" s="9"/>
      <c r="G2415" s="14" t="str">
        <f t="shared" si="90"/>
        <v>O</v>
      </c>
      <c r="H2415" s="15">
        <f t="shared" si="89"/>
        <v>1</v>
      </c>
    </row>
    <row r="2416" spans="1:8" x14ac:dyDescent="0.3">
      <c r="A2416" s="19">
        <v>5</v>
      </c>
      <c r="B2416" s="20" t="s">
        <v>665</v>
      </c>
      <c r="C2416" s="21">
        <v>20060368076954</v>
      </c>
      <c r="D2416" s="69" t="s">
        <v>649</v>
      </c>
      <c r="E2416" s="22">
        <v>83.9</v>
      </c>
      <c r="F2416" s="9"/>
      <c r="G2416" s="14" t="str">
        <f t="shared" si="90"/>
        <v>O</v>
      </c>
      <c r="H2416" s="15">
        <f t="shared" si="89"/>
        <v>41.95</v>
      </c>
    </row>
    <row r="2417" spans="1:8" x14ac:dyDescent="0.3">
      <c r="A2417" s="19">
        <v>6</v>
      </c>
      <c r="B2417" s="20" t="s">
        <v>665</v>
      </c>
      <c r="C2417" s="21">
        <v>20060368076954</v>
      </c>
      <c r="D2417" s="69" t="s">
        <v>647</v>
      </c>
      <c r="E2417" s="22">
        <v>1</v>
      </c>
      <c r="F2417" s="9"/>
      <c r="G2417" s="14" t="str">
        <f t="shared" si="90"/>
        <v>O</v>
      </c>
      <c r="H2417" s="15">
        <f t="shared" si="89"/>
        <v>0.5</v>
      </c>
    </row>
    <row r="2418" spans="1:8" x14ac:dyDescent="0.3">
      <c r="A2418" s="19">
        <v>7</v>
      </c>
      <c r="B2418" s="20" t="s">
        <v>665</v>
      </c>
      <c r="C2418" s="21">
        <v>20060368076954</v>
      </c>
      <c r="D2418" s="69" t="s">
        <v>170</v>
      </c>
      <c r="E2418" s="22">
        <v>3</v>
      </c>
      <c r="F2418" s="9"/>
      <c r="G2418" s="14" t="str">
        <f t="shared" si="90"/>
        <v>O</v>
      </c>
      <c r="H2418" s="15">
        <f t="shared" si="89"/>
        <v>1.5</v>
      </c>
    </row>
    <row r="2419" spans="1:8" x14ac:dyDescent="0.3">
      <c r="A2419" s="19">
        <v>8</v>
      </c>
      <c r="B2419" s="20" t="s">
        <v>665</v>
      </c>
      <c r="C2419" s="21">
        <v>20060368076954</v>
      </c>
      <c r="D2419" s="69" t="s">
        <v>459</v>
      </c>
      <c r="E2419" s="22">
        <v>22</v>
      </c>
      <c r="F2419" s="9"/>
      <c r="G2419" s="14" t="str">
        <f t="shared" si="90"/>
        <v>O</v>
      </c>
      <c r="H2419" s="15">
        <f t="shared" si="89"/>
        <v>11</v>
      </c>
    </row>
    <row r="2420" spans="1:8" x14ac:dyDescent="0.3">
      <c r="A2420" s="19">
        <v>9</v>
      </c>
      <c r="B2420" s="20" t="s">
        <v>665</v>
      </c>
      <c r="C2420" s="21">
        <v>20060368076954</v>
      </c>
      <c r="D2420" s="69" t="s">
        <v>650</v>
      </c>
      <c r="E2420" s="22">
        <v>3</v>
      </c>
      <c r="F2420" s="9"/>
      <c r="G2420" s="14" t="str">
        <f t="shared" si="90"/>
        <v>O</v>
      </c>
      <c r="H2420" s="15">
        <f t="shared" si="89"/>
        <v>1.5</v>
      </c>
    </row>
    <row r="2421" spans="1:8" x14ac:dyDescent="0.3">
      <c r="A2421" s="19">
        <v>10</v>
      </c>
      <c r="B2421" s="20" t="s">
        <v>665</v>
      </c>
      <c r="C2421" s="21">
        <v>20060368076954</v>
      </c>
      <c r="D2421" s="69" t="s">
        <v>33</v>
      </c>
      <c r="E2421" s="22">
        <v>20</v>
      </c>
      <c r="F2421" s="9"/>
      <c r="G2421" s="14" t="str">
        <f t="shared" si="90"/>
        <v>O</v>
      </c>
      <c r="H2421" s="15">
        <f t="shared" ref="H2421:H2484" si="91">E2421/2</f>
        <v>10</v>
      </c>
    </row>
    <row r="2422" spans="1:8" x14ac:dyDescent="0.3">
      <c r="A2422" s="19">
        <v>11</v>
      </c>
      <c r="B2422" s="20" t="s">
        <v>665</v>
      </c>
      <c r="C2422" s="21">
        <v>20060368076954</v>
      </c>
      <c r="D2422" s="69" t="s">
        <v>654</v>
      </c>
      <c r="E2422" s="22">
        <v>29</v>
      </c>
      <c r="F2422" s="9"/>
      <c r="G2422" s="14" t="str">
        <f t="shared" si="90"/>
        <v>O</v>
      </c>
      <c r="H2422" s="15">
        <f t="shared" si="91"/>
        <v>14.5</v>
      </c>
    </row>
    <row r="2423" spans="1:8" x14ac:dyDescent="0.3">
      <c r="A2423" s="19">
        <v>12</v>
      </c>
      <c r="B2423" s="20" t="s">
        <v>665</v>
      </c>
      <c r="C2423" s="21">
        <v>20060368076954</v>
      </c>
      <c r="D2423" s="69" t="s">
        <v>661</v>
      </c>
      <c r="E2423" s="22">
        <v>69.7</v>
      </c>
      <c r="F2423" s="9"/>
      <c r="G2423" s="14" t="str">
        <f t="shared" si="90"/>
        <v>O</v>
      </c>
      <c r="H2423" s="15">
        <f t="shared" si="91"/>
        <v>34.85</v>
      </c>
    </row>
    <row r="2424" spans="1:8" x14ac:dyDescent="0.3">
      <c r="A2424" s="19">
        <v>13</v>
      </c>
      <c r="B2424" s="20" t="s">
        <v>665</v>
      </c>
      <c r="C2424" s="21">
        <v>20060368076954</v>
      </c>
      <c r="D2424" s="69" t="s">
        <v>663</v>
      </c>
      <c r="E2424" s="71">
        <v>2.25</v>
      </c>
      <c r="F2424" s="9"/>
      <c r="G2424" s="14" t="str">
        <f t="shared" si="90"/>
        <v>O</v>
      </c>
      <c r="H2424" s="15">
        <f t="shared" si="91"/>
        <v>1.125</v>
      </c>
    </row>
    <row r="2425" spans="1:8" x14ac:dyDescent="0.3">
      <c r="A2425" s="19">
        <v>1</v>
      </c>
      <c r="B2425" s="20" t="s">
        <v>666</v>
      </c>
      <c r="C2425" s="21">
        <v>20060368076957</v>
      </c>
      <c r="D2425" s="69" t="s">
        <v>644</v>
      </c>
      <c r="E2425" s="22">
        <v>154</v>
      </c>
      <c r="F2425" s="9"/>
      <c r="G2425" s="14" t="str">
        <f t="shared" si="90"/>
        <v>O</v>
      </c>
      <c r="H2425" s="15">
        <f t="shared" si="91"/>
        <v>77</v>
      </c>
    </row>
    <row r="2426" spans="1:8" x14ac:dyDescent="0.3">
      <c r="A2426" s="19">
        <v>2</v>
      </c>
      <c r="B2426" s="20" t="s">
        <v>666</v>
      </c>
      <c r="C2426" s="21">
        <v>20060368076957</v>
      </c>
      <c r="D2426" s="69" t="s">
        <v>159</v>
      </c>
      <c r="E2426" s="22">
        <v>9</v>
      </c>
      <c r="F2426" s="9"/>
      <c r="G2426" s="14" t="str">
        <f t="shared" si="90"/>
        <v>O</v>
      </c>
      <c r="H2426" s="15">
        <f t="shared" si="91"/>
        <v>4.5</v>
      </c>
    </row>
    <row r="2427" spans="1:8" x14ac:dyDescent="0.3">
      <c r="A2427" s="19">
        <v>3</v>
      </c>
      <c r="B2427" s="20" t="s">
        <v>666</v>
      </c>
      <c r="C2427" s="21">
        <v>20060368076957</v>
      </c>
      <c r="D2427" s="69" t="s">
        <v>325</v>
      </c>
      <c r="E2427" s="22">
        <v>4</v>
      </c>
      <c r="F2427" s="9"/>
      <c r="G2427" s="14" t="str">
        <f t="shared" si="90"/>
        <v>O</v>
      </c>
      <c r="H2427" s="15">
        <f t="shared" si="91"/>
        <v>2</v>
      </c>
    </row>
    <row r="2428" spans="1:8" x14ac:dyDescent="0.3">
      <c r="A2428" s="19">
        <v>4</v>
      </c>
      <c r="B2428" s="20" t="s">
        <v>666</v>
      </c>
      <c r="C2428" s="21">
        <v>20060368076957</v>
      </c>
      <c r="D2428" s="69" t="s">
        <v>645</v>
      </c>
      <c r="E2428" s="22">
        <v>5</v>
      </c>
      <c r="F2428" s="9"/>
      <c r="G2428" s="14" t="str">
        <f t="shared" si="90"/>
        <v>O</v>
      </c>
      <c r="H2428" s="15">
        <f t="shared" si="91"/>
        <v>2.5</v>
      </c>
    </row>
    <row r="2429" spans="1:8" x14ac:dyDescent="0.3">
      <c r="A2429" s="19">
        <v>5</v>
      </c>
      <c r="B2429" s="20" t="s">
        <v>666</v>
      </c>
      <c r="C2429" s="21">
        <v>20060368076957</v>
      </c>
      <c r="D2429" s="69" t="s">
        <v>649</v>
      </c>
      <c r="E2429" s="22">
        <v>87</v>
      </c>
      <c r="F2429" s="9"/>
      <c r="G2429" s="14" t="str">
        <f t="shared" ref="G2429:G2492" si="92">IF(D2429="","",IF(COUNTIF(I:I,D2429)&gt;0,"O","X"))</f>
        <v>O</v>
      </c>
      <c r="H2429" s="15">
        <f t="shared" si="91"/>
        <v>43.5</v>
      </c>
    </row>
    <row r="2430" spans="1:8" x14ac:dyDescent="0.3">
      <c r="A2430" s="19">
        <v>6</v>
      </c>
      <c r="B2430" s="20" t="s">
        <v>666</v>
      </c>
      <c r="C2430" s="21">
        <v>20060368076957</v>
      </c>
      <c r="D2430" s="69" t="s">
        <v>647</v>
      </c>
      <c r="E2430" s="22">
        <v>1.2</v>
      </c>
      <c r="F2430" s="9"/>
      <c r="G2430" s="14" t="str">
        <f t="shared" si="92"/>
        <v>O</v>
      </c>
      <c r="H2430" s="15">
        <f t="shared" si="91"/>
        <v>0.6</v>
      </c>
    </row>
    <row r="2431" spans="1:8" x14ac:dyDescent="0.3">
      <c r="A2431" s="19">
        <v>7</v>
      </c>
      <c r="B2431" s="20" t="s">
        <v>666</v>
      </c>
      <c r="C2431" s="21">
        <v>20060368076957</v>
      </c>
      <c r="D2431" s="69" t="s">
        <v>667</v>
      </c>
      <c r="E2431" s="22">
        <v>6.9</v>
      </c>
      <c r="F2431" s="9"/>
      <c r="G2431" s="14" t="str">
        <f t="shared" si="92"/>
        <v>O</v>
      </c>
      <c r="H2431" s="15">
        <f t="shared" si="91"/>
        <v>3.45</v>
      </c>
    </row>
    <row r="2432" spans="1:8" x14ac:dyDescent="0.3">
      <c r="A2432" s="19">
        <v>8</v>
      </c>
      <c r="B2432" s="20" t="s">
        <v>666</v>
      </c>
      <c r="C2432" s="21">
        <v>20060368076957</v>
      </c>
      <c r="D2432" s="69" t="s">
        <v>459</v>
      </c>
      <c r="E2432" s="22">
        <v>46.3</v>
      </c>
      <c r="F2432" s="9"/>
      <c r="G2432" s="14" t="str">
        <f t="shared" si="92"/>
        <v>O</v>
      </c>
      <c r="H2432" s="15">
        <f t="shared" si="91"/>
        <v>23.15</v>
      </c>
    </row>
    <row r="2433" spans="1:8" x14ac:dyDescent="0.3">
      <c r="A2433" s="19">
        <v>9</v>
      </c>
      <c r="B2433" s="20" t="s">
        <v>666</v>
      </c>
      <c r="C2433" s="21">
        <v>20060368076957</v>
      </c>
      <c r="D2433" s="69" t="s">
        <v>650</v>
      </c>
      <c r="E2433" s="22">
        <v>7</v>
      </c>
      <c r="F2433" s="9"/>
      <c r="G2433" s="14" t="str">
        <f t="shared" si="92"/>
        <v>O</v>
      </c>
      <c r="H2433" s="15">
        <f t="shared" si="91"/>
        <v>3.5</v>
      </c>
    </row>
    <row r="2434" spans="1:8" x14ac:dyDescent="0.3">
      <c r="A2434" s="19">
        <v>10</v>
      </c>
      <c r="B2434" s="20" t="s">
        <v>666</v>
      </c>
      <c r="C2434" s="21">
        <v>20060368076957</v>
      </c>
      <c r="D2434" s="69" t="s">
        <v>33</v>
      </c>
      <c r="E2434" s="22">
        <v>43</v>
      </c>
      <c r="F2434" s="9"/>
      <c r="G2434" s="14" t="str">
        <f t="shared" si="92"/>
        <v>O</v>
      </c>
      <c r="H2434" s="15">
        <f t="shared" si="91"/>
        <v>21.5</v>
      </c>
    </row>
    <row r="2435" spans="1:8" x14ac:dyDescent="0.3">
      <c r="A2435" s="19">
        <v>11</v>
      </c>
      <c r="B2435" s="20" t="s">
        <v>666</v>
      </c>
      <c r="C2435" s="21">
        <v>20060368076957</v>
      </c>
      <c r="D2435" s="69" t="s">
        <v>654</v>
      </c>
      <c r="E2435" s="22">
        <v>62</v>
      </c>
      <c r="F2435" s="9"/>
      <c r="G2435" s="14" t="str">
        <f t="shared" si="92"/>
        <v>O</v>
      </c>
      <c r="H2435" s="15">
        <f t="shared" si="91"/>
        <v>31</v>
      </c>
    </row>
    <row r="2436" spans="1:8" x14ac:dyDescent="0.3">
      <c r="A2436" s="19">
        <v>12</v>
      </c>
      <c r="B2436" s="20" t="s">
        <v>666</v>
      </c>
      <c r="C2436" s="21">
        <v>20060368076957</v>
      </c>
      <c r="D2436" s="69" t="s">
        <v>662</v>
      </c>
      <c r="E2436" s="22">
        <v>154</v>
      </c>
      <c r="F2436" s="9"/>
      <c r="G2436" s="14" t="str">
        <f t="shared" si="92"/>
        <v>O</v>
      </c>
      <c r="H2436" s="15">
        <f t="shared" si="91"/>
        <v>77</v>
      </c>
    </row>
    <row r="2437" spans="1:8" x14ac:dyDescent="0.3">
      <c r="A2437" s="19">
        <v>1</v>
      </c>
      <c r="B2437" s="72" t="s">
        <v>668</v>
      </c>
      <c r="C2437" s="73">
        <v>20060368076912</v>
      </c>
      <c r="D2437" s="74" t="s">
        <v>644</v>
      </c>
      <c r="E2437" s="75">
        <v>227</v>
      </c>
      <c r="F2437" s="9"/>
      <c r="G2437" s="14" t="str">
        <f t="shared" si="92"/>
        <v>O</v>
      </c>
      <c r="H2437" s="15">
        <f t="shared" si="91"/>
        <v>113.5</v>
      </c>
    </row>
    <row r="2438" spans="1:8" x14ac:dyDescent="0.3">
      <c r="A2438" s="19">
        <v>2</v>
      </c>
      <c r="B2438" s="72" t="s">
        <v>668</v>
      </c>
      <c r="C2438" s="73">
        <v>20060368076912</v>
      </c>
      <c r="D2438" s="74" t="s">
        <v>669</v>
      </c>
      <c r="E2438" s="75">
        <v>98</v>
      </c>
      <c r="F2438" s="9"/>
      <c r="G2438" s="14" t="str">
        <f t="shared" si="92"/>
        <v>O</v>
      </c>
      <c r="H2438" s="15">
        <f t="shared" si="91"/>
        <v>49</v>
      </c>
    </row>
    <row r="2439" spans="1:8" x14ac:dyDescent="0.3">
      <c r="A2439" s="19">
        <v>3</v>
      </c>
      <c r="B2439" s="72" t="s">
        <v>668</v>
      </c>
      <c r="C2439" s="73">
        <v>20060368076912</v>
      </c>
      <c r="D2439" s="74" t="s">
        <v>325</v>
      </c>
      <c r="E2439" s="75">
        <v>5</v>
      </c>
      <c r="F2439" s="9"/>
      <c r="G2439" s="14" t="str">
        <f t="shared" si="92"/>
        <v>O</v>
      </c>
      <c r="H2439" s="15">
        <f t="shared" si="91"/>
        <v>2.5</v>
      </c>
    </row>
    <row r="2440" spans="1:8" x14ac:dyDescent="0.3">
      <c r="A2440" s="19">
        <v>4</v>
      </c>
      <c r="B2440" s="72" t="s">
        <v>668</v>
      </c>
      <c r="C2440" s="73">
        <v>20060368076912</v>
      </c>
      <c r="D2440" s="74" t="s">
        <v>645</v>
      </c>
      <c r="E2440" s="75">
        <v>6</v>
      </c>
      <c r="F2440" s="9"/>
      <c r="G2440" s="14" t="str">
        <f t="shared" si="92"/>
        <v>O</v>
      </c>
      <c r="H2440" s="15">
        <f t="shared" si="91"/>
        <v>3</v>
      </c>
    </row>
    <row r="2441" spans="1:8" x14ac:dyDescent="0.3">
      <c r="A2441" s="19">
        <v>5</v>
      </c>
      <c r="B2441" s="72" t="s">
        <v>668</v>
      </c>
      <c r="C2441" s="73">
        <v>20060368076912</v>
      </c>
      <c r="D2441" s="74" t="s">
        <v>519</v>
      </c>
      <c r="E2441" s="75">
        <v>33</v>
      </c>
      <c r="F2441" s="9"/>
      <c r="G2441" s="14" t="str">
        <f t="shared" si="92"/>
        <v>O</v>
      </c>
      <c r="H2441" s="15">
        <f t="shared" si="91"/>
        <v>16.5</v>
      </c>
    </row>
    <row r="2442" spans="1:8" x14ac:dyDescent="0.3">
      <c r="A2442" s="19">
        <v>6</v>
      </c>
      <c r="B2442" s="72" t="s">
        <v>668</v>
      </c>
      <c r="C2442" s="73">
        <v>20060368076912</v>
      </c>
      <c r="D2442" s="74" t="s">
        <v>551</v>
      </c>
      <c r="E2442" s="75">
        <v>81</v>
      </c>
      <c r="F2442" s="9"/>
      <c r="G2442" s="14" t="str">
        <f t="shared" si="92"/>
        <v>O</v>
      </c>
      <c r="H2442" s="15">
        <f t="shared" si="91"/>
        <v>40.5</v>
      </c>
    </row>
    <row r="2443" spans="1:8" x14ac:dyDescent="0.3">
      <c r="A2443" s="19">
        <v>7</v>
      </c>
      <c r="B2443" s="72" t="s">
        <v>668</v>
      </c>
      <c r="C2443" s="73">
        <v>20060368076912</v>
      </c>
      <c r="D2443" s="74" t="s">
        <v>114</v>
      </c>
      <c r="E2443" s="75">
        <v>207</v>
      </c>
      <c r="F2443" s="9"/>
      <c r="G2443" s="14" t="str">
        <f t="shared" si="92"/>
        <v>O</v>
      </c>
      <c r="H2443" s="15">
        <f t="shared" si="91"/>
        <v>103.5</v>
      </c>
    </row>
    <row r="2444" spans="1:8" x14ac:dyDescent="0.3">
      <c r="A2444" s="19">
        <v>8</v>
      </c>
      <c r="B2444" s="72" t="s">
        <v>668</v>
      </c>
      <c r="C2444" s="73">
        <v>20060368076912</v>
      </c>
      <c r="D2444" s="74" t="s">
        <v>647</v>
      </c>
      <c r="E2444" s="75">
        <v>3</v>
      </c>
      <c r="F2444" s="9"/>
      <c r="G2444" s="14" t="str">
        <f t="shared" si="92"/>
        <v>O</v>
      </c>
      <c r="H2444" s="15">
        <f t="shared" si="91"/>
        <v>1.5</v>
      </c>
    </row>
    <row r="2445" spans="1:8" x14ac:dyDescent="0.3">
      <c r="A2445" s="19">
        <v>1</v>
      </c>
      <c r="B2445" s="20" t="s">
        <v>670</v>
      </c>
      <c r="C2445" s="21">
        <v>20060368076947</v>
      </c>
      <c r="D2445" s="69" t="s">
        <v>644</v>
      </c>
      <c r="E2445" s="22">
        <v>165</v>
      </c>
      <c r="F2445" s="9"/>
      <c r="G2445" s="14" t="str">
        <f t="shared" si="92"/>
        <v>O</v>
      </c>
      <c r="H2445" s="15">
        <f t="shared" si="91"/>
        <v>82.5</v>
      </c>
    </row>
    <row r="2446" spans="1:8" x14ac:dyDescent="0.3">
      <c r="A2446" s="19">
        <v>2</v>
      </c>
      <c r="B2446" s="20" t="s">
        <v>670</v>
      </c>
      <c r="C2446" s="21">
        <v>20060368076947</v>
      </c>
      <c r="D2446" s="69" t="s">
        <v>669</v>
      </c>
      <c r="E2446" s="22">
        <v>71</v>
      </c>
      <c r="F2446" s="9"/>
      <c r="G2446" s="14" t="str">
        <f t="shared" si="92"/>
        <v>O</v>
      </c>
      <c r="H2446" s="15">
        <f t="shared" si="91"/>
        <v>35.5</v>
      </c>
    </row>
    <row r="2447" spans="1:8" x14ac:dyDescent="0.3">
      <c r="A2447" s="19">
        <v>3</v>
      </c>
      <c r="B2447" s="20" t="s">
        <v>670</v>
      </c>
      <c r="C2447" s="21">
        <v>20060368076947</v>
      </c>
      <c r="D2447" s="69" t="s">
        <v>325</v>
      </c>
      <c r="E2447" s="22">
        <v>3.8</v>
      </c>
      <c r="F2447" s="9"/>
      <c r="G2447" s="14" t="str">
        <f t="shared" si="92"/>
        <v>O</v>
      </c>
      <c r="H2447" s="15">
        <f t="shared" si="91"/>
        <v>1.9</v>
      </c>
    </row>
    <row r="2448" spans="1:8" x14ac:dyDescent="0.3">
      <c r="A2448" s="19">
        <v>4</v>
      </c>
      <c r="B2448" s="20" t="s">
        <v>670</v>
      </c>
      <c r="C2448" s="21">
        <v>20060368076947</v>
      </c>
      <c r="D2448" s="69" t="s">
        <v>645</v>
      </c>
      <c r="E2448" s="22">
        <v>4.2</v>
      </c>
      <c r="F2448" s="9"/>
      <c r="G2448" s="14" t="str">
        <f t="shared" si="92"/>
        <v>O</v>
      </c>
      <c r="H2448" s="15">
        <f t="shared" si="91"/>
        <v>2.1</v>
      </c>
    </row>
    <row r="2449" spans="1:8" x14ac:dyDescent="0.3">
      <c r="A2449" s="19">
        <v>5</v>
      </c>
      <c r="B2449" s="20" t="s">
        <v>670</v>
      </c>
      <c r="C2449" s="21">
        <v>20060368076947</v>
      </c>
      <c r="D2449" s="69" t="s">
        <v>519</v>
      </c>
      <c r="E2449" s="22">
        <v>23.6</v>
      </c>
      <c r="F2449" s="9"/>
      <c r="G2449" s="14" t="str">
        <f t="shared" si="92"/>
        <v>O</v>
      </c>
      <c r="H2449" s="15">
        <f t="shared" si="91"/>
        <v>11.8</v>
      </c>
    </row>
    <row r="2450" spans="1:8" x14ac:dyDescent="0.3">
      <c r="A2450" s="19">
        <v>6</v>
      </c>
      <c r="B2450" s="20" t="s">
        <v>670</v>
      </c>
      <c r="C2450" s="21">
        <v>20060368076947</v>
      </c>
      <c r="D2450" s="69" t="s">
        <v>551</v>
      </c>
      <c r="E2450" s="22">
        <v>59</v>
      </c>
      <c r="F2450" s="9"/>
      <c r="G2450" s="14" t="str">
        <f t="shared" si="92"/>
        <v>O</v>
      </c>
      <c r="H2450" s="15">
        <f t="shared" si="91"/>
        <v>29.5</v>
      </c>
    </row>
    <row r="2451" spans="1:8" x14ac:dyDescent="0.3">
      <c r="A2451" s="19">
        <v>7</v>
      </c>
      <c r="B2451" s="20" t="s">
        <v>670</v>
      </c>
      <c r="C2451" s="21">
        <v>20060368076947</v>
      </c>
      <c r="D2451" s="69" t="s">
        <v>114</v>
      </c>
      <c r="E2451" s="22">
        <v>150.6</v>
      </c>
      <c r="F2451" s="9"/>
      <c r="G2451" s="14" t="str">
        <f t="shared" si="92"/>
        <v>O</v>
      </c>
      <c r="H2451" s="15">
        <f t="shared" si="91"/>
        <v>75.3</v>
      </c>
    </row>
    <row r="2452" spans="1:8" x14ac:dyDescent="0.3">
      <c r="A2452" s="19">
        <v>8</v>
      </c>
      <c r="B2452" s="20" t="s">
        <v>670</v>
      </c>
      <c r="C2452" s="21">
        <v>20060368076947</v>
      </c>
      <c r="D2452" s="69" t="s">
        <v>647</v>
      </c>
      <c r="E2452" s="22">
        <v>2.4</v>
      </c>
      <c r="F2452" s="9"/>
      <c r="G2452" s="14" t="str">
        <f t="shared" si="92"/>
        <v>O</v>
      </c>
      <c r="H2452" s="15">
        <f t="shared" si="91"/>
        <v>1.2</v>
      </c>
    </row>
    <row r="2453" spans="1:8" x14ac:dyDescent="0.3">
      <c r="A2453" s="19">
        <v>1</v>
      </c>
      <c r="B2453" s="20" t="s">
        <v>671</v>
      </c>
      <c r="C2453" s="21">
        <v>20060368076948</v>
      </c>
      <c r="D2453" s="69" t="s">
        <v>644</v>
      </c>
      <c r="E2453" s="22">
        <v>237</v>
      </c>
      <c r="F2453" s="9"/>
      <c r="G2453" s="14" t="str">
        <f t="shared" si="92"/>
        <v>O</v>
      </c>
      <c r="H2453" s="15">
        <f t="shared" si="91"/>
        <v>118.5</v>
      </c>
    </row>
    <row r="2454" spans="1:8" x14ac:dyDescent="0.3">
      <c r="A2454" s="19">
        <v>2</v>
      </c>
      <c r="B2454" s="20" t="s">
        <v>671</v>
      </c>
      <c r="C2454" s="21">
        <v>20060368076948</v>
      </c>
      <c r="D2454" s="69" t="s">
        <v>325</v>
      </c>
      <c r="E2454" s="22">
        <v>4</v>
      </c>
      <c r="F2454" s="9"/>
      <c r="G2454" s="14" t="str">
        <f t="shared" si="92"/>
        <v>O</v>
      </c>
      <c r="H2454" s="15">
        <f t="shared" si="91"/>
        <v>2</v>
      </c>
    </row>
    <row r="2455" spans="1:8" x14ac:dyDescent="0.3">
      <c r="A2455" s="19">
        <v>3</v>
      </c>
      <c r="B2455" s="20" t="s">
        <v>671</v>
      </c>
      <c r="C2455" s="21">
        <v>20060368076948</v>
      </c>
      <c r="D2455" s="69" t="s">
        <v>645</v>
      </c>
      <c r="E2455" s="22">
        <v>6</v>
      </c>
      <c r="F2455" s="9"/>
      <c r="G2455" s="14" t="str">
        <f t="shared" si="92"/>
        <v>O</v>
      </c>
      <c r="H2455" s="15">
        <f t="shared" si="91"/>
        <v>3</v>
      </c>
    </row>
    <row r="2456" spans="1:8" x14ac:dyDescent="0.3">
      <c r="A2456" s="19">
        <v>4</v>
      </c>
      <c r="B2456" s="20" t="s">
        <v>671</v>
      </c>
      <c r="C2456" s="21">
        <v>20060368076948</v>
      </c>
      <c r="D2456" s="20" t="s">
        <v>295</v>
      </c>
      <c r="E2456" s="22">
        <v>0</v>
      </c>
      <c r="F2456" s="9"/>
      <c r="G2456" s="14" t="str">
        <f t="shared" si="92"/>
        <v>O</v>
      </c>
      <c r="H2456" s="15">
        <f t="shared" si="91"/>
        <v>0</v>
      </c>
    </row>
    <row r="2457" spans="1:8" x14ac:dyDescent="0.3">
      <c r="A2457" s="19">
        <v>5</v>
      </c>
      <c r="B2457" s="20" t="s">
        <v>671</v>
      </c>
      <c r="C2457" s="21">
        <v>20060368076948</v>
      </c>
      <c r="D2457" s="69" t="s">
        <v>519</v>
      </c>
      <c r="E2457" s="22">
        <v>24</v>
      </c>
      <c r="F2457" s="9"/>
      <c r="G2457" s="14" t="str">
        <f t="shared" si="92"/>
        <v>O</v>
      </c>
      <c r="H2457" s="15">
        <f t="shared" si="91"/>
        <v>12</v>
      </c>
    </row>
    <row r="2458" spans="1:8" x14ac:dyDescent="0.3">
      <c r="A2458" s="19">
        <v>6</v>
      </c>
      <c r="B2458" s="20" t="s">
        <v>671</v>
      </c>
      <c r="C2458" s="21">
        <v>20060368076948</v>
      </c>
      <c r="D2458" s="69" t="s">
        <v>551</v>
      </c>
      <c r="E2458" s="22">
        <v>59</v>
      </c>
      <c r="F2458" s="9"/>
      <c r="G2458" s="14" t="str">
        <f t="shared" si="92"/>
        <v>O</v>
      </c>
      <c r="H2458" s="15">
        <f t="shared" si="91"/>
        <v>29.5</v>
      </c>
    </row>
    <row r="2459" spans="1:8" x14ac:dyDescent="0.3">
      <c r="A2459" s="19">
        <v>7</v>
      </c>
      <c r="B2459" s="20" t="s">
        <v>671</v>
      </c>
      <c r="C2459" s="21">
        <v>20060368076948</v>
      </c>
      <c r="D2459" s="69" t="s">
        <v>114</v>
      </c>
      <c r="E2459" s="22">
        <v>148</v>
      </c>
      <c r="F2459" s="9"/>
      <c r="G2459" s="14" t="str">
        <f t="shared" si="92"/>
        <v>O</v>
      </c>
      <c r="H2459" s="15">
        <f t="shared" si="91"/>
        <v>74</v>
      </c>
    </row>
    <row r="2460" spans="1:8" x14ac:dyDescent="0.3">
      <c r="A2460" s="19">
        <v>8</v>
      </c>
      <c r="B2460" s="20" t="s">
        <v>671</v>
      </c>
      <c r="C2460" s="21">
        <v>20060368076948</v>
      </c>
      <c r="D2460" s="69" t="s">
        <v>647</v>
      </c>
      <c r="E2460" s="22">
        <v>2</v>
      </c>
      <c r="F2460" s="9"/>
      <c r="G2460" s="14" t="str">
        <f t="shared" si="92"/>
        <v>O</v>
      </c>
      <c r="H2460" s="15">
        <f t="shared" si="91"/>
        <v>1</v>
      </c>
    </row>
    <row r="2461" spans="1:8" x14ac:dyDescent="0.3">
      <c r="A2461" s="19">
        <v>1</v>
      </c>
      <c r="B2461" s="20" t="s">
        <v>672</v>
      </c>
      <c r="C2461" s="21">
        <v>20060368076916</v>
      </c>
      <c r="D2461" s="69" t="s">
        <v>644</v>
      </c>
      <c r="E2461" s="22">
        <v>375</v>
      </c>
      <c r="F2461" s="9"/>
      <c r="G2461" s="14" t="str">
        <f t="shared" si="92"/>
        <v>O</v>
      </c>
      <c r="H2461" s="15">
        <f t="shared" si="91"/>
        <v>187.5</v>
      </c>
    </row>
    <row r="2462" spans="1:8" x14ac:dyDescent="0.3">
      <c r="A2462" s="19">
        <v>2</v>
      </c>
      <c r="B2462" s="20" t="s">
        <v>672</v>
      </c>
      <c r="C2462" s="21">
        <v>20060368076916</v>
      </c>
      <c r="D2462" s="69" t="s">
        <v>325</v>
      </c>
      <c r="E2462" s="22">
        <v>6</v>
      </c>
      <c r="F2462" s="9"/>
      <c r="G2462" s="14" t="str">
        <f t="shared" si="92"/>
        <v>O</v>
      </c>
      <c r="H2462" s="15">
        <f t="shared" si="91"/>
        <v>3</v>
      </c>
    </row>
    <row r="2463" spans="1:8" x14ac:dyDescent="0.3">
      <c r="A2463" s="19">
        <v>3</v>
      </c>
      <c r="B2463" s="20" t="s">
        <v>672</v>
      </c>
      <c r="C2463" s="21">
        <v>20060368076916</v>
      </c>
      <c r="D2463" s="69" t="s">
        <v>645</v>
      </c>
      <c r="E2463" s="22">
        <v>9</v>
      </c>
      <c r="F2463" s="9"/>
      <c r="G2463" s="14" t="str">
        <f t="shared" si="92"/>
        <v>O</v>
      </c>
      <c r="H2463" s="15">
        <f t="shared" si="91"/>
        <v>4.5</v>
      </c>
    </row>
    <row r="2464" spans="1:8" x14ac:dyDescent="0.3">
      <c r="A2464" s="19">
        <v>4</v>
      </c>
      <c r="B2464" s="20" t="s">
        <v>672</v>
      </c>
      <c r="C2464" s="21">
        <v>20060368076916</v>
      </c>
      <c r="D2464" s="20" t="s">
        <v>295</v>
      </c>
      <c r="E2464" s="22">
        <v>0</v>
      </c>
      <c r="F2464" s="9"/>
      <c r="G2464" s="14" t="str">
        <f t="shared" si="92"/>
        <v>O</v>
      </c>
      <c r="H2464" s="15">
        <f t="shared" si="91"/>
        <v>0</v>
      </c>
    </row>
    <row r="2465" spans="1:8" x14ac:dyDescent="0.3">
      <c r="A2465" s="19">
        <v>5</v>
      </c>
      <c r="B2465" s="20" t="s">
        <v>672</v>
      </c>
      <c r="C2465" s="21">
        <v>20060368076916</v>
      </c>
      <c r="D2465" s="69" t="s">
        <v>519</v>
      </c>
      <c r="E2465" s="22">
        <v>38</v>
      </c>
      <c r="F2465" s="9"/>
      <c r="G2465" s="14" t="str">
        <f t="shared" si="92"/>
        <v>O</v>
      </c>
      <c r="H2465" s="15">
        <f t="shared" si="91"/>
        <v>19</v>
      </c>
    </row>
    <row r="2466" spans="1:8" x14ac:dyDescent="0.3">
      <c r="A2466" s="19">
        <v>6</v>
      </c>
      <c r="B2466" s="20" t="s">
        <v>672</v>
      </c>
      <c r="C2466" s="21">
        <v>20060368076916</v>
      </c>
      <c r="D2466" s="69" t="s">
        <v>551</v>
      </c>
      <c r="E2466" s="22">
        <v>94</v>
      </c>
      <c r="F2466" s="9"/>
      <c r="G2466" s="14" t="str">
        <f t="shared" si="92"/>
        <v>O</v>
      </c>
      <c r="H2466" s="15">
        <f t="shared" si="91"/>
        <v>47</v>
      </c>
    </row>
    <row r="2467" spans="1:8" x14ac:dyDescent="0.3">
      <c r="A2467" s="19">
        <v>7</v>
      </c>
      <c r="B2467" s="20" t="s">
        <v>672</v>
      </c>
      <c r="C2467" s="21">
        <v>20060368076916</v>
      </c>
      <c r="D2467" s="69" t="s">
        <v>649</v>
      </c>
      <c r="E2467" s="22">
        <v>234</v>
      </c>
      <c r="F2467" s="9"/>
      <c r="G2467" s="14" t="str">
        <f t="shared" si="92"/>
        <v>O</v>
      </c>
      <c r="H2467" s="15">
        <f t="shared" si="91"/>
        <v>117</v>
      </c>
    </row>
    <row r="2468" spans="1:8" x14ac:dyDescent="0.3">
      <c r="A2468" s="19">
        <v>8</v>
      </c>
      <c r="B2468" s="20" t="s">
        <v>672</v>
      </c>
      <c r="C2468" s="21">
        <v>20060368076916</v>
      </c>
      <c r="D2468" s="69" t="s">
        <v>647</v>
      </c>
      <c r="E2468" s="22">
        <v>4</v>
      </c>
      <c r="F2468" s="9"/>
      <c r="G2468" s="14" t="str">
        <f t="shared" si="92"/>
        <v>O</v>
      </c>
      <c r="H2468" s="15">
        <f t="shared" si="91"/>
        <v>2</v>
      </c>
    </row>
    <row r="2469" spans="1:8" x14ac:dyDescent="0.3">
      <c r="A2469" s="19">
        <v>1</v>
      </c>
      <c r="B2469" s="20" t="s">
        <v>673</v>
      </c>
      <c r="C2469" s="21">
        <v>20060368076956</v>
      </c>
      <c r="D2469" s="69" t="s">
        <v>644</v>
      </c>
      <c r="E2469" s="22">
        <v>113.3</v>
      </c>
      <c r="F2469" s="9"/>
      <c r="G2469" s="14" t="str">
        <f t="shared" si="92"/>
        <v>O</v>
      </c>
      <c r="H2469" s="15">
        <f t="shared" si="91"/>
        <v>56.65</v>
      </c>
    </row>
    <row r="2470" spans="1:8" x14ac:dyDescent="0.3">
      <c r="A2470" s="19">
        <v>2</v>
      </c>
      <c r="B2470" s="20" t="s">
        <v>673</v>
      </c>
      <c r="C2470" s="21">
        <v>20060368076956</v>
      </c>
      <c r="D2470" s="69" t="s">
        <v>674</v>
      </c>
      <c r="E2470" s="22">
        <v>24.5</v>
      </c>
      <c r="F2470" s="9"/>
      <c r="G2470" s="14" t="str">
        <f t="shared" si="92"/>
        <v>O</v>
      </c>
      <c r="H2470" s="15">
        <f t="shared" si="91"/>
        <v>12.25</v>
      </c>
    </row>
    <row r="2471" spans="1:8" x14ac:dyDescent="0.3">
      <c r="A2471" s="19">
        <v>3</v>
      </c>
      <c r="B2471" s="20" t="s">
        <v>673</v>
      </c>
      <c r="C2471" s="21">
        <v>20060368076956</v>
      </c>
      <c r="D2471" s="69" t="s">
        <v>645</v>
      </c>
      <c r="E2471" s="22">
        <v>2.4</v>
      </c>
      <c r="F2471" s="9"/>
      <c r="G2471" s="14" t="str">
        <f t="shared" si="92"/>
        <v>O</v>
      </c>
      <c r="H2471" s="15">
        <f t="shared" si="91"/>
        <v>1.2</v>
      </c>
    </row>
    <row r="2472" spans="1:8" x14ac:dyDescent="0.3">
      <c r="A2472" s="19">
        <v>4</v>
      </c>
      <c r="B2472" s="20" t="s">
        <v>673</v>
      </c>
      <c r="C2472" s="21">
        <v>20060368076956</v>
      </c>
      <c r="D2472" s="69" t="s">
        <v>649</v>
      </c>
      <c r="E2472" s="22">
        <v>91.9</v>
      </c>
      <c r="F2472" s="9"/>
      <c r="G2472" s="14" t="str">
        <f t="shared" si="92"/>
        <v>O</v>
      </c>
      <c r="H2472" s="15">
        <f t="shared" si="91"/>
        <v>45.95</v>
      </c>
    </row>
    <row r="2473" spans="1:8" x14ac:dyDescent="0.3">
      <c r="A2473" s="19">
        <v>5</v>
      </c>
      <c r="B2473" s="20" t="s">
        <v>673</v>
      </c>
      <c r="C2473" s="21">
        <v>20060368076956</v>
      </c>
      <c r="D2473" s="69" t="s">
        <v>662</v>
      </c>
      <c r="E2473" s="22">
        <v>31</v>
      </c>
      <c r="F2473" s="9"/>
      <c r="G2473" s="14" t="str">
        <f t="shared" si="92"/>
        <v>O</v>
      </c>
      <c r="H2473" s="15">
        <f t="shared" si="91"/>
        <v>15.5</v>
      </c>
    </row>
    <row r="2474" spans="1:8" x14ac:dyDescent="0.3">
      <c r="A2474" s="19">
        <v>6</v>
      </c>
      <c r="B2474" s="20" t="s">
        <v>673</v>
      </c>
      <c r="C2474" s="21">
        <v>20060368076956</v>
      </c>
      <c r="D2474" s="69" t="s">
        <v>459</v>
      </c>
      <c r="E2474" s="22">
        <v>46</v>
      </c>
      <c r="F2474" s="9"/>
      <c r="G2474" s="14" t="str">
        <f t="shared" si="92"/>
        <v>O</v>
      </c>
      <c r="H2474" s="15">
        <f t="shared" si="91"/>
        <v>23</v>
      </c>
    </row>
    <row r="2475" spans="1:8" x14ac:dyDescent="0.3">
      <c r="A2475" s="19">
        <v>7</v>
      </c>
      <c r="B2475" s="20" t="s">
        <v>673</v>
      </c>
      <c r="C2475" s="21">
        <v>20060368076956</v>
      </c>
      <c r="D2475" s="69" t="s">
        <v>325</v>
      </c>
      <c r="E2475" s="22">
        <v>1.8</v>
      </c>
      <c r="F2475" s="9"/>
      <c r="G2475" s="14" t="str">
        <f t="shared" si="92"/>
        <v>O</v>
      </c>
      <c r="H2475" s="15">
        <f t="shared" si="91"/>
        <v>0.9</v>
      </c>
    </row>
    <row r="2476" spans="1:8" x14ac:dyDescent="0.3">
      <c r="A2476" s="19">
        <v>8</v>
      </c>
      <c r="B2476" s="20" t="s">
        <v>673</v>
      </c>
      <c r="C2476" s="21">
        <v>20060368076956</v>
      </c>
      <c r="D2476" s="69" t="s">
        <v>557</v>
      </c>
      <c r="E2476" s="22">
        <v>18.399999999999999</v>
      </c>
      <c r="F2476" s="9"/>
      <c r="G2476" s="14" t="str">
        <f t="shared" si="92"/>
        <v>O</v>
      </c>
      <c r="H2476" s="15">
        <f t="shared" si="91"/>
        <v>9.1999999999999993</v>
      </c>
    </row>
    <row r="2477" spans="1:8" x14ac:dyDescent="0.3">
      <c r="A2477" s="19">
        <v>9</v>
      </c>
      <c r="B2477" s="20" t="s">
        <v>673</v>
      </c>
      <c r="C2477" s="21">
        <v>20060368076956</v>
      </c>
      <c r="D2477" s="69" t="s">
        <v>647</v>
      </c>
      <c r="E2477" s="22">
        <v>1.5</v>
      </c>
      <c r="F2477" s="9"/>
      <c r="G2477" s="14" t="str">
        <f t="shared" si="92"/>
        <v>O</v>
      </c>
      <c r="H2477" s="15">
        <f t="shared" si="91"/>
        <v>0.75</v>
      </c>
    </row>
    <row r="2478" spans="1:8" x14ac:dyDescent="0.3">
      <c r="A2478" s="19">
        <v>10</v>
      </c>
      <c r="B2478" s="20" t="s">
        <v>673</v>
      </c>
      <c r="C2478" s="21">
        <v>20060368076956</v>
      </c>
      <c r="D2478" s="69" t="s">
        <v>669</v>
      </c>
      <c r="E2478" s="22">
        <v>9.1999999999999993</v>
      </c>
      <c r="F2478" s="9"/>
      <c r="G2478" s="14" t="str">
        <f t="shared" si="92"/>
        <v>O</v>
      </c>
      <c r="H2478" s="15">
        <f t="shared" si="91"/>
        <v>4.5999999999999996</v>
      </c>
    </row>
    <row r="2479" spans="1:8" x14ac:dyDescent="0.3">
      <c r="A2479" s="19">
        <v>11</v>
      </c>
      <c r="B2479" s="20" t="s">
        <v>673</v>
      </c>
      <c r="C2479" s="21">
        <v>20060368076956</v>
      </c>
      <c r="D2479" s="20" t="s">
        <v>295</v>
      </c>
      <c r="E2479" s="71">
        <v>0.03</v>
      </c>
      <c r="F2479" s="9"/>
      <c r="G2479" s="14" t="str">
        <f t="shared" si="92"/>
        <v>O</v>
      </c>
      <c r="H2479" s="15">
        <f t="shared" si="91"/>
        <v>1.4999999999999999E-2</v>
      </c>
    </row>
    <row r="2480" spans="1:8" x14ac:dyDescent="0.3">
      <c r="A2480" s="19">
        <v>12</v>
      </c>
      <c r="B2480" s="20" t="s">
        <v>673</v>
      </c>
      <c r="C2480" s="21">
        <v>20060368076956</v>
      </c>
      <c r="D2480" s="69" t="s">
        <v>675</v>
      </c>
      <c r="E2480" s="22">
        <v>86</v>
      </c>
      <c r="F2480" s="9"/>
      <c r="G2480" s="14" t="str">
        <f t="shared" si="92"/>
        <v>O</v>
      </c>
      <c r="H2480" s="15">
        <f t="shared" si="91"/>
        <v>43</v>
      </c>
    </row>
    <row r="2481" spans="1:8" x14ac:dyDescent="0.3">
      <c r="A2481" s="19">
        <v>13</v>
      </c>
      <c r="B2481" s="20" t="s">
        <v>673</v>
      </c>
      <c r="C2481" s="21">
        <v>20060368076956</v>
      </c>
      <c r="D2481" s="69" t="s">
        <v>347</v>
      </c>
      <c r="E2481" s="22">
        <v>33</v>
      </c>
      <c r="F2481" s="9"/>
      <c r="G2481" s="14" t="str">
        <f t="shared" si="92"/>
        <v>O</v>
      </c>
      <c r="H2481" s="15">
        <f t="shared" si="91"/>
        <v>16.5</v>
      </c>
    </row>
    <row r="2482" spans="1:8" x14ac:dyDescent="0.3">
      <c r="A2482" s="19">
        <v>1</v>
      </c>
      <c r="B2482" s="20" t="s">
        <v>676</v>
      </c>
      <c r="C2482" s="21">
        <v>20060368076958</v>
      </c>
      <c r="D2482" s="69" t="s">
        <v>644</v>
      </c>
      <c r="E2482" s="22">
        <v>157</v>
      </c>
      <c r="F2482" s="9"/>
      <c r="G2482" s="14" t="str">
        <f t="shared" si="92"/>
        <v>O</v>
      </c>
      <c r="H2482" s="15">
        <f t="shared" si="91"/>
        <v>78.5</v>
      </c>
    </row>
    <row r="2483" spans="1:8" x14ac:dyDescent="0.3">
      <c r="A2483" s="19">
        <v>2</v>
      </c>
      <c r="B2483" s="20" t="s">
        <v>676</v>
      </c>
      <c r="C2483" s="21">
        <v>20060368076958</v>
      </c>
      <c r="D2483" s="69" t="s">
        <v>674</v>
      </c>
      <c r="E2483" s="22">
        <v>34</v>
      </c>
      <c r="F2483" s="9"/>
      <c r="G2483" s="14" t="str">
        <f t="shared" si="92"/>
        <v>O</v>
      </c>
      <c r="H2483" s="15">
        <f t="shared" si="91"/>
        <v>17</v>
      </c>
    </row>
    <row r="2484" spans="1:8" x14ac:dyDescent="0.3">
      <c r="A2484" s="19">
        <v>3</v>
      </c>
      <c r="B2484" s="20" t="s">
        <v>676</v>
      </c>
      <c r="C2484" s="21">
        <v>20060368076958</v>
      </c>
      <c r="D2484" s="69" t="s">
        <v>645</v>
      </c>
      <c r="E2484" s="22">
        <v>4</v>
      </c>
      <c r="F2484" s="9"/>
      <c r="G2484" s="14" t="str">
        <f t="shared" si="92"/>
        <v>O</v>
      </c>
      <c r="H2484" s="15">
        <f t="shared" si="91"/>
        <v>2</v>
      </c>
    </row>
    <row r="2485" spans="1:8" x14ac:dyDescent="0.3">
      <c r="A2485" s="19">
        <v>4</v>
      </c>
      <c r="B2485" s="20" t="s">
        <v>676</v>
      </c>
      <c r="C2485" s="21">
        <v>20060368076958</v>
      </c>
      <c r="D2485" s="69" t="s">
        <v>649</v>
      </c>
      <c r="E2485" s="22">
        <v>117</v>
      </c>
      <c r="F2485" s="9"/>
      <c r="G2485" s="14" t="str">
        <f t="shared" si="92"/>
        <v>O</v>
      </c>
      <c r="H2485" s="15">
        <f t="shared" ref="H2485:H2548" si="93">E2485/2</f>
        <v>58.5</v>
      </c>
    </row>
    <row r="2486" spans="1:8" x14ac:dyDescent="0.3">
      <c r="A2486" s="19">
        <v>5</v>
      </c>
      <c r="B2486" s="20" t="s">
        <v>676</v>
      </c>
      <c r="C2486" s="21">
        <v>20060368076958</v>
      </c>
      <c r="D2486" s="69" t="s">
        <v>662</v>
      </c>
      <c r="E2486" s="22">
        <v>41.4</v>
      </c>
      <c r="F2486" s="9"/>
      <c r="G2486" s="14" t="str">
        <f t="shared" si="92"/>
        <v>O</v>
      </c>
      <c r="H2486" s="15">
        <f t="shared" si="93"/>
        <v>20.7</v>
      </c>
    </row>
    <row r="2487" spans="1:8" x14ac:dyDescent="0.3">
      <c r="A2487" s="19">
        <v>6</v>
      </c>
      <c r="B2487" s="20" t="s">
        <v>676</v>
      </c>
      <c r="C2487" s="21">
        <v>20060368076958</v>
      </c>
      <c r="D2487" s="69" t="s">
        <v>459</v>
      </c>
      <c r="E2487" s="22">
        <v>64</v>
      </c>
      <c r="F2487" s="9"/>
      <c r="G2487" s="14" t="str">
        <f t="shared" si="92"/>
        <v>O</v>
      </c>
      <c r="H2487" s="15">
        <f t="shared" si="93"/>
        <v>32</v>
      </c>
    </row>
    <row r="2488" spans="1:8" x14ac:dyDescent="0.3">
      <c r="A2488" s="19">
        <v>7</v>
      </c>
      <c r="B2488" s="20" t="s">
        <v>676</v>
      </c>
      <c r="C2488" s="21">
        <v>20060368076958</v>
      </c>
      <c r="D2488" s="69" t="s">
        <v>325</v>
      </c>
      <c r="E2488" s="22">
        <v>4</v>
      </c>
      <c r="F2488" s="9"/>
      <c r="G2488" s="14" t="str">
        <f t="shared" si="92"/>
        <v>O</v>
      </c>
      <c r="H2488" s="15">
        <f t="shared" si="93"/>
        <v>2</v>
      </c>
    </row>
    <row r="2489" spans="1:8" x14ac:dyDescent="0.3">
      <c r="A2489" s="19">
        <v>8</v>
      </c>
      <c r="B2489" s="20" t="s">
        <v>676</v>
      </c>
      <c r="C2489" s="21">
        <v>20060368076958</v>
      </c>
      <c r="D2489" s="69" t="s">
        <v>557</v>
      </c>
      <c r="E2489" s="22">
        <v>24.9</v>
      </c>
      <c r="F2489" s="9"/>
      <c r="G2489" s="14" t="str">
        <f t="shared" si="92"/>
        <v>O</v>
      </c>
      <c r="H2489" s="15">
        <f t="shared" si="93"/>
        <v>12.45</v>
      </c>
    </row>
    <row r="2490" spans="1:8" x14ac:dyDescent="0.3">
      <c r="A2490" s="19">
        <v>9</v>
      </c>
      <c r="B2490" s="20" t="s">
        <v>676</v>
      </c>
      <c r="C2490" s="21">
        <v>20060368076958</v>
      </c>
      <c r="D2490" s="69" t="s">
        <v>647</v>
      </c>
      <c r="E2490" s="22">
        <v>1</v>
      </c>
      <c r="F2490" s="9"/>
      <c r="G2490" s="14" t="str">
        <f t="shared" si="92"/>
        <v>O</v>
      </c>
      <c r="H2490" s="15">
        <f t="shared" si="93"/>
        <v>0.5</v>
      </c>
    </row>
    <row r="2491" spans="1:8" x14ac:dyDescent="0.3">
      <c r="A2491" s="19">
        <v>10</v>
      </c>
      <c r="B2491" s="20" t="s">
        <v>676</v>
      </c>
      <c r="C2491" s="21">
        <v>20060368076958</v>
      </c>
      <c r="D2491" s="69" t="s">
        <v>669</v>
      </c>
      <c r="E2491" s="22">
        <v>13</v>
      </c>
      <c r="F2491" s="9"/>
      <c r="G2491" s="14" t="str">
        <f t="shared" si="92"/>
        <v>O</v>
      </c>
      <c r="H2491" s="15">
        <f t="shared" si="93"/>
        <v>6.5</v>
      </c>
    </row>
    <row r="2492" spans="1:8" x14ac:dyDescent="0.3">
      <c r="A2492" s="19">
        <v>11</v>
      </c>
      <c r="B2492" s="20" t="s">
        <v>676</v>
      </c>
      <c r="C2492" s="21">
        <v>20060368076958</v>
      </c>
      <c r="D2492" s="20" t="s">
        <v>295</v>
      </c>
      <c r="E2492" s="71">
        <v>0.05</v>
      </c>
      <c r="F2492" s="9"/>
      <c r="G2492" s="14" t="str">
        <f t="shared" si="92"/>
        <v>O</v>
      </c>
      <c r="H2492" s="15">
        <f t="shared" si="93"/>
        <v>2.5000000000000001E-2</v>
      </c>
    </row>
    <row r="2493" spans="1:8" x14ac:dyDescent="0.3">
      <c r="A2493" s="19">
        <v>12</v>
      </c>
      <c r="B2493" s="20" t="s">
        <v>676</v>
      </c>
      <c r="C2493" s="21">
        <v>20060368076958</v>
      </c>
      <c r="D2493" s="69" t="s">
        <v>675</v>
      </c>
      <c r="E2493" s="22">
        <v>120</v>
      </c>
      <c r="F2493" s="9"/>
      <c r="G2493" s="14" t="str">
        <f t="shared" ref="G2493:G2556" si="94">IF(D2493="","",IF(COUNTIF(I:I,D2493)&gt;0,"O","X"))</f>
        <v>O</v>
      </c>
      <c r="H2493" s="15">
        <f t="shared" si="93"/>
        <v>60</v>
      </c>
    </row>
    <row r="2494" spans="1:8" x14ac:dyDescent="0.3">
      <c r="A2494" s="38">
        <v>1</v>
      </c>
      <c r="B2494" s="39" t="s">
        <v>677</v>
      </c>
      <c r="C2494" s="40">
        <v>20060368076871</v>
      </c>
      <c r="D2494" s="39" t="s">
        <v>284</v>
      </c>
      <c r="E2494" s="41">
        <v>157</v>
      </c>
      <c r="F2494" s="9"/>
      <c r="G2494" s="14" t="str">
        <f t="shared" si="94"/>
        <v>O</v>
      </c>
      <c r="H2494" s="15">
        <f t="shared" si="93"/>
        <v>78.5</v>
      </c>
    </row>
    <row r="2495" spans="1:8" x14ac:dyDescent="0.3">
      <c r="A2495" s="38">
        <v>2</v>
      </c>
      <c r="B2495" s="39" t="s">
        <v>677</v>
      </c>
      <c r="C2495" s="40">
        <v>20060368076871</v>
      </c>
      <c r="D2495" s="67" t="s">
        <v>563</v>
      </c>
      <c r="E2495" s="41">
        <v>34</v>
      </c>
      <c r="F2495" s="9"/>
      <c r="G2495" s="14" t="str">
        <f t="shared" si="94"/>
        <v>O</v>
      </c>
      <c r="H2495" s="15">
        <f t="shared" si="93"/>
        <v>17</v>
      </c>
    </row>
    <row r="2496" spans="1:8" x14ac:dyDescent="0.3">
      <c r="A2496" s="38">
        <v>3</v>
      </c>
      <c r="B2496" s="39" t="s">
        <v>677</v>
      </c>
      <c r="C2496" s="40">
        <v>20060368076871</v>
      </c>
      <c r="D2496" s="67" t="s">
        <v>421</v>
      </c>
      <c r="E2496" s="41">
        <v>64</v>
      </c>
      <c r="F2496" s="9"/>
      <c r="G2496" s="14" t="str">
        <f t="shared" si="94"/>
        <v>O</v>
      </c>
      <c r="H2496" s="15">
        <f t="shared" si="93"/>
        <v>32</v>
      </c>
    </row>
    <row r="2497" spans="1:8" x14ac:dyDescent="0.3">
      <c r="A2497" s="38">
        <v>4</v>
      </c>
      <c r="B2497" s="39" t="s">
        <v>677</v>
      </c>
      <c r="C2497" s="40">
        <v>20060368076871</v>
      </c>
      <c r="D2497" s="67" t="s">
        <v>489</v>
      </c>
      <c r="E2497" s="41">
        <v>4</v>
      </c>
      <c r="F2497" s="9"/>
      <c r="G2497" s="14" t="str">
        <f t="shared" si="94"/>
        <v>O</v>
      </c>
      <c r="H2497" s="15">
        <f t="shared" si="93"/>
        <v>2</v>
      </c>
    </row>
    <row r="2498" spans="1:8" x14ac:dyDescent="0.3">
      <c r="A2498" s="38">
        <v>5</v>
      </c>
      <c r="B2498" s="39" t="s">
        <v>677</v>
      </c>
      <c r="C2498" s="40">
        <v>20060368076871</v>
      </c>
      <c r="D2498" s="67" t="s">
        <v>528</v>
      </c>
      <c r="E2498" s="41">
        <v>138</v>
      </c>
      <c r="F2498" s="9"/>
      <c r="G2498" s="14" t="str">
        <f t="shared" si="94"/>
        <v>O</v>
      </c>
      <c r="H2498" s="15">
        <f t="shared" si="93"/>
        <v>69</v>
      </c>
    </row>
    <row r="2499" spans="1:8" x14ac:dyDescent="0.3">
      <c r="A2499" s="38">
        <v>6</v>
      </c>
      <c r="B2499" s="39" t="s">
        <v>677</v>
      </c>
      <c r="C2499" s="40">
        <v>20060368076871</v>
      </c>
      <c r="D2499" s="67" t="s">
        <v>561</v>
      </c>
      <c r="E2499" s="41">
        <v>42</v>
      </c>
      <c r="F2499" s="9"/>
      <c r="G2499" s="14" t="str">
        <f t="shared" si="94"/>
        <v>O</v>
      </c>
      <c r="H2499" s="15">
        <f t="shared" si="93"/>
        <v>21</v>
      </c>
    </row>
    <row r="2500" spans="1:8" x14ac:dyDescent="0.3">
      <c r="A2500" s="38">
        <v>7</v>
      </c>
      <c r="B2500" s="39" t="s">
        <v>677</v>
      </c>
      <c r="C2500" s="40">
        <v>20060368076871</v>
      </c>
      <c r="D2500" s="67" t="s">
        <v>418</v>
      </c>
      <c r="E2500" s="41">
        <v>4</v>
      </c>
      <c r="F2500" s="9"/>
      <c r="G2500" s="14" t="str">
        <f t="shared" si="94"/>
        <v>O</v>
      </c>
      <c r="H2500" s="15">
        <f t="shared" si="93"/>
        <v>2</v>
      </c>
    </row>
    <row r="2501" spans="1:8" x14ac:dyDescent="0.3">
      <c r="A2501" s="38">
        <v>8</v>
      </c>
      <c r="B2501" s="39" t="s">
        <v>677</v>
      </c>
      <c r="C2501" s="40">
        <v>20060368076871</v>
      </c>
      <c r="D2501" s="67" t="s">
        <v>511</v>
      </c>
      <c r="E2501" s="41">
        <v>25</v>
      </c>
      <c r="F2501" s="9"/>
      <c r="G2501" s="14" t="str">
        <f t="shared" si="94"/>
        <v>O</v>
      </c>
      <c r="H2501" s="15">
        <f t="shared" si="93"/>
        <v>12.5</v>
      </c>
    </row>
    <row r="2502" spans="1:8" x14ac:dyDescent="0.3">
      <c r="A2502" s="38">
        <v>9</v>
      </c>
      <c r="B2502" s="39" t="s">
        <v>677</v>
      </c>
      <c r="C2502" s="40">
        <v>20060368076871</v>
      </c>
      <c r="D2502" s="67" t="s">
        <v>424</v>
      </c>
      <c r="E2502" s="41">
        <v>1</v>
      </c>
      <c r="F2502" s="9"/>
      <c r="G2502" s="14" t="str">
        <f t="shared" si="94"/>
        <v>O</v>
      </c>
      <c r="H2502" s="15">
        <f t="shared" si="93"/>
        <v>0.5</v>
      </c>
    </row>
    <row r="2503" spans="1:8" x14ac:dyDescent="0.3">
      <c r="A2503" s="38">
        <v>10</v>
      </c>
      <c r="B2503" s="39" t="s">
        <v>677</v>
      </c>
      <c r="C2503" s="40">
        <v>20060368076871</v>
      </c>
      <c r="D2503" s="67" t="s">
        <v>553</v>
      </c>
      <c r="E2503" s="41">
        <v>13</v>
      </c>
      <c r="F2503" s="9"/>
      <c r="G2503" s="14" t="str">
        <f t="shared" si="94"/>
        <v>O</v>
      </c>
      <c r="H2503" s="15">
        <f t="shared" si="93"/>
        <v>6.5</v>
      </c>
    </row>
    <row r="2504" spans="1:8" x14ac:dyDescent="0.3">
      <c r="A2504" s="38">
        <v>11</v>
      </c>
      <c r="B2504" s="39" t="s">
        <v>677</v>
      </c>
      <c r="C2504" s="40">
        <v>20060368076871</v>
      </c>
      <c r="D2504" s="39" t="s">
        <v>295</v>
      </c>
      <c r="E2504" s="76">
        <v>0.05</v>
      </c>
      <c r="F2504" s="9"/>
      <c r="G2504" s="14" t="str">
        <f t="shared" si="94"/>
        <v>O</v>
      </c>
      <c r="H2504" s="15">
        <f t="shared" si="93"/>
        <v>2.5000000000000001E-2</v>
      </c>
    </row>
    <row r="2505" spans="1:8" x14ac:dyDescent="0.3">
      <c r="A2505" s="31">
        <v>1</v>
      </c>
      <c r="B2505" s="26" t="s">
        <v>678</v>
      </c>
      <c r="C2505" s="27">
        <v>20060368076755</v>
      </c>
      <c r="D2505" s="26" t="s">
        <v>284</v>
      </c>
      <c r="E2505" s="28">
        <v>305</v>
      </c>
      <c r="F2505" s="9"/>
      <c r="G2505" s="14" t="str">
        <f t="shared" si="94"/>
        <v>O</v>
      </c>
      <c r="H2505" s="15">
        <f t="shared" si="93"/>
        <v>152.5</v>
      </c>
    </row>
    <row r="2506" spans="1:8" x14ac:dyDescent="0.3">
      <c r="A2506" s="31">
        <v>2</v>
      </c>
      <c r="B2506" s="26" t="s">
        <v>678</v>
      </c>
      <c r="C2506" s="27">
        <v>20060368076755</v>
      </c>
      <c r="D2506" s="68" t="s">
        <v>644</v>
      </c>
      <c r="E2506" s="28">
        <v>29</v>
      </c>
      <c r="F2506" s="9"/>
      <c r="G2506" s="14" t="str">
        <f t="shared" si="94"/>
        <v>O</v>
      </c>
      <c r="H2506" s="15">
        <f t="shared" si="93"/>
        <v>14.5</v>
      </c>
    </row>
    <row r="2507" spans="1:8" x14ac:dyDescent="0.3">
      <c r="A2507" s="31">
        <v>3</v>
      </c>
      <c r="B2507" s="26" t="s">
        <v>678</v>
      </c>
      <c r="C2507" s="27">
        <v>20060368076755</v>
      </c>
      <c r="D2507" s="68" t="s">
        <v>669</v>
      </c>
      <c r="E2507" s="28">
        <v>48</v>
      </c>
      <c r="F2507" s="9"/>
      <c r="G2507" s="14" t="str">
        <f t="shared" si="94"/>
        <v>O</v>
      </c>
      <c r="H2507" s="15">
        <f t="shared" si="93"/>
        <v>24</v>
      </c>
    </row>
    <row r="2508" spans="1:8" x14ac:dyDescent="0.3">
      <c r="A2508" s="31">
        <v>4</v>
      </c>
      <c r="B2508" s="26" t="s">
        <v>678</v>
      </c>
      <c r="C2508" s="27">
        <v>20060368076755</v>
      </c>
      <c r="D2508" s="68" t="s">
        <v>325</v>
      </c>
      <c r="E2508" s="77">
        <v>8</v>
      </c>
      <c r="F2508" s="9"/>
      <c r="G2508" s="14" t="str">
        <f t="shared" si="94"/>
        <v>O</v>
      </c>
      <c r="H2508" s="15">
        <f t="shared" si="93"/>
        <v>4</v>
      </c>
    </row>
    <row r="2509" spans="1:8" x14ac:dyDescent="0.3">
      <c r="A2509" s="31">
        <v>5</v>
      </c>
      <c r="B2509" s="26" t="s">
        <v>678</v>
      </c>
      <c r="C2509" s="27">
        <v>20060368076755</v>
      </c>
      <c r="D2509" s="68" t="s">
        <v>645</v>
      </c>
      <c r="E2509" s="28">
        <v>8</v>
      </c>
      <c r="F2509" s="9"/>
      <c r="G2509" s="14" t="str">
        <f t="shared" si="94"/>
        <v>O</v>
      </c>
      <c r="H2509" s="15">
        <f t="shared" si="93"/>
        <v>4</v>
      </c>
    </row>
    <row r="2510" spans="1:8" x14ac:dyDescent="0.3">
      <c r="A2510" s="31">
        <v>6</v>
      </c>
      <c r="B2510" s="26" t="s">
        <v>678</v>
      </c>
      <c r="C2510" s="27">
        <v>20060368076755</v>
      </c>
      <c r="D2510" s="68" t="s">
        <v>459</v>
      </c>
      <c r="E2510" s="28">
        <v>38</v>
      </c>
      <c r="F2510" s="9"/>
      <c r="G2510" s="14" t="str">
        <f t="shared" si="94"/>
        <v>O</v>
      </c>
      <c r="H2510" s="15">
        <f t="shared" si="93"/>
        <v>19</v>
      </c>
    </row>
    <row r="2511" spans="1:8" x14ac:dyDescent="0.3">
      <c r="A2511" s="31">
        <v>7</v>
      </c>
      <c r="B2511" s="26" t="s">
        <v>678</v>
      </c>
      <c r="C2511" s="27">
        <v>20060368076755</v>
      </c>
      <c r="D2511" s="68" t="s">
        <v>662</v>
      </c>
      <c r="E2511" s="28">
        <v>95</v>
      </c>
      <c r="F2511" s="9"/>
      <c r="G2511" s="14" t="str">
        <f t="shared" si="94"/>
        <v>O</v>
      </c>
      <c r="H2511" s="15">
        <f t="shared" si="93"/>
        <v>47.5</v>
      </c>
    </row>
    <row r="2512" spans="1:8" x14ac:dyDescent="0.3">
      <c r="A2512" s="31">
        <v>8</v>
      </c>
      <c r="B2512" s="26" t="s">
        <v>678</v>
      </c>
      <c r="C2512" s="27">
        <v>20060368076755</v>
      </c>
      <c r="D2512" s="68" t="s">
        <v>649</v>
      </c>
      <c r="E2512" s="28">
        <v>238</v>
      </c>
      <c r="F2512" s="9"/>
      <c r="G2512" s="14" t="str">
        <f t="shared" si="94"/>
        <v>O</v>
      </c>
      <c r="H2512" s="15">
        <f t="shared" si="93"/>
        <v>119</v>
      </c>
    </row>
    <row r="2513" spans="1:8" x14ac:dyDescent="0.3">
      <c r="A2513" s="31">
        <v>9</v>
      </c>
      <c r="B2513" s="26" t="s">
        <v>678</v>
      </c>
      <c r="C2513" s="27">
        <v>20060368076755</v>
      </c>
      <c r="D2513" s="68" t="s">
        <v>218</v>
      </c>
      <c r="E2513" s="28">
        <v>1</v>
      </c>
      <c r="F2513" s="9"/>
      <c r="G2513" s="14" t="str">
        <f t="shared" si="94"/>
        <v>O</v>
      </c>
      <c r="H2513" s="15">
        <f t="shared" si="93"/>
        <v>0.5</v>
      </c>
    </row>
    <row r="2514" spans="1:8" x14ac:dyDescent="0.3">
      <c r="A2514" s="31">
        <v>10</v>
      </c>
      <c r="B2514" s="26" t="s">
        <v>678</v>
      </c>
      <c r="C2514" s="27">
        <v>20060368076755</v>
      </c>
      <c r="D2514" s="26" t="s">
        <v>295</v>
      </c>
      <c r="E2514" s="77">
        <v>0.04</v>
      </c>
      <c r="F2514" s="9"/>
      <c r="G2514" s="14" t="str">
        <f t="shared" si="94"/>
        <v>O</v>
      </c>
      <c r="H2514" s="15">
        <f t="shared" si="93"/>
        <v>0.02</v>
      </c>
    </row>
    <row r="2515" spans="1:8" x14ac:dyDescent="0.3">
      <c r="A2515" s="23">
        <v>1</v>
      </c>
      <c r="B2515" s="49" t="s">
        <v>679</v>
      </c>
      <c r="C2515" s="73">
        <v>20060368076854</v>
      </c>
      <c r="D2515" s="49" t="s">
        <v>284</v>
      </c>
      <c r="E2515" s="75">
        <v>182</v>
      </c>
      <c r="F2515" s="9"/>
      <c r="G2515" s="14" t="str">
        <f t="shared" si="94"/>
        <v>O</v>
      </c>
      <c r="H2515" s="15">
        <f t="shared" si="93"/>
        <v>91</v>
      </c>
    </row>
    <row r="2516" spans="1:8" x14ac:dyDescent="0.3">
      <c r="A2516" s="19">
        <v>2</v>
      </c>
      <c r="B2516" s="49" t="s">
        <v>679</v>
      </c>
      <c r="C2516" s="73">
        <v>20060368076854</v>
      </c>
      <c r="D2516" s="74" t="s">
        <v>644</v>
      </c>
      <c r="E2516" s="75">
        <v>17</v>
      </c>
      <c r="F2516" s="9"/>
      <c r="G2516" s="14" t="str">
        <f t="shared" si="94"/>
        <v>O</v>
      </c>
      <c r="H2516" s="15">
        <f t="shared" si="93"/>
        <v>8.5</v>
      </c>
    </row>
    <row r="2517" spans="1:8" x14ac:dyDescent="0.3">
      <c r="A2517" s="19">
        <v>3</v>
      </c>
      <c r="B2517" s="49" t="s">
        <v>679</v>
      </c>
      <c r="C2517" s="73">
        <v>20060368076854</v>
      </c>
      <c r="D2517" s="74" t="s">
        <v>669</v>
      </c>
      <c r="E2517" s="75">
        <v>28.3</v>
      </c>
      <c r="F2517" s="9"/>
      <c r="G2517" s="14" t="str">
        <f t="shared" si="94"/>
        <v>O</v>
      </c>
      <c r="H2517" s="15">
        <f t="shared" si="93"/>
        <v>14.15</v>
      </c>
    </row>
    <row r="2518" spans="1:8" x14ac:dyDescent="0.3">
      <c r="A2518" s="19">
        <v>4</v>
      </c>
      <c r="B2518" s="49" t="s">
        <v>679</v>
      </c>
      <c r="C2518" s="73">
        <v>20060368076854</v>
      </c>
      <c r="D2518" s="74" t="s">
        <v>325</v>
      </c>
      <c r="E2518" s="75">
        <v>5</v>
      </c>
      <c r="F2518" s="9"/>
      <c r="G2518" s="14" t="str">
        <f t="shared" si="94"/>
        <v>O</v>
      </c>
      <c r="H2518" s="15">
        <f t="shared" si="93"/>
        <v>2.5</v>
      </c>
    </row>
    <row r="2519" spans="1:8" x14ac:dyDescent="0.3">
      <c r="A2519" s="19">
        <v>5</v>
      </c>
      <c r="B2519" s="49" t="s">
        <v>679</v>
      </c>
      <c r="C2519" s="73">
        <v>20060368076854</v>
      </c>
      <c r="D2519" s="74" t="s">
        <v>645</v>
      </c>
      <c r="E2519" s="75">
        <v>5</v>
      </c>
      <c r="F2519" s="9"/>
      <c r="G2519" s="14" t="str">
        <f t="shared" si="94"/>
        <v>O</v>
      </c>
      <c r="H2519" s="15">
        <f t="shared" si="93"/>
        <v>2.5</v>
      </c>
    </row>
    <row r="2520" spans="1:8" x14ac:dyDescent="0.3">
      <c r="A2520" s="19">
        <v>6</v>
      </c>
      <c r="B2520" s="49" t="s">
        <v>679</v>
      </c>
      <c r="C2520" s="73">
        <v>20060368076854</v>
      </c>
      <c r="D2520" s="74" t="s">
        <v>459</v>
      </c>
      <c r="E2520" s="75">
        <v>23</v>
      </c>
      <c r="F2520" s="9"/>
      <c r="G2520" s="14" t="str">
        <f t="shared" si="94"/>
        <v>O</v>
      </c>
      <c r="H2520" s="15">
        <f t="shared" si="93"/>
        <v>11.5</v>
      </c>
    </row>
    <row r="2521" spans="1:8" x14ac:dyDescent="0.3">
      <c r="A2521" s="19">
        <v>7</v>
      </c>
      <c r="B2521" s="49" t="s">
        <v>679</v>
      </c>
      <c r="C2521" s="73">
        <v>20060368076854</v>
      </c>
      <c r="D2521" s="74" t="s">
        <v>662</v>
      </c>
      <c r="E2521" s="75">
        <v>57</v>
      </c>
      <c r="F2521" s="9"/>
      <c r="G2521" s="14" t="str">
        <f t="shared" si="94"/>
        <v>O</v>
      </c>
      <c r="H2521" s="15">
        <f t="shared" si="93"/>
        <v>28.5</v>
      </c>
    </row>
    <row r="2522" spans="1:8" x14ac:dyDescent="0.3">
      <c r="A2522" s="19">
        <v>8</v>
      </c>
      <c r="B2522" s="49" t="s">
        <v>679</v>
      </c>
      <c r="C2522" s="73">
        <v>20060368076854</v>
      </c>
      <c r="D2522" s="74" t="s">
        <v>649</v>
      </c>
      <c r="E2522" s="75">
        <v>142</v>
      </c>
      <c r="F2522" s="9"/>
      <c r="G2522" s="14" t="str">
        <f t="shared" si="94"/>
        <v>O</v>
      </c>
      <c r="H2522" s="15">
        <f t="shared" si="93"/>
        <v>71</v>
      </c>
    </row>
    <row r="2523" spans="1:8" x14ac:dyDescent="0.3">
      <c r="A2523" s="19">
        <v>9</v>
      </c>
      <c r="B2523" s="49" t="s">
        <v>679</v>
      </c>
      <c r="C2523" s="73">
        <v>20060368076854</v>
      </c>
      <c r="D2523" s="74" t="s">
        <v>647</v>
      </c>
      <c r="E2523" s="75">
        <v>1</v>
      </c>
      <c r="F2523" s="9"/>
      <c r="G2523" s="14" t="str">
        <f t="shared" si="94"/>
        <v>O</v>
      </c>
      <c r="H2523" s="15">
        <f t="shared" si="93"/>
        <v>0.5</v>
      </c>
    </row>
    <row r="2524" spans="1:8" x14ac:dyDescent="0.3">
      <c r="A2524" s="19">
        <v>10</v>
      </c>
      <c r="B2524" s="49" t="s">
        <v>679</v>
      </c>
      <c r="C2524" s="73">
        <v>20060368076854</v>
      </c>
      <c r="D2524" s="49" t="s">
        <v>295</v>
      </c>
      <c r="E2524" s="78">
        <v>0.02</v>
      </c>
      <c r="F2524" s="9"/>
      <c r="G2524" s="14" t="str">
        <f t="shared" si="94"/>
        <v>O</v>
      </c>
      <c r="H2524" s="15">
        <f t="shared" si="93"/>
        <v>0.01</v>
      </c>
    </row>
    <row r="2525" spans="1:8" x14ac:dyDescent="0.3">
      <c r="A2525" s="19">
        <v>1</v>
      </c>
      <c r="B2525" s="20" t="s">
        <v>680</v>
      </c>
      <c r="C2525" s="21">
        <v>20060368076918</v>
      </c>
      <c r="D2525" s="20" t="s">
        <v>284</v>
      </c>
      <c r="E2525" s="22">
        <v>262</v>
      </c>
      <c r="F2525" s="9"/>
      <c r="G2525" s="14" t="str">
        <f t="shared" si="94"/>
        <v>O</v>
      </c>
      <c r="H2525" s="15">
        <f t="shared" si="93"/>
        <v>131</v>
      </c>
    </row>
    <row r="2526" spans="1:8" x14ac:dyDescent="0.3">
      <c r="A2526" s="19">
        <v>2</v>
      </c>
      <c r="B2526" s="20" t="s">
        <v>680</v>
      </c>
      <c r="C2526" s="21">
        <v>20060368076918</v>
      </c>
      <c r="D2526" s="69" t="s">
        <v>644</v>
      </c>
      <c r="E2526" s="22">
        <v>24.5</v>
      </c>
      <c r="F2526" s="9"/>
      <c r="G2526" s="14" t="str">
        <f t="shared" si="94"/>
        <v>O</v>
      </c>
      <c r="H2526" s="15">
        <f t="shared" si="93"/>
        <v>12.25</v>
      </c>
    </row>
    <row r="2527" spans="1:8" x14ac:dyDescent="0.3">
      <c r="A2527" s="19">
        <v>3</v>
      </c>
      <c r="B2527" s="20" t="s">
        <v>680</v>
      </c>
      <c r="C2527" s="21">
        <v>20060368076918</v>
      </c>
      <c r="D2527" s="69" t="s">
        <v>669</v>
      </c>
      <c r="E2527" s="22">
        <v>40.9</v>
      </c>
      <c r="F2527" s="9"/>
      <c r="G2527" s="14" t="str">
        <f t="shared" si="94"/>
        <v>O</v>
      </c>
      <c r="H2527" s="15">
        <f t="shared" si="93"/>
        <v>20.45</v>
      </c>
    </row>
    <row r="2528" spans="1:8" x14ac:dyDescent="0.3">
      <c r="A2528" s="19">
        <v>4</v>
      </c>
      <c r="B2528" s="20" t="s">
        <v>680</v>
      </c>
      <c r="C2528" s="21">
        <v>20060368076918</v>
      </c>
      <c r="D2528" s="69" t="s">
        <v>325</v>
      </c>
      <c r="E2528" s="22">
        <v>6.5</v>
      </c>
      <c r="F2528" s="9"/>
      <c r="G2528" s="14" t="str">
        <f t="shared" si="94"/>
        <v>O</v>
      </c>
      <c r="H2528" s="15">
        <f t="shared" si="93"/>
        <v>3.25</v>
      </c>
    </row>
    <row r="2529" spans="1:8" x14ac:dyDescent="0.3">
      <c r="A2529" s="19">
        <v>5</v>
      </c>
      <c r="B2529" s="20" t="s">
        <v>680</v>
      </c>
      <c r="C2529" s="21">
        <v>20060368076918</v>
      </c>
      <c r="D2529" s="69" t="s">
        <v>645</v>
      </c>
      <c r="E2529" s="22">
        <v>8.1</v>
      </c>
      <c r="F2529" s="9"/>
      <c r="G2529" s="14" t="str">
        <f t="shared" si="94"/>
        <v>O</v>
      </c>
      <c r="H2529" s="15">
        <f t="shared" si="93"/>
        <v>4.05</v>
      </c>
    </row>
    <row r="2530" spans="1:8" x14ac:dyDescent="0.3">
      <c r="A2530" s="19">
        <v>6</v>
      </c>
      <c r="B2530" s="20" t="s">
        <v>680</v>
      </c>
      <c r="C2530" s="21">
        <v>20060368076918</v>
      </c>
      <c r="D2530" s="69" t="s">
        <v>459</v>
      </c>
      <c r="E2530" s="22">
        <v>32.700000000000003</v>
      </c>
      <c r="F2530" s="9"/>
      <c r="G2530" s="14" t="str">
        <f t="shared" si="94"/>
        <v>O</v>
      </c>
      <c r="H2530" s="15">
        <f t="shared" si="93"/>
        <v>16.350000000000001</v>
      </c>
    </row>
    <row r="2531" spans="1:8" x14ac:dyDescent="0.3">
      <c r="A2531" s="19">
        <v>7</v>
      </c>
      <c r="B2531" s="20" t="s">
        <v>680</v>
      </c>
      <c r="C2531" s="21">
        <v>20060368076918</v>
      </c>
      <c r="D2531" s="69" t="s">
        <v>662</v>
      </c>
      <c r="E2531" s="22">
        <v>81.8</v>
      </c>
      <c r="F2531" s="9"/>
      <c r="G2531" s="14" t="str">
        <f t="shared" si="94"/>
        <v>O</v>
      </c>
      <c r="H2531" s="15">
        <f t="shared" si="93"/>
        <v>40.9</v>
      </c>
    </row>
    <row r="2532" spans="1:8" x14ac:dyDescent="0.3">
      <c r="A2532" s="19">
        <v>8</v>
      </c>
      <c r="B2532" s="20" t="s">
        <v>680</v>
      </c>
      <c r="C2532" s="21">
        <v>20060368076918</v>
      </c>
      <c r="D2532" s="69" t="s">
        <v>649</v>
      </c>
      <c r="E2532" s="22">
        <v>204.4</v>
      </c>
      <c r="F2532" s="9"/>
      <c r="G2532" s="14" t="str">
        <f t="shared" si="94"/>
        <v>O</v>
      </c>
      <c r="H2532" s="15">
        <f t="shared" si="93"/>
        <v>102.2</v>
      </c>
    </row>
    <row r="2533" spans="1:8" x14ac:dyDescent="0.3">
      <c r="A2533" s="19">
        <v>9</v>
      </c>
      <c r="B2533" s="20" t="s">
        <v>680</v>
      </c>
      <c r="C2533" s="21">
        <v>20060368076918</v>
      </c>
      <c r="D2533" s="69" t="s">
        <v>218</v>
      </c>
      <c r="E2533" s="22">
        <v>1</v>
      </c>
      <c r="F2533" s="9"/>
      <c r="G2533" s="14" t="str">
        <f t="shared" si="94"/>
        <v>O</v>
      </c>
      <c r="H2533" s="15">
        <f t="shared" si="93"/>
        <v>0.5</v>
      </c>
    </row>
    <row r="2534" spans="1:8" x14ac:dyDescent="0.3">
      <c r="A2534" s="19">
        <v>10</v>
      </c>
      <c r="B2534" s="20" t="s">
        <v>680</v>
      </c>
      <c r="C2534" s="21">
        <v>20060368076918</v>
      </c>
      <c r="D2534" s="69" t="s">
        <v>368</v>
      </c>
      <c r="E2534" s="22">
        <v>110</v>
      </c>
      <c r="F2534" s="9"/>
      <c r="G2534" s="14" t="str">
        <f t="shared" si="94"/>
        <v>O</v>
      </c>
      <c r="H2534" s="15">
        <f t="shared" si="93"/>
        <v>55</v>
      </c>
    </row>
    <row r="2535" spans="1:8" x14ac:dyDescent="0.3">
      <c r="A2535" s="19">
        <v>11</v>
      </c>
      <c r="B2535" s="20" t="s">
        <v>680</v>
      </c>
      <c r="C2535" s="21">
        <v>20060368076918</v>
      </c>
      <c r="D2535" s="69" t="s">
        <v>681</v>
      </c>
      <c r="E2535" s="71">
        <v>0.43</v>
      </c>
      <c r="F2535" s="9"/>
      <c r="G2535" s="14" t="str">
        <f t="shared" si="94"/>
        <v>X</v>
      </c>
      <c r="H2535" s="15">
        <f t="shared" si="93"/>
        <v>0.215</v>
      </c>
    </row>
    <row r="2536" spans="1:8" x14ac:dyDescent="0.3">
      <c r="A2536" s="19">
        <v>1</v>
      </c>
      <c r="B2536" s="20" t="s">
        <v>682</v>
      </c>
      <c r="C2536" s="21">
        <v>20060368076919</v>
      </c>
      <c r="D2536" s="20" t="s">
        <v>284</v>
      </c>
      <c r="E2536" s="22">
        <v>229.9</v>
      </c>
      <c r="F2536" s="9"/>
      <c r="G2536" s="14" t="str">
        <f t="shared" si="94"/>
        <v>O</v>
      </c>
      <c r="H2536" s="15">
        <f t="shared" si="93"/>
        <v>114.95</v>
      </c>
    </row>
    <row r="2537" spans="1:8" x14ac:dyDescent="0.3">
      <c r="A2537" s="19">
        <v>2</v>
      </c>
      <c r="B2537" s="20" t="s">
        <v>682</v>
      </c>
      <c r="C2537" s="21">
        <v>20060368076919</v>
      </c>
      <c r="D2537" s="69" t="s">
        <v>644</v>
      </c>
      <c r="E2537" s="22">
        <v>21.6</v>
      </c>
      <c r="F2537" s="9"/>
      <c r="G2537" s="14" t="str">
        <f t="shared" si="94"/>
        <v>O</v>
      </c>
      <c r="H2537" s="15">
        <f t="shared" si="93"/>
        <v>10.8</v>
      </c>
    </row>
    <row r="2538" spans="1:8" x14ac:dyDescent="0.3">
      <c r="A2538" s="19">
        <v>3</v>
      </c>
      <c r="B2538" s="20" t="s">
        <v>682</v>
      </c>
      <c r="C2538" s="21">
        <v>20060368076919</v>
      </c>
      <c r="D2538" s="69" t="s">
        <v>669</v>
      </c>
      <c r="E2538" s="22">
        <v>35.9</v>
      </c>
      <c r="F2538" s="9"/>
      <c r="G2538" s="14" t="str">
        <f t="shared" si="94"/>
        <v>O</v>
      </c>
      <c r="H2538" s="15">
        <f t="shared" si="93"/>
        <v>17.95</v>
      </c>
    </row>
    <row r="2539" spans="1:8" x14ac:dyDescent="0.3">
      <c r="A2539" s="19">
        <v>4</v>
      </c>
      <c r="B2539" s="20" t="s">
        <v>682</v>
      </c>
      <c r="C2539" s="21">
        <v>20060368076919</v>
      </c>
      <c r="D2539" s="69" t="s">
        <v>325</v>
      </c>
      <c r="E2539" s="22">
        <v>5.7</v>
      </c>
      <c r="F2539" s="9"/>
      <c r="G2539" s="14" t="str">
        <f t="shared" si="94"/>
        <v>O</v>
      </c>
      <c r="H2539" s="15">
        <f t="shared" si="93"/>
        <v>2.85</v>
      </c>
    </row>
    <row r="2540" spans="1:8" x14ac:dyDescent="0.3">
      <c r="A2540" s="19">
        <v>5</v>
      </c>
      <c r="B2540" s="20" t="s">
        <v>682</v>
      </c>
      <c r="C2540" s="21">
        <v>20060368076919</v>
      </c>
      <c r="D2540" s="69" t="s">
        <v>645</v>
      </c>
      <c r="E2540" s="22">
        <v>5.7</v>
      </c>
      <c r="F2540" s="9"/>
      <c r="G2540" s="14" t="str">
        <f t="shared" si="94"/>
        <v>O</v>
      </c>
      <c r="H2540" s="15">
        <f t="shared" si="93"/>
        <v>2.85</v>
      </c>
    </row>
    <row r="2541" spans="1:8" x14ac:dyDescent="0.3">
      <c r="A2541" s="19">
        <v>6</v>
      </c>
      <c r="B2541" s="20" t="s">
        <v>682</v>
      </c>
      <c r="C2541" s="21">
        <v>20060368076919</v>
      </c>
      <c r="D2541" s="69" t="s">
        <v>683</v>
      </c>
      <c r="E2541" s="22">
        <v>190</v>
      </c>
      <c r="F2541" s="9"/>
      <c r="G2541" s="14" t="str">
        <f t="shared" si="94"/>
        <v>O</v>
      </c>
      <c r="H2541" s="15">
        <f t="shared" si="93"/>
        <v>95</v>
      </c>
    </row>
    <row r="2542" spans="1:8" x14ac:dyDescent="0.3">
      <c r="A2542" s="19">
        <v>7</v>
      </c>
      <c r="B2542" s="20" t="s">
        <v>682</v>
      </c>
      <c r="C2542" s="21">
        <v>20060368076919</v>
      </c>
      <c r="D2542" s="69" t="s">
        <v>459</v>
      </c>
      <c r="E2542" s="22">
        <v>28.7</v>
      </c>
      <c r="F2542" s="9"/>
      <c r="G2542" s="14" t="str">
        <f t="shared" si="94"/>
        <v>O</v>
      </c>
      <c r="H2542" s="15">
        <f t="shared" si="93"/>
        <v>14.35</v>
      </c>
    </row>
    <row r="2543" spans="1:8" x14ac:dyDescent="0.3">
      <c r="A2543" s="19">
        <v>8</v>
      </c>
      <c r="B2543" s="20" t="s">
        <v>682</v>
      </c>
      <c r="C2543" s="21">
        <v>20060368076919</v>
      </c>
      <c r="D2543" s="69" t="s">
        <v>662</v>
      </c>
      <c r="E2543" s="22">
        <v>71.8</v>
      </c>
      <c r="F2543" s="9"/>
      <c r="G2543" s="14" t="str">
        <f t="shared" si="94"/>
        <v>O</v>
      </c>
      <c r="H2543" s="15">
        <f t="shared" si="93"/>
        <v>35.9</v>
      </c>
    </row>
    <row r="2544" spans="1:8" x14ac:dyDescent="0.3">
      <c r="A2544" s="19">
        <v>9</v>
      </c>
      <c r="B2544" s="20" t="s">
        <v>682</v>
      </c>
      <c r="C2544" s="21">
        <v>20060368076919</v>
      </c>
      <c r="D2544" s="69" t="s">
        <v>649</v>
      </c>
      <c r="E2544" s="22">
        <v>179.6</v>
      </c>
      <c r="F2544" s="9"/>
      <c r="G2544" s="14" t="str">
        <f t="shared" si="94"/>
        <v>O</v>
      </c>
      <c r="H2544" s="15">
        <f t="shared" si="93"/>
        <v>89.8</v>
      </c>
    </row>
    <row r="2545" spans="1:8" x14ac:dyDescent="0.3">
      <c r="A2545" s="19">
        <v>10</v>
      </c>
      <c r="B2545" s="20" t="s">
        <v>682</v>
      </c>
      <c r="C2545" s="21">
        <v>20060368076919</v>
      </c>
      <c r="D2545" s="69" t="s">
        <v>218</v>
      </c>
      <c r="E2545" s="22">
        <v>0.9</v>
      </c>
      <c r="F2545" s="9"/>
      <c r="G2545" s="14" t="str">
        <f t="shared" si="94"/>
        <v>O</v>
      </c>
      <c r="H2545" s="15">
        <f t="shared" si="93"/>
        <v>0.45</v>
      </c>
    </row>
    <row r="2546" spans="1:8" x14ac:dyDescent="0.3">
      <c r="A2546" s="19">
        <v>1</v>
      </c>
      <c r="B2546" s="20" t="s">
        <v>684</v>
      </c>
      <c r="C2546" s="21">
        <v>20060368076922</v>
      </c>
      <c r="D2546" s="20" t="s">
        <v>284</v>
      </c>
      <c r="E2546" s="22">
        <v>229.9</v>
      </c>
      <c r="F2546" s="9"/>
      <c r="G2546" s="14" t="str">
        <f t="shared" si="94"/>
        <v>O</v>
      </c>
      <c r="H2546" s="15">
        <f t="shared" si="93"/>
        <v>114.95</v>
      </c>
    </row>
    <row r="2547" spans="1:8" x14ac:dyDescent="0.3">
      <c r="A2547" s="19">
        <v>2</v>
      </c>
      <c r="B2547" s="20" t="s">
        <v>684</v>
      </c>
      <c r="C2547" s="21">
        <v>20060368076922</v>
      </c>
      <c r="D2547" s="69" t="s">
        <v>644</v>
      </c>
      <c r="E2547" s="22">
        <v>21.6</v>
      </c>
      <c r="F2547" s="9"/>
      <c r="G2547" s="14" t="str">
        <f t="shared" si="94"/>
        <v>O</v>
      </c>
      <c r="H2547" s="15">
        <f t="shared" si="93"/>
        <v>10.8</v>
      </c>
    </row>
    <row r="2548" spans="1:8" x14ac:dyDescent="0.3">
      <c r="A2548" s="19">
        <v>3</v>
      </c>
      <c r="B2548" s="20" t="s">
        <v>684</v>
      </c>
      <c r="C2548" s="21">
        <v>20060368076922</v>
      </c>
      <c r="D2548" s="69" t="s">
        <v>669</v>
      </c>
      <c r="E2548" s="22">
        <v>35.9</v>
      </c>
      <c r="F2548" s="9"/>
      <c r="G2548" s="14" t="str">
        <f t="shared" si="94"/>
        <v>O</v>
      </c>
      <c r="H2548" s="15">
        <f t="shared" si="93"/>
        <v>17.95</v>
      </c>
    </row>
    <row r="2549" spans="1:8" x14ac:dyDescent="0.3">
      <c r="A2549" s="19">
        <v>4</v>
      </c>
      <c r="B2549" s="20" t="s">
        <v>684</v>
      </c>
      <c r="C2549" s="21">
        <v>20060368076922</v>
      </c>
      <c r="D2549" s="69" t="s">
        <v>325</v>
      </c>
      <c r="E2549" s="22">
        <v>5.7</v>
      </c>
      <c r="F2549" s="9"/>
      <c r="G2549" s="14" t="str">
        <f t="shared" si="94"/>
        <v>O</v>
      </c>
      <c r="H2549" s="15">
        <f t="shared" ref="H2549:H2612" si="95">E2549/2</f>
        <v>2.85</v>
      </c>
    </row>
    <row r="2550" spans="1:8" x14ac:dyDescent="0.3">
      <c r="A2550" s="19">
        <v>5</v>
      </c>
      <c r="B2550" s="20" t="s">
        <v>684</v>
      </c>
      <c r="C2550" s="21">
        <v>20060368076922</v>
      </c>
      <c r="D2550" s="69" t="s">
        <v>645</v>
      </c>
      <c r="E2550" s="22">
        <v>5.7</v>
      </c>
      <c r="F2550" s="9"/>
      <c r="G2550" s="14" t="str">
        <f t="shared" si="94"/>
        <v>O</v>
      </c>
      <c r="H2550" s="15">
        <f t="shared" si="95"/>
        <v>2.85</v>
      </c>
    </row>
    <row r="2551" spans="1:8" x14ac:dyDescent="0.3">
      <c r="A2551" s="19">
        <v>6</v>
      </c>
      <c r="B2551" s="20" t="s">
        <v>684</v>
      </c>
      <c r="C2551" s="21">
        <v>20060368076922</v>
      </c>
      <c r="D2551" s="69" t="s">
        <v>654</v>
      </c>
      <c r="E2551" s="22">
        <v>190</v>
      </c>
      <c r="F2551" s="9"/>
      <c r="G2551" s="14" t="str">
        <f t="shared" si="94"/>
        <v>O</v>
      </c>
      <c r="H2551" s="15">
        <f t="shared" si="95"/>
        <v>95</v>
      </c>
    </row>
    <row r="2552" spans="1:8" x14ac:dyDescent="0.3">
      <c r="A2552" s="19">
        <v>7</v>
      </c>
      <c r="B2552" s="20" t="s">
        <v>684</v>
      </c>
      <c r="C2552" s="21">
        <v>20060368076922</v>
      </c>
      <c r="D2552" s="69" t="s">
        <v>459</v>
      </c>
      <c r="E2552" s="22">
        <v>28.7</v>
      </c>
      <c r="F2552" s="9"/>
      <c r="G2552" s="14" t="str">
        <f t="shared" si="94"/>
        <v>O</v>
      </c>
      <c r="H2552" s="15">
        <f t="shared" si="95"/>
        <v>14.35</v>
      </c>
    </row>
    <row r="2553" spans="1:8" x14ac:dyDescent="0.3">
      <c r="A2553" s="19">
        <v>8</v>
      </c>
      <c r="B2553" s="20" t="s">
        <v>684</v>
      </c>
      <c r="C2553" s="21">
        <v>20060368076922</v>
      </c>
      <c r="D2553" s="69" t="s">
        <v>662</v>
      </c>
      <c r="E2553" s="22">
        <v>71.8</v>
      </c>
      <c r="F2553" s="9"/>
      <c r="G2553" s="14" t="str">
        <f t="shared" si="94"/>
        <v>O</v>
      </c>
      <c r="H2553" s="15">
        <f t="shared" si="95"/>
        <v>35.9</v>
      </c>
    </row>
    <row r="2554" spans="1:8" x14ac:dyDescent="0.3">
      <c r="A2554" s="19">
        <v>9</v>
      </c>
      <c r="B2554" s="20" t="s">
        <v>684</v>
      </c>
      <c r="C2554" s="21">
        <v>20060368076922</v>
      </c>
      <c r="D2554" s="69" t="s">
        <v>649</v>
      </c>
      <c r="E2554" s="22">
        <v>179.6</v>
      </c>
      <c r="F2554" s="9"/>
      <c r="G2554" s="14" t="str">
        <f t="shared" si="94"/>
        <v>O</v>
      </c>
      <c r="H2554" s="15">
        <f t="shared" si="95"/>
        <v>89.8</v>
      </c>
    </row>
    <row r="2555" spans="1:8" x14ac:dyDescent="0.3">
      <c r="A2555" s="19">
        <v>10</v>
      </c>
      <c r="B2555" s="20" t="s">
        <v>684</v>
      </c>
      <c r="C2555" s="21">
        <v>20060368076922</v>
      </c>
      <c r="D2555" s="69" t="s">
        <v>218</v>
      </c>
      <c r="E2555" s="22">
        <v>0.9</v>
      </c>
      <c r="F2555" s="9"/>
      <c r="G2555" s="14" t="str">
        <f t="shared" si="94"/>
        <v>O</v>
      </c>
      <c r="H2555" s="15">
        <f t="shared" si="95"/>
        <v>0.45</v>
      </c>
    </row>
    <row r="2556" spans="1:8" x14ac:dyDescent="0.3">
      <c r="A2556" s="19">
        <v>1</v>
      </c>
      <c r="B2556" s="20" t="s">
        <v>685</v>
      </c>
      <c r="C2556" s="21">
        <v>20060368076921</v>
      </c>
      <c r="D2556" s="20" t="s">
        <v>284</v>
      </c>
      <c r="E2556" s="22">
        <v>283.39999999999998</v>
      </c>
      <c r="F2556" s="9"/>
      <c r="G2556" s="14" t="str">
        <f t="shared" si="94"/>
        <v>O</v>
      </c>
      <c r="H2556" s="15">
        <f t="shared" si="95"/>
        <v>141.69999999999999</v>
      </c>
    </row>
    <row r="2557" spans="1:8" x14ac:dyDescent="0.3">
      <c r="A2557" s="19">
        <v>2</v>
      </c>
      <c r="B2557" s="20" t="s">
        <v>685</v>
      </c>
      <c r="C2557" s="21">
        <v>20060368076921</v>
      </c>
      <c r="D2557" s="69" t="s">
        <v>644</v>
      </c>
      <c r="E2557" s="22">
        <v>26.6</v>
      </c>
      <c r="F2557" s="9"/>
      <c r="G2557" s="14" t="str">
        <f t="shared" ref="G2557:G2620" si="96">IF(D2557="","",IF(COUNTIF(I:I,D2557)&gt;0,"O","X"))</f>
        <v>O</v>
      </c>
      <c r="H2557" s="15">
        <f t="shared" si="95"/>
        <v>13.3</v>
      </c>
    </row>
    <row r="2558" spans="1:8" x14ac:dyDescent="0.3">
      <c r="A2558" s="19">
        <v>3</v>
      </c>
      <c r="B2558" s="20" t="s">
        <v>685</v>
      </c>
      <c r="C2558" s="21">
        <v>20060368076921</v>
      </c>
      <c r="D2558" s="69" t="s">
        <v>669</v>
      </c>
      <c r="E2558" s="22">
        <v>44.3</v>
      </c>
      <c r="F2558" s="9"/>
      <c r="G2558" s="14" t="str">
        <f t="shared" si="96"/>
        <v>O</v>
      </c>
      <c r="H2558" s="15">
        <f t="shared" si="95"/>
        <v>22.15</v>
      </c>
    </row>
    <row r="2559" spans="1:8" x14ac:dyDescent="0.3">
      <c r="A2559" s="19">
        <v>4</v>
      </c>
      <c r="B2559" s="20" t="s">
        <v>685</v>
      </c>
      <c r="C2559" s="21">
        <v>20060368076921</v>
      </c>
      <c r="D2559" s="69" t="s">
        <v>325</v>
      </c>
      <c r="E2559" s="22">
        <v>7.1</v>
      </c>
      <c r="F2559" s="9"/>
      <c r="G2559" s="14" t="str">
        <f t="shared" si="96"/>
        <v>O</v>
      </c>
      <c r="H2559" s="15">
        <f t="shared" si="95"/>
        <v>3.55</v>
      </c>
    </row>
    <row r="2560" spans="1:8" x14ac:dyDescent="0.3">
      <c r="A2560" s="19">
        <v>5</v>
      </c>
      <c r="B2560" s="20" t="s">
        <v>685</v>
      </c>
      <c r="C2560" s="21">
        <v>20060368076921</v>
      </c>
      <c r="D2560" s="69" t="s">
        <v>645</v>
      </c>
      <c r="E2560" s="22">
        <v>7.1</v>
      </c>
      <c r="F2560" s="9"/>
      <c r="G2560" s="14" t="str">
        <f t="shared" si="96"/>
        <v>O</v>
      </c>
      <c r="H2560" s="15">
        <f t="shared" si="95"/>
        <v>3.55</v>
      </c>
    </row>
    <row r="2561" spans="1:8" x14ac:dyDescent="0.3">
      <c r="A2561" s="19">
        <v>6</v>
      </c>
      <c r="B2561" s="20" t="s">
        <v>685</v>
      </c>
      <c r="C2561" s="21">
        <v>20060368076921</v>
      </c>
      <c r="D2561" s="69" t="s">
        <v>686</v>
      </c>
      <c r="E2561" s="22">
        <v>55</v>
      </c>
      <c r="F2561" s="9"/>
      <c r="G2561" s="14" t="str">
        <f t="shared" si="96"/>
        <v>O</v>
      </c>
      <c r="H2561" s="15">
        <f t="shared" si="95"/>
        <v>27.5</v>
      </c>
    </row>
    <row r="2562" spans="1:8" x14ac:dyDescent="0.3">
      <c r="A2562" s="19">
        <v>7</v>
      </c>
      <c r="B2562" s="20" t="s">
        <v>685</v>
      </c>
      <c r="C2562" s="21">
        <v>20060368076921</v>
      </c>
      <c r="D2562" s="69" t="s">
        <v>459</v>
      </c>
      <c r="E2562" s="22">
        <v>35.4</v>
      </c>
      <c r="F2562" s="9"/>
      <c r="G2562" s="14" t="str">
        <f t="shared" si="96"/>
        <v>O</v>
      </c>
      <c r="H2562" s="15">
        <f t="shared" si="95"/>
        <v>17.7</v>
      </c>
    </row>
    <row r="2563" spans="1:8" x14ac:dyDescent="0.3">
      <c r="A2563" s="19">
        <v>8</v>
      </c>
      <c r="B2563" s="20" t="s">
        <v>685</v>
      </c>
      <c r="C2563" s="21">
        <v>20060368076921</v>
      </c>
      <c r="D2563" s="69" t="s">
        <v>662</v>
      </c>
      <c r="E2563" s="22">
        <v>88.6</v>
      </c>
      <c r="F2563" s="9"/>
      <c r="G2563" s="14" t="str">
        <f t="shared" si="96"/>
        <v>O</v>
      </c>
      <c r="H2563" s="15">
        <f t="shared" si="95"/>
        <v>44.3</v>
      </c>
    </row>
    <row r="2564" spans="1:8" x14ac:dyDescent="0.3">
      <c r="A2564" s="19">
        <v>9</v>
      </c>
      <c r="B2564" s="20" t="s">
        <v>685</v>
      </c>
      <c r="C2564" s="21">
        <v>20060368076921</v>
      </c>
      <c r="D2564" s="69" t="s">
        <v>649</v>
      </c>
      <c r="E2564" s="22">
        <v>221.4</v>
      </c>
      <c r="F2564" s="9"/>
      <c r="G2564" s="14" t="str">
        <f t="shared" si="96"/>
        <v>O</v>
      </c>
      <c r="H2564" s="15">
        <f t="shared" si="95"/>
        <v>110.7</v>
      </c>
    </row>
    <row r="2565" spans="1:8" x14ac:dyDescent="0.3">
      <c r="A2565" s="19">
        <v>10</v>
      </c>
      <c r="B2565" s="20" t="s">
        <v>685</v>
      </c>
      <c r="C2565" s="21">
        <v>20060368076921</v>
      </c>
      <c r="D2565" s="69" t="s">
        <v>218</v>
      </c>
      <c r="E2565" s="22">
        <v>1.1000000000000001</v>
      </c>
      <c r="F2565" s="9"/>
      <c r="G2565" s="14" t="str">
        <f t="shared" si="96"/>
        <v>O</v>
      </c>
      <c r="H2565" s="15">
        <f t="shared" si="95"/>
        <v>0.55000000000000004</v>
      </c>
    </row>
    <row r="2566" spans="1:8" x14ac:dyDescent="0.3">
      <c r="A2566" s="19">
        <v>1</v>
      </c>
      <c r="B2566" s="20" t="s">
        <v>687</v>
      </c>
      <c r="C2566" s="21">
        <v>20060368076917</v>
      </c>
      <c r="D2566" s="20" t="s">
        <v>284</v>
      </c>
      <c r="E2566" s="22">
        <v>283.39999999999998</v>
      </c>
      <c r="F2566" s="9"/>
      <c r="G2566" s="14" t="str">
        <f t="shared" si="96"/>
        <v>O</v>
      </c>
      <c r="H2566" s="15">
        <f t="shared" si="95"/>
        <v>141.69999999999999</v>
      </c>
    </row>
    <row r="2567" spans="1:8" x14ac:dyDescent="0.3">
      <c r="A2567" s="19">
        <v>2</v>
      </c>
      <c r="B2567" s="20" t="s">
        <v>687</v>
      </c>
      <c r="C2567" s="21">
        <v>20060368076917</v>
      </c>
      <c r="D2567" s="69" t="s">
        <v>644</v>
      </c>
      <c r="E2567" s="22">
        <v>26.6</v>
      </c>
      <c r="F2567" s="9"/>
      <c r="G2567" s="14" t="str">
        <f t="shared" si="96"/>
        <v>O</v>
      </c>
      <c r="H2567" s="15">
        <f t="shared" si="95"/>
        <v>13.3</v>
      </c>
    </row>
    <row r="2568" spans="1:8" x14ac:dyDescent="0.3">
      <c r="A2568" s="19">
        <v>3</v>
      </c>
      <c r="B2568" s="20" t="s">
        <v>687</v>
      </c>
      <c r="C2568" s="21">
        <v>20060368076917</v>
      </c>
      <c r="D2568" s="69" t="s">
        <v>669</v>
      </c>
      <c r="E2568" s="22">
        <v>44.3</v>
      </c>
      <c r="F2568" s="9"/>
      <c r="G2568" s="14" t="str">
        <f t="shared" si="96"/>
        <v>O</v>
      </c>
      <c r="H2568" s="15">
        <f t="shared" si="95"/>
        <v>22.15</v>
      </c>
    </row>
    <row r="2569" spans="1:8" x14ac:dyDescent="0.3">
      <c r="A2569" s="19">
        <v>4</v>
      </c>
      <c r="B2569" s="20" t="s">
        <v>687</v>
      </c>
      <c r="C2569" s="21">
        <v>20060368076917</v>
      </c>
      <c r="D2569" s="69" t="s">
        <v>325</v>
      </c>
      <c r="E2569" s="22">
        <v>7.1</v>
      </c>
      <c r="F2569" s="9"/>
      <c r="G2569" s="14" t="str">
        <f t="shared" si="96"/>
        <v>O</v>
      </c>
      <c r="H2569" s="15">
        <f t="shared" si="95"/>
        <v>3.55</v>
      </c>
    </row>
    <row r="2570" spans="1:8" x14ac:dyDescent="0.3">
      <c r="A2570" s="19">
        <v>5</v>
      </c>
      <c r="B2570" s="20" t="s">
        <v>687</v>
      </c>
      <c r="C2570" s="21">
        <v>20060368076917</v>
      </c>
      <c r="D2570" s="69" t="s">
        <v>645</v>
      </c>
      <c r="E2570" s="22">
        <v>7.1</v>
      </c>
      <c r="F2570" s="9"/>
      <c r="G2570" s="14" t="str">
        <f t="shared" si="96"/>
        <v>O</v>
      </c>
      <c r="H2570" s="15">
        <f t="shared" si="95"/>
        <v>3.55</v>
      </c>
    </row>
    <row r="2571" spans="1:8" x14ac:dyDescent="0.3">
      <c r="A2571" s="19">
        <v>6</v>
      </c>
      <c r="B2571" s="20" t="s">
        <v>687</v>
      </c>
      <c r="C2571" s="21">
        <v>20060368076917</v>
      </c>
      <c r="D2571" s="69" t="s">
        <v>688</v>
      </c>
      <c r="E2571" s="22">
        <v>63.3</v>
      </c>
      <c r="F2571" s="9"/>
      <c r="G2571" s="14" t="str">
        <f t="shared" si="96"/>
        <v>O</v>
      </c>
      <c r="H2571" s="15">
        <f t="shared" si="95"/>
        <v>31.65</v>
      </c>
    </row>
    <row r="2572" spans="1:8" x14ac:dyDescent="0.3">
      <c r="A2572" s="19">
        <v>7</v>
      </c>
      <c r="B2572" s="20" t="s">
        <v>687</v>
      </c>
      <c r="C2572" s="21">
        <v>20060368076917</v>
      </c>
      <c r="D2572" s="69" t="s">
        <v>332</v>
      </c>
      <c r="E2572" s="22">
        <v>63.3</v>
      </c>
      <c r="F2572" s="9"/>
      <c r="G2572" s="14" t="str">
        <f t="shared" si="96"/>
        <v>O</v>
      </c>
      <c r="H2572" s="15">
        <f t="shared" si="95"/>
        <v>31.65</v>
      </c>
    </row>
    <row r="2573" spans="1:8" x14ac:dyDescent="0.3">
      <c r="A2573" s="19">
        <v>8</v>
      </c>
      <c r="B2573" s="20" t="s">
        <v>687</v>
      </c>
      <c r="C2573" s="21">
        <v>20060368076917</v>
      </c>
      <c r="D2573" s="69" t="s">
        <v>330</v>
      </c>
      <c r="E2573" s="22">
        <v>63.3</v>
      </c>
      <c r="F2573" s="9"/>
      <c r="G2573" s="14" t="str">
        <f t="shared" si="96"/>
        <v>O</v>
      </c>
      <c r="H2573" s="15">
        <f t="shared" si="95"/>
        <v>31.65</v>
      </c>
    </row>
    <row r="2574" spans="1:8" x14ac:dyDescent="0.3">
      <c r="A2574" s="19">
        <v>9</v>
      </c>
      <c r="B2574" s="20" t="s">
        <v>687</v>
      </c>
      <c r="C2574" s="21">
        <v>20060368076917</v>
      </c>
      <c r="D2574" s="69" t="s">
        <v>459</v>
      </c>
      <c r="E2574" s="22">
        <v>35.4</v>
      </c>
      <c r="F2574" s="9"/>
      <c r="G2574" s="14" t="str">
        <f t="shared" si="96"/>
        <v>O</v>
      </c>
      <c r="H2574" s="15">
        <f t="shared" si="95"/>
        <v>17.7</v>
      </c>
    </row>
    <row r="2575" spans="1:8" x14ac:dyDescent="0.3">
      <c r="A2575" s="19">
        <v>10</v>
      </c>
      <c r="B2575" s="20" t="s">
        <v>687</v>
      </c>
      <c r="C2575" s="21">
        <v>20060368076917</v>
      </c>
      <c r="D2575" s="69" t="s">
        <v>662</v>
      </c>
      <c r="E2575" s="22">
        <v>88.6</v>
      </c>
      <c r="F2575" s="9"/>
      <c r="G2575" s="14" t="str">
        <f t="shared" si="96"/>
        <v>O</v>
      </c>
      <c r="H2575" s="15">
        <f t="shared" si="95"/>
        <v>44.3</v>
      </c>
    </row>
    <row r="2576" spans="1:8" x14ac:dyDescent="0.3">
      <c r="A2576" s="19">
        <v>11</v>
      </c>
      <c r="B2576" s="20" t="s">
        <v>687</v>
      </c>
      <c r="C2576" s="21">
        <v>20060368076917</v>
      </c>
      <c r="D2576" s="69" t="s">
        <v>649</v>
      </c>
      <c r="E2576" s="22">
        <v>221.4</v>
      </c>
      <c r="F2576" s="9"/>
      <c r="G2576" s="14" t="str">
        <f t="shared" si="96"/>
        <v>O</v>
      </c>
      <c r="H2576" s="15">
        <f t="shared" si="95"/>
        <v>110.7</v>
      </c>
    </row>
    <row r="2577" spans="1:8" x14ac:dyDescent="0.3">
      <c r="A2577" s="19">
        <v>12</v>
      </c>
      <c r="B2577" s="20" t="s">
        <v>687</v>
      </c>
      <c r="C2577" s="21">
        <v>20060368076917</v>
      </c>
      <c r="D2577" s="69" t="s">
        <v>218</v>
      </c>
      <c r="E2577" s="22">
        <v>1.1000000000000001</v>
      </c>
      <c r="F2577" s="9"/>
      <c r="G2577" s="14" t="str">
        <f t="shared" si="96"/>
        <v>O</v>
      </c>
      <c r="H2577" s="15">
        <f t="shared" si="95"/>
        <v>0.55000000000000004</v>
      </c>
    </row>
    <row r="2578" spans="1:8" x14ac:dyDescent="0.3">
      <c r="A2578" s="19">
        <v>1</v>
      </c>
      <c r="B2578" s="20" t="s">
        <v>689</v>
      </c>
      <c r="C2578" s="21">
        <v>20060368076920</v>
      </c>
      <c r="D2578" s="69" t="s">
        <v>644</v>
      </c>
      <c r="E2578" s="22">
        <v>141.4</v>
      </c>
      <c r="F2578" s="9"/>
      <c r="G2578" s="14" t="str">
        <f t="shared" si="96"/>
        <v>O</v>
      </c>
      <c r="H2578" s="15">
        <f t="shared" si="95"/>
        <v>70.7</v>
      </c>
    </row>
    <row r="2579" spans="1:8" x14ac:dyDescent="0.3">
      <c r="A2579" s="19">
        <v>2</v>
      </c>
      <c r="B2579" s="20" t="s">
        <v>689</v>
      </c>
      <c r="C2579" s="21">
        <v>20060368076920</v>
      </c>
      <c r="D2579" s="69" t="s">
        <v>669</v>
      </c>
      <c r="E2579" s="22">
        <v>35.6</v>
      </c>
      <c r="F2579" s="9"/>
      <c r="G2579" s="14" t="str">
        <f t="shared" si="96"/>
        <v>O</v>
      </c>
      <c r="H2579" s="15">
        <f t="shared" si="95"/>
        <v>17.8</v>
      </c>
    </row>
    <row r="2580" spans="1:8" x14ac:dyDescent="0.3">
      <c r="A2580" s="19">
        <v>3</v>
      </c>
      <c r="B2580" s="20" t="s">
        <v>689</v>
      </c>
      <c r="C2580" s="21">
        <v>20060368076920</v>
      </c>
      <c r="D2580" s="69" t="s">
        <v>325</v>
      </c>
      <c r="E2580" s="22">
        <v>3.2</v>
      </c>
      <c r="F2580" s="9"/>
      <c r="G2580" s="14" t="str">
        <f t="shared" si="96"/>
        <v>O</v>
      </c>
      <c r="H2580" s="15">
        <f t="shared" si="95"/>
        <v>1.6</v>
      </c>
    </row>
    <row r="2581" spans="1:8" x14ac:dyDescent="0.3">
      <c r="A2581" s="19">
        <v>4</v>
      </c>
      <c r="B2581" s="20" t="s">
        <v>689</v>
      </c>
      <c r="C2581" s="21">
        <v>20060368076920</v>
      </c>
      <c r="D2581" s="69" t="s">
        <v>645</v>
      </c>
      <c r="E2581" s="22">
        <v>4</v>
      </c>
      <c r="F2581" s="9"/>
      <c r="G2581" s="14" t="str">
        <f t="shared" si="96"/>
        <v>O</v>
      </c>
      <c r="H2581" s="15">
        <f t="shared" si="95"/>
        <v>2</v>
      </c>
    </row>
    <row r="2582" spans="1:8" x14ac:dyDescent="0.3">
      <c r="A2582" s="19">
        <v>5</v>
      </c>
      <c r="B2582" s="20" t="s">
        <v>689</v>
      </c>
      <c r="C2582" s="21">
        <v>20060368076920</v>
      </c>
      <c r="D2582" s="69" t="s">
        <v>519</v>
      </c>
      <c r="E2582" s="22">
        <v>14.1</v>
      </c>
      <c r="F2582" s="9"/>
      <c r="G2582" s="14" t="str">
        <f t="shared" si="96"/>
        <v>O</v>
      </c>
      <c r="H2582" s="15">
        <f t="shared" si="95"/>
        <v>7.05</v>
      </c>
    </row>
    <row r="2583" spans="1:8" x14ac:dyDescent="0.3">
      <c r="A2583" s="19">
        <v>6</v>
      </c>
      <c r="B2583" s="20" t="s">
        <v>689</v>
      </c>
      <c r="C2583" s="21">
        <v>20060368076920</v>
      </c>
      <c r="D2583" s="69" t="s">
        <v>551</v>
      </c>
      <c r="E2583" s="22">
        <v>35.299999999999997</v>
      </c>
      <c r="F2583" s="9"/>
      <c r="G2583" s="14" t="str">
        <f t="shared" si="96"/>
        <v>O</v>
      </c>
      <c r="H2583" s="15">
        <f t="shared" si="95"/>
        <v>17.649999999999999</v>
      </c>
    </row>
    <row r="2584" spans="1:8" x14ac:dyDescent="0.3">
      <c r="A2584" s="19">
        <v>7</v>
      </c>
      <c r="B2584" s="20" t="s">
        <v>689</v>
      </c>
      <c r="C2584" s="21">
        <v>20060368076920</v>
      </c>
      <c r="D2584" s="69" t="s">
        <v>649</v>
      </c>
      <c r="E2584" s="22">
        <v>88.3</v>
      </c>
      <c r="F2584" s="9"/>
      <c r="G2584" s="14" t="str">
        <f t="shared" si="96"/>
        <v>O</v>
      </c>
      <c r="H2584" s="15">
        <f t="shared" si="95"/>
        <v>44.15</v>
      </c>
    </row>
    <row r="2585" spans="1:8" x14ac:dyDescent="0.3">
      <c r="A2585" s="19">
        <v>8</v>
      </c>
      <c r="B2585" s="20" t="s">
        <v>689</v>
      </c>
      <c r="C2585" s="21">
        <v>20060368076920</v>
      </c>
      <c r="D2585" s="69" t="s">
        <v>647</v>
      </c>
      <c r="E2585" s="22">
        <v>1.4</v>
      </c>
      <c r="F2585" s="9"/>
      <c r="G2585" s="14" t="str">
        <f t="shared" si="96"/>
        <v>O</v>
      </c>
      <c r="H2585" s="15">
        <f t="shared" si="95"/>
        <v>0.7</v>
      </c>
    </row>
    <row r="2586" spans="1:8" x14ac:dyDescent="0.3">
      <c r="A2586" s="19">
        <v>9</v>
      </c>
      <c r="B2586" s="20" t="s">
        <v>689</v>
      </c>
      <c r="C2586" s="21">
        <v>20060368076920</v>
      </c>
      <c r="D2586" s="69" t="s">
        <v>347</v>
      </c>
      <c r="E2586" s="22">
        <v>42</v>
      </c>
      <c r="F2586" s="9"/>
      <c r="G2586" s="14" t="str">
        <f t="shared" si="96"/>
        <v>O</v>
      </c>
      <c r="H2586" s="15">
        <f t="shared" si="95"/>
        <v>21</v>
      </c>
    </row>
    <row r="2587" spans="1:8" x14ac:dyDescent="0.3">
      <c r="A2587" s="19">
        <v>10</v>
      </c>
      <c r="B2587" s="20" t="s">
        <v>689</v>
      </c>
      <c r="C2587" s="21">
        <v>20060368076920</v>
      </c>
      <c r="D2587" s="69" t="s">
        <v>33</v>
      </c>
      <c r="E2587" s="22">
        <v>71</v>
      </c>
      <c r="F2587" s="9"/>
      <c r="G2587" s="14" t="str">
        <f t="shared" si="96"/>
        <v>O</v>
      </c>
      <c r="H2587" s="15">
        <f t="shared" si="95"/>
        <v>35.5</v>
      </c>
    </row>
    <row r="2588" spans="1:8" x14ac:dyDescent="0.3">
      <c r="A2588" s="19">
        <v>1</v>
      </c>
      <c r="B2588" s="20" t="s">
        <v>690</v>
      </c>
      <c r="C2588" s="21">
        <v>20060368076856</v>
      </c>
      <c r="D2588" s="69" t="s">
        <v>463</v>
      </c>
      <c r="E2588" s="22">
        <v>176.9</v>
      </c>
      <c r="F2588" s="9"/>
      <c r="G2588" s="14" t="str">
        <f t="shared" si="96"/>
        <v>O</v>
      </c>
      <c r="H2588" s="15">
        <f t="shared" si="95"/>
        <v>88.45</v>
      </c>
    </row>
    <row r="2589" spans="1:8" x14ac:dyDescent="0.3">
      <c r="A2589" s="19">
        <v>2</v>
      </c>
      <c r="B2589" s="20" t="s">
        <v>690</v>
      </c>
      <c r="C2589" s="21">
        <v>20060368076856</v>
      </c>
      <c r="D2589" s="69" t="s">
        <v>418</v>
      </c>
      <c r="E2589" s="22">
        <v>3.2</v>
      </c>
      <c r="F2589" s="9"/>
      <c r="G2589" s="14" t="str">
        <f t="shared" si="96"/>
        <v>O</v>
      </c>
      <c r="H2589" s="15">
        <f t="shared" si="95"/>
        <v>1.6</v>
      </c>
    </row>
    <row r="2590" spans="1:8" x14ac:dyDescent="0.3">
      <c r="A2590" s="19">
        <v>3</v>
      </c>
      <c r="B2590" s="20" t="s">
        <v>690</v>
      </c>
      <c r="C2590" s="21">
        <v>20060368076856</v>
      </c>
      <c r="D2590" s="69" t="s">
        <v>489</v>
      </c>
      <c r="E2590" s="22">
        <v>3.5</v>
      </c>
      <c r="F2590" s="9"/>
      <c r="G2590" s="14" t="str">
        <f t="shared" si="96"/>
        <v>O</v>
      </c>
      <c r="H2590" s="15">
        <f t="shared" si="95"/>
        <v>1.75</v>
      </c>
    </row>
    <row r="2591" spans="1:8" x14ac:dyDescent="0.3">
      <c r="A2591" s="19">
        <v>4</v>
      </c>
      <c r="B2591" s="20" t="s">
        <v>690</v>
      </c>
      <c r="C2591" s="21">
        <v>20060368076856</v>
      </c>
      <c r="D2591" s="69" t="s">
        <v>178</v>
      </c>
      <c r="E2591" s="22">
        <v>17.7</v>
      </c>
      <c r="F2591" s="9"/>
      <c r="G2591" s="14" t="str">
        <f t="shared" si="96"/>
        <v>O</v>
      </c>
      <c r="H2591" s="15">
        <f t="shared" si="95"/>
        <v>8.85</v>
      </c>
    </row>
    <row r="2592" spans="1:8" x14ac:dyDescent="0.3">
      <c r="A2592" s="19">
        <v>5</v>
      </c>
      <c r="B2592" s="20" t="s">
        <v>690</v>
      </c>
      <c r="C2592" s="21">
        <v>20060368076856</v>
      </c>
      <c r="D2592" s="69" t="s">
        <v>272</v>
      </c>
      <c r="E2592" s="22">
        <v>35.4</v>
      </c>
      <c r="F2592" s="9"/>
      <c r="G2592" s="14" t="str">
        <f t="shared" si="96"/>
        <v>O</v>
      </c>
      <c r="H2592" s="15">
        <f t="shared" si="95"/>
        <v>17.7</v>
      </c>
    </row>
    <row r="2593" spans="1:8" x14ac:dyDescent="0.3">
      <c r="A2593" s="19">
        <v>6</v>
      </c>
      <c r="B2593" s="20" t="s">
        <v>690</v>
      </c>
      <c r="C2593" s="21">
        <v>20060368076856</v>
      </c>
      <c r="D2593" s="69" t="s">
        <v>564</v>
      </c>
      <c r="E2593" s="22">
        <v>30.1</v>
      </c>
      <c r="F2593" s="9"/>
      <c r="G2593" s="14" t="str">
        <f t="shared" si="96"/>
        <v>O</v>
      </c>
      <c r="H2593" s="15">
        <f t="shared" si="95"/>
        <v>15.05</v>
      </c>
    </row>
    <row r="2594" spans="1:8" x14ac:dyDescent="0.3">
      <c r="A2594" s="19">
        <v>7</v>
      </c>
      <c r="B2594" s="20" t="s">
        <v>690</v>
      </c>
      <c r="C2594" s="21">
        <v>20060368076856</v>
      </c>
      <c r="D2594" s="69" t="s">
        <v>528</v>
      </c>
      <c r="E2594" s="22">
        <v>115</v>
      </c>
      <c r="F2594" s="9"/>
      <c r="G2594" s="14" t="str">
        <f t="shared" si="96"/>
        <v>O</v>
      </c>
      <c r="H2594" s="15">
        <f t="shared" si="95"/>
        <v>57.5</v>
      </c>
    </row>
    <row r="2595" spans="1:8" x14ac:dyDescent="0.3">
      <c r="A2595" s="19">
        <v>8</v>
      </c>
      <c r="B2595" s="20" t="s">
        <v>690</v>
      </c>
      <c r="C2595" s="21">
        <v>20060368076856</v>
      </c>
      <c r="D2595" s="69" t="s">
        <v>535</v>
      </c>
      <c r="E2595" s="22">
        <v>70.8</v>
      </c>
      <c r="F2595" s="9"/>
      <c r="G2595" s="14" t="str">
        <f t="shared" si="96"/>
        <v>O</v>
      </c>
      <c r="H2595" s="15">
        <f t="shared" si="95"/>
        <v>35.4</v>
      </c>
    </row>
    <row r="2596" spans="1:8" x14ac:dyDescent="0.3">
      <c r="A2596" s="19">
        <v>9</v>
      </c>
      <c r="B2596" s="20" t="s">
        <v>690</v>
      </c>
      <c r="C2596" s="21">
        <v>20060368076856</v>
      </c>
      <c r="D2596" s="69" t="s">
        <v>573</v>
      </c>
      <c r="E2596" s="22">
        <v>61.9</v>
      </c>
      <c r="F2596" s="9"/>
      <c r="G2596" s="14" t="str">
        <f t="shared" si="96"/>
        <v>O</v>
      </c>
      <c r="H2596" s="15">
        <f t="shared" si="95"/>
        <v>30.95</v>
      </c>
    </row>
    <row r="2597" spans="1:8" x14ac:dyDescent="0.3">
      <c r="A2597" s="19">
        <v>10</v>
      </c>
      <c r="B2597" s="20" t="s">
        <v>690</v>
      </c>
      <c r="C2597" s="21">
        <v>20060368076856</v>
      </c>
      <c r="D2597" s="69" t="s">
        <v>48</v>
      </c>
      <c r="E2597" s="22">
        <v>14.2</v>
      </c>
      <c r="F2597" s="9"/>
      <c r="G2597" s="14" t="str">
        <f t="shared" si="96"/>
        <v>O</v>
      </c>
      <c r="H2597" s="15">
        <f t="shared" si="95"/>
        <v>7.1</v>
      </c>
    </row>
    <row r="2598" spans="1:8" x14ac:dyDescent="0.3">
      <c r="A2598" s="19">
        <v>11</v>
      </c>
      <c r="B2598" s="20" t="s">
        <v>690</v>
      </c>
      <c r="C2598" s="21">
        <v>20060368076856</v>
      </c>
      <c r="D2598" s="69" t="s">
        <v>518</v>
      </c>
      <c r="E2598" s="22">
        <v>21.2</v>
      </c>
      <c r="F2598" s="9"/>
      <c r="G2598" s="14" t="str">
        <f t="shared" si="96"/>
        <v>O</v>
      </c>
      <c r="H2598" s="15">
        <f t="shared" si="95"/>
        <v>10.6</v>
      </c>
    </row>
    <row r="2599" spans="1:8" x14ac:dyDescent="0.3">
      <c r="A2599" s="19">
        <v>12</v>
      </c>
      <c r="B2599" s="20" t="s">
        <v>690</v>
      </c>
      <c r="C2599" s="21">
        <v>20060368076856</v>
      </c>
      <c r="D2599" s="20" t="s">
        <v>295</v>
      </c>
      <c r="E2599" s="22">
        <v>0.1</v>
      </c>
      <c r="F2599" s="9"/>
      <c r="G2599" s="14" t="str">
        <f t="shared" si="96"/>
        <v>O</v>
      </c>
      <c r="H2599" s="15">
        <f t="shared" si="95"/>
        <v>0.05</v>
      </c>
    </row>
    <row r="2600" spans="1:8" x14ac:dyDescent="0.3">
      <c r="A2600" s="19">
        <v>1</v>
      </c>
      <c r="B2600" s="20" t="s">
        <v>691</v>
      </c>
      <c r="C2600" s="21">
        <v>20060368076853</v>
      </c>
      <c r="D2600" s="69" t="s">
        <v>644</v>
      </c>
      <c r="E2600" s="22">
        <v>182.2</v>
      </c>
      <c r="F2600" s="9"/>
      <c r="G2600" s="14" t="str">
        <f t="shared" si="96"/>
        <v>O</v>
      </c>
      <c r="H2600" s="15">
        <f t="shared" si="95"/>
        <v>91.1</v>
      </c>
    </row>
    <row r="2601" spans="1:8" x14ac:dyDescent="0.3">
      <c r="A2601" s="19">
        <v>2</v>
      </c>
      <c r="B2601" s="20" t="s">
        <v>691</v>
      </c>
      <c r="C2601" s="21">
        <v>20060368076853</v>
      </c>
      <c r="D2601" s="69" t="s">
        <v>325</v>
      </c>
      <c r="E2601" s="22">
        <v>3.3</v>
      </c>
      <c r="F2601" s="9"/>
      <c r="G2601" s="14" t="str">
        <f t="shared" si="96"/>
        <v>O</v>
      </c>
      <c r="H2601" s="15">
        <f t="shared" si="95"/>
        <v>1.65</v>
      </c>
    </row>
    <row r="2602" spans="1:8" x14ac:dyDescent="0.3">
      <c r="A2602" s="19">
        <v>3</v>
      </c>
      <c r="B2602" s="20" t="s">
        <v>691</v>
      </c>
      <c r="C2602" s="21">
        <v>20060368076853</v>
      </c>
      <c r="D2602" s="69" t="s">
        <v>645</v>
      </c>
      <c r="E2602" s="22">
        <v>3.6</v>
      </c>
      <c r="F2602" s="9"/>
      <c r="G2602" s="14" t="str">
        <f t="shared" si="96"/>
        <v>O</v>
      </c>
      <c r="H2602" s="15">
        <f t="shared" si="95"/>
        <v>1.8</v>
      </c>
    </row>
    <row r="2603" spans="1:8" x14ac:dyDescent="0.3">
      <c r="A2603" s="19">
        <v>4</v>
      </c>
      <c r="B2603" s="20" t="s">
        <v>691</v>
      </c>
      <c r="C2603" s="21">
        <v>20060368076853</v>
      </c>
      <c r="D2603" s="69" t="s">
        <v>692</v>
      </c>
      <c r="E2603" s="22">
        <v>21.9</v>
      </c>
      <c r="F2603" s="9"/>
      <c r="G2603" s="14" t="str">
        <f t="shared" si="96"/>
        <v>O</v>
      </c>
      <c r="H2603" s="15">
        <f t="shared" si="95"/>
        <v>10.95</v>
      </c>
    </row>
    <row r="2604" spans="1:8" x14ac:dyDescent="0.3">
      <c r="A2604" s="19">
        <v>5</v>
      </c>
      <c r="B2604" s="20" t="s">
        <v>691</v>
      </c>
      <c r="C2604" s="21">
        <v>20060368076853</v>
      </c>
      <c r="D2604" s="69" t="s">
        <v>45</v>
      </c>
      <c r="E2604" s="22">
        <v>51</v>
      </c>
      <c r="F2604" s="9"/>
      <c r="G2604" s="14" t="str">
        <f t="shared" si="96"/>
        <v>O</v>
      </c>
      <c r="H2604" s="15">
        <f t="shared" si="95"/>
        <v>25.5</v>
      </c>
    </row>
    <row r="2605" spans="1:8" x14ac:dyDescent="0.3">
      <c r="A2605" s="19">
        <v>6</v>
      </c>
      <c r="B2605" s="20" t="s">
        <v>691</v>
      </c>
      <c r="C2605" s="21">
        <v>20060368076853</v>
      </c>
      <c r="D2605" s="69" t="s">
        <v>15</v>
      </c>
      <c r="E2605" s="22">
        <v>20</v>
      </c>
      <c r="F2605" s="9"/>
      <c r="G2605" s="14" t="str">
        <f t="shared" si="96"/>
        <v>O</v>
      </c>
      <c r="H2605" s="15">
        <f t="shared" si="95"/>
        <v>10</v>
      </c>
    </row>
    <row r="2606" spans="1:8" x14ac:dyDescent="0.3">
      <c r="A2606" s="19">
        <v>7</v>
      </c>
      <c r="B2606" s="20" t="s">
        <v>691</v>
      </c>
      <c r="C2606" s="21">
        <v>20060368076853</v>
      </c>
      <c r="D2606" s="69" t="s">
        <v>649</v>
      </c>
      <c r="E2606" s="22">
        <v>100</v>
      </c>
      <c r="F2606" s="9"/>
      <c r="G2606" s="14" t="str">
        <f t="shared" si="96"/>
        <v>O</v>
      </c>
      <c r="H2606" s="15">
        <f t="shared" si="95"/>
        <v>50</v>
      </c>
    </row>
    <row r="2607" spans="1:8" x14ac:dyDescent="0.3">
      <c r="A2607" s="19">
        <v>8</v>
      </c>
      <c r="B2607" s="20" t="s">
        <v>691</v>
      </c>
      <c r="C2607" s="21">
        <v>20060368076853</v>
      </c>
      <c r="D2607" s="69" t="s">
        <v>647</v>
      </c>
      <c r="E2607" s="22">
        <v>3.6</v>
      </c>
      <c r="F2607" s="9"/>
      <c r="G2607" s="14" t="str">
        <f t="shared" si="96"/>
        <v>O</v>
      </c>
      <c r="H2607" s="15">
        <f t="shared" si="95"/>
        <v>1.8</v>
      </c>
    </row>
    <row r="2608" spans="1:8" x14ac:dyDescent="0.3">
      <c r="A2608" s="19">
        <v>9</v>
      </c>
      <c r="B2608" s="20" t="s">
        <v>691</v>
      </c>
      <c r="C2608" s="21">
        <v>20060368076853</v>
      </c>
      <c r="D2608" s="69" t="s">
        <v>519</v>
      </c>
      <c r="E2608" s="22">
        <v>72.900000000000006</v>
      </c>
      <c r="F2608" s="9"/>
      <c r="G2608" s="14" t="str">
        <f t="shared" si="96"/>
        <v>O</v>
      </c>
      <c r="H2608" s="15">
        <f t="shared" si="95"/>
        <v>36.450000000000003</v>
      </c>
    </row>
    <row r="2609" spans="1:8" x14ac:dyDescent="0.3">
      <c r="A2609" s="19">
        <v>10</v>
      </c>
      <c r="B2609" s="20" t="s">
        <v>691</v>
      </c>
      <c r="C2609" s="21">
        <v>20060368076853</v>
      </c>
      <c r="D2609" s="69" t="s">
        <v>693</v>
      </c>
      <c r="E2609" s="22">
        <v>54.7</v>
      </c>
      <c r="F2609" s="9"/>
      <c r="G2609" s="14" t="str">
        <f t="shared" si="96"/>
        <v>O</v>
      </c>
      <c r="H2609" s="15">
        <f t="shared" si="95"/>
        <v>27.35</v>
      </c>
    </row>
    <row r="2610" spans="1:8" x14ac:dyDescent="0.3">
      <c r="A2610" s="19">
        <v>11</v>
      </c>
      <c r="B2610" s="20" t="s">
        <v>691</v>
      </c>
      <c r="C2610" s="21">
        <v>20060368076853</v>
      </c>
      <c r="D2610" s="69" t="s">
        <v>48</v>
      </c>
      <c r="E2610" s="22">
        <v>14.6</v>
      </c>
      <c r="F2610" s="9"/>
      <c r="G2610" s="14" t="str">
        <f t="shared" si="96"/>
        <v>O</v>
      </c>
      <c r="H2610" s="15">
        <f t="shared" si="95"/>
        <v>7.3</v>
      </c>
    </row>
    <row r="2611" spans="1:8" x14ac:dyDescent="0.3">
      <c r="A2611" s="19">
        <v>12</v>
      </c>
      <c r="B2611" s="20" t="s">
        <v>691</v>
      </c>
      <c r="C2611" s="21">
        <v>20060368076853</v>
      </c>
      <c r="D2611" s="69" t="s">
        <v>518</v>
      </c>
      <c r="E2611" s="22">
        <v>21.9</v>
      </c>
      <c r="F2611" s="9"/>
      <c r="G2611" s="14" t="str">
        <f t="shared" si="96"/>
        <v>O</v>
      </c>
      <c r="H2611" s="15">
        <f t="shared" si="95"/>
        <v>10.95</v>
      </c>
    </row>
    <row r="2612" spans="1:8" x14ac:dyDescent="0.3">
      <c r="A2612" s="19">
        <v>13</v>
      </c>
      <c r="B2612" s="20" t="s">
        <v>691</v>
      </c>
      <c r="C2612" s="21">
        <v>20060368076853</v>
      </c>
      <c r="D2612" s="20" t="s">
        <v>295</v>
      </c>
      <c r="E2612" s="22">
        <v>0.1</v>
      </c>
      <c r="F2612" s="9"/>
      <c r="G2612" s="14" t="str">
        <f t="shared" si="96"/>
        <v>O</v>
      </c>
      <c r="H2612" s="15">
        <f t="shared" si="95"/>
        <v>0.05</v>
      </c>
    </row>
    <row r="2613" spans="1:8" x14ac:dyDescent="0.3">
      <c r="A2613" s="19">
        <v>1</v>
      </c>
      <c r="B2613" s="20" t="s">
        <v>694</v>
      </c>
      <c r="C2613" s="21">
        <v>20060368076611</v>
      </c>
      <c r="D2613" s="69" t="s">
        <v>325</v>
      </c>
      <c r="E2613" s="22">
        <v>2.8</v>
      </c>
      <c r="F2613" s="9"/>
      <c r="G2613" s="14" t="str">
        <f t="shared" si="96"/>
        <v>O</v>
      </c>
      <c r="H2613" s="15">
        <f t="shared" ref="H2613:H2676" si="97">E2613/2</f>
        <v>1.4</v>
      </c>
    </row>
    <row r="2614" spans="1:8" x14ac:dyDescent="0.3">
      <c r="A2614" s="19">
        <v>2</v>
      </c>
      <c r="B2614" s="20" t="s">
        <v>694</v>
      </c>
      <c r="C2614" s="21">
        <v>20060368076611</v>
      </c>
      <c r="D2614" s="69" t="s">
        <v>644</v>
      </c>
      <c r="E2614" s="22">
        <v>128.19999999999999</v>
      </c>
      <c r="F2614" s="9"/>
      <c r="G2614" s="14" t="str">
        <f t="shared" si="96"/>
        <v>O</v>
      </c>
      <c r="H2614" s="15">
        <f t="shared" si="97"/>
        <v>64.099999999999994</v>
      </c>
    </row>
    <row r="2615" spans="1:8" x14ac:dyDescent="0.3">
      <c r="A2615" s="19">
        <v>3</v>
      </c>
      <c r="B2615" s="20" t="s">
        <v>694</v>
      </c>
      <c r="C2615" s="21">
        <v>20060368076611</v>
      </c>
      <c r="D2615" s="69" t="s">
        <v>172</v>
      </c>
      <c r="E2615" s="22">
        <v>7.8</v>
      </c>
      <c r="F2615" s="9"/>
      <c r="G2615" s="14" t="str">
        <f t="shared" si="96"/>
        <v>O</v>
      </c>
      <c r="H2615" s="15">
        <f t="shared" si="97"/>
        <v>3.9</v>
      </c>
    </row>
    <row r="2616" spans="1:8" x14ac:dyDescent="0.3">
      <c r="A2616" s="19">
        <v>4</v>
      </c>
      <c r="B2616" s="20" t="s">
        <v>694</v>
      </c>
      <c r="C2616" s="21">
        <v>20060368076611</v>
      </c>
      <c r="D2616" s="69" t="s">
        <v>519</v>
      </c>
      <c r="E2616" s="22">
        <v>66</v>
      </c>
      <c r="F2616" s="9"/>
      <c r="G2616" s="14" t="str">
        <f t="shared" si="96"/>
        <v>O</v>
      </c>
      <c r="H2616" s="15">
        <f t="shared" si="97"/>
        <v>33</v>
      </c>
    </row>
    <row r="2617" spans="1:8" x14ac:dyDescent="0.3">
      <c r="A2617" s="19">
        <v>5</v>
      </c>
      <c r="B2617" s="20" t="s">
        <v>694</v>
      </c>
      <c r="C2617" s="21">
        <v>20060368076611</v>
      </c>
      <c r="D2617" s="69" t="s">
        <v>649</v>
      </c>
      <c r="E2617" s="22">
        <v>97.1</v>
      </c>
      <c r="F2617" s="9"/>
      <c r="G2617" s="14" t="str">
        <f t="shared" si="96"/>
        <v>O</v>
      </c>
      <c r="H2617" s="15">
        <f t="shared" si="97"/>
        <v>48.55</v>
      </c>
    </row>
    <row r="2618" spans="1:8" x14ac:dyDescent="0.3">
      <c r="A2618" s="19">
        <v>6</v>
      </c>
      <c r="B2618" s="20" t="s">
        <v>694</v>
      </c>
      <c r="C2618" s="21">
        <v>20060368076611</v>
      </c>
      <c r="D2618" s="69" t="s">
        <v>645</v>
      </c>
      <c r="E2618" s="22">
        <v>5.4</v>
      </c>
      <c r="F2618" s="9"/>
      <c r="G2618" s="14" t="str">
        <f t="shared" si="96"/>
        <v>O</v>
      </c>
      <c r="H2618" s="15">
        <f t="shared" si="97"/>
        <v>2.7</v>
      </c>
    </row>
    <row r="2619" spans="1:8" x14ac:dyDescent="0.3">
      <c r="A2619" s="19">
        <v>7</v>
      </c>
      <c r="B2619" s="20" t="s">
        <v>694</v>
      </c>
      <c r="C2619" s="21">
        <v>20060368076611</v>
      </c>
      <c r="D2619" s="69" t="s">
        <v>675</v>
      </c>
      <c r="E2619" s="22">
        <v>70</v>
      </c>
      <c r="F2619" s="9"/>
      <c r="G2619" s="14" t="str">
        <f t="shared" si="96"/>
        <v>O</v>
      </c>
      <c r="H2619" s="15">
        <f t="shared" si="97"/>
        <v>35</v>
      </c>
    </row>
    <row r="2620" spans="1:8" x14ac:dyDescent="0.3">
      <c r="A2620" s="19">
        <v>8</v>
      </c>
      <c r="B2620" s="20" t="s">
        <v>694</v>
      </c>
      <c r="C2620" s="21">
        <v>20060368076611</v>
      </c>
      <c r="D2620" s="69" t="s">
        <v>318</v>
      </c>
      <c r="E2620" s="22">
        <v>30</v>
      </c>
      <c r="F2620" s="9"/>
      <c r="G2620" s="14" t="str">
        <f t="shared" si="96"/>
        <v>O</v>
      </c>
      <c r="H2620" s="15">
        <f t="shared" si="97"/>
        <v>15</v>
      </c>
    </row>
    <row r="2621" spans="1:8" x14ac:dyDescent="0.3">
      <c r="A2621" s="19">
        <v>1</v>
      </c>
      <c r="B2621" s="54" t="s">
        <v>695</v>
      </c>
      <c r="C2621" s="21">
        <v>20060368076850</v>
      </c>
      <c r="D2621" s="69" t="s">
        <v>325</v>
      </c>
      <c r="E2621" s="22">
        <v>4.7</v>
      </c>
      <c r="F2621" s="9"/>
      <c r="G2621" s="14" t="str">
        <f t="shared" ref="G2621:G2684" si="98">IF(D2621="","",IF(COUNTIF(I:I,D2621)&gt;0,"O","X"))</f>
        <v>O</v>
      </c>
      <c r="H2621" s="15">
        <f t="shared" si="97"/>
        <v>2.35</v>
      </c>
    </row>
    <row r="2622" spans="1:8" x14ac:dyDescent="0.3">
      <c r="A2622" s="19">
        <v>2</v>
      </c>
      <c r="B2622" s="54" t="s">
        <v>695</v>
      </c>
      <c r="C2622" s="21">
        <v>20060368076850</v>
      </c>
      <c r="D2622" s="69" t="s">
        <v>644</v>
      </c>
      <c r="E2622" s="22">
        <v>215</v>
      </c>
      <c r="F2622" s="9"/>
      <c r="G2622" s="14" t="str">
        <f t="shared" si="98"/>
        <v>O</v>
      </c>
      <c r="H2622" s="15">
        <f t="shared" si="97"/>
        <v>107.5</v>
      </c>
    </row>
    <row r="2623" spans="1:8" x14ac:dyDescent="0.3">
      <c r="A2623" s="19">
        <v>3</v>
      </c>
      <c r="B2623" s="54" t="s">
        <v>695</v>
      </c>
      <c r="C2623" s="21">
        <v>20060368076850</v>
      </c>
      <c r="D2623" s="69" t="s">
        <v>172</v>
      </c>
      <c r="E2623" s="22">
        <v>13</v>
      </c>
      <c r="F2623" s="9"/>
      <c r="G2623" s="14" t="str">
        <f t="shared" si="98"/>
        <v>O</v>
      </c>
      <c r="H2623" s="15">
        <f t="shared" si="97"/>
        <v>6.5</v>
      </c>
    </row>
    <row r="2624" spans="1:8" x14ac:dyDescent="0.3">
      <c r="A2624" s="19">
        <v>4</v>
      </c>
      <c r="B2624" s="54" t="s">
        <v>695</v>
      </c>
      <c r="C2624" s="21">
        <v>20060368076850</v>
      </c>
      <c r="D2624" s="69" t="s">
        <v>519</v>
      </c>
      <c r="E2624" s="22">
        <v>110.7</v>
      </c>
      <c r="F2624" s="9"/>
      <c r="G2624" s="14" t="str">
        <f t="shared" si="98"/>
        <v>O</v>
      </c>
      <c r="H2624" s="15">
        <f t="shared" si="97"/>
        <v>55.35</v>
      </c>
    </row>
    <row r="2625" spans="1:8" x14ac:dyDescent="0.3">
      <c r="A2625" s="19">
        <v>5</v>
      </c>
      <c r="B2625" s="54" t="s">
        <v>695</v>
      </c>
      <c r="C2625" s="21">
        <v>20060368076850</v>
      </c>
      <c r="D2625" s="69" t="s">
        <v>649</v>
      </c>
      <c r="E2625" s="22">
        <v>162.9</v>
      </c>
      <c r="F2625" s="9"/>
      <c r="G2625" s="14" t="str">
        <f t="shared" si="98"/>
        <v>O</v>
      </c>
      <c r="H2625" s="15">
        <f t="shared" si="97"/>
        <v>81.45</v>
      </c>
    </row>
    <row r="2626" spans="1:8" x14ac:dyDescent="0.3">
      <c r="A2626" s="19">
        <v>6</v>
      </c>
      <c r="B2626" s="54" t="s">
        <v>695</v>
      </c>
      <c r="C2626" s="21">
        <v>20060368076850</v>
      </c>
      <c r="D2626" s="69" t="s">
        <v>645</v>
      </c>
      <c r="E2626" s="22">
        <v>9.1</v>
      </c>
      <c r="F2626" s="9"/>
      <c r="G2626" s="14" t="str">
        <f t="shared" si="98"/>
        <v>O</v>
      </c>
      <c r="H2626" s="15">
        <f t="shared" si="97"/>
        <v>4.55</v>
      </c>
    </row>
    <row r="2627" spans="1:8" x14ac:dyDescent="0.3">
      <c r="A2627" s="19">
        <v>7</v>
      </c>
      <c r="B2627" s="54" t="s">
        <v>695</v>
      </c>
      <c r="C2627" s="21">
        <v>20060368076850</v>
      </c>
      <c r="D2627" s="69" t="s">
        <v>45</v>
      </c>
      <c r="E2627" s="22">
        <v>35.1</v>
      </c>
      <c r="F2627" s="9"/>
      <c r="G2627" s="14" t="str">
        <f t="shared" si="98"/>
        <v>O</v>
      </c>
      <c r="H2627" s="15">
        <f t="shared" si="97"/>
        <v>17.55</v>
      </c>
    </row>
    <row r="2628" spans="1:8" x14ac:dyDescent="0.3">
      <c r="A2628" s="19">
        <v>8</v>
      </c>
      <c r="B2628" s="54" t="s">
        <v>695</v>
      </c>
      <c r="C2628" s="21">
        <v>20060368076850</v>
      </c>
      <c r="D2628" s="69" t="s">
        <v>323</v>
      </c>
      <c r="E2628" s="22">
        <v>12</v>
      </c>
      <c r="F2628" s="9"/>
      <c r="G2628" s="14" t="str">
        <f t="shared" si="98"/>
        <v>O</v>
      </c>
      <c r="H2628" s="15">
        <f t="shared" si="97"/>
        <v>6</v>
      </c>
    </row>
    <row r="2629" spans="1:8" x14ac:dyDescent="0.3">
      <c r="A2629" s="19">
        <v>1</v>
      </c>
      <c r="B2629" s="79" t="s">
        <v>696</v>
      </c>
      <c r="C2629" s="21">
        <v>20060368076851</v>
      </c>
      <c r="D2629" s="69" t="s">
        <v>644</v>
      </c>
      <c r="E2629" s="22">
        <v>248.1</v>
      </c>
      <c r="F2629" s="9"/>
      <c r="G2629" s="14" t="str">
        <f t="shared" si="98"/>
        <v>O</v>
      </c>
      <c r="H2629" s="15">
        <f t="shared" si="97"/>
        <v>124.05</v>
      </c>
    </row>
    <row r="2630" spans="1:8" x14ac:dyDescent="0.3">
      <c r="A2630" s="19">
        <v>2</v>
      </c>
      <c r="B2630" s="79" t="s">
        <v>696</v>
      </c>
      <c r="C2630" s="21">
        <v>20060368076851</v>
      </c>
      <c r="D2630" s="69" t="s">
        <v>649</v>
      </c>
      <c r="E2630" s="22">
        <v>187.9</v>
      </c>
      <c r="F2630" s="9"/>
      <c r="G2630" s="14" t="str">
        <f t="shared" si="98"/>
        <v>O</v>
      </c>
      <c r="H2630" s="15">
        <f t="shared" si="97"/>
        <v>93.95</v>
      </c>
    </row>
    <row r="2631" spans="1:8" x14ac:dyDescent="0.3">
      <c r="A2631" s="19">
        <v>3</v>
      </c>
      <c r="B2631" s="79" t="s">
        <v>696</v>
      </c>
      <c r="C2631" s="21">
        <v>20060368076851</v>
      </c>
      <c r="D2631" s="69" t="s">
        <v>519</v>
      </c>
      <c r="E2631" s="22">
        <v>127.8</v>
      </c>
      <c r="F2631" s="9"/>
      <c r="G2631" s="14" t="str">
        <f t="shared" si="98"/>
        <v>O</v>
      </c>
      <c r="H2631" s="15">
        <f t="shared" si="97"/>
        <v>63.9</v>
      </c>
    </row>
    <row r="2632" spans="1:8" x14ac:dyDescent="0.3">
      <c r="A2632" s="19">
        <v>4</v>
      </c>
      <c r="B2632" s="79" t="s">
        <v>696</v>
      </c>
      <c r="C2632" s="21">
        <v>20060368076851</v>
      </c>
      <c r="D2632" s="69" t="s">
        <v>45</v>
      </c>
      <c r="E2632" s="22">
        <v>37.5</v>
      </c>
      <c r="F2632" s="9"/>
      <c r="G2632" s="14" t="str">
        <f t="shared" si="98"/>
        <v>O</v>
      </c>
      <c r="H2632" s="15">
        <f t="shared" si="97"/>
        <v>18.75</v>
      </c>
    </row>
    <row r="2633" spans="1:8" x14ac:dyDescent="0.3">
      <c r="A2633" s="19">
        <v>5</v>
      </c>
      <c r="B2633" s="79" t="s">
        <v>696</v>
      </c>
      <c r="C2633" s="21">
        <v>20060368076851</v>
      </c>
      <c r="D2633" s="69" t="s">
        <v>172</v>
      </c>
      <c r="E2633" s="22">
        <v>15</v>
      </c>
      <c r="F2633" s="9"/>
      <c r="G2633" s="14" t="str">
        <f t="shared" si="98"/>
        <v>O</v>
      </c>
      <c r="H2633" s="15">
        <f t="shared" si="97"/>
        <v>7.5</v>
      </c>
    </row>
    <row r="2634" spans="1:8" x14ac:dyDescent="0.3">
      <c r="A2634" s="19">
        <v>6</v>
      </c>
      <c r="B2634" s="79" t="s">
        <v>696</v>
      </c>
      <c r="C2634" s="21">
        <v>20060368076851</v>
      </c>
      <c r="D2634" s="69" t="s">
        <v>323</v>
      </c>
      <c r="E2634" s="22">
        <v>10.5</v>
      </c>
      <c r="F2634" s="9"/>
      <c r="G2634" s="14" t="str">
        <f t="shared" si="98"/>
        <v>O</v>
      </c>
      <c r="H2634" s="15">
        <f t="shared" si="97"/>
        <v>5.25</v>
      </c>
    </row>
    <row r="2635" spans="1:8" x14ac:dyDescent="0.3">
      <c r="A2635" s="19">
        <v>7</v>
      </c>
      <c r="B2635" s="79" t="s">
        <v>696</v>
      </c>
      <c r="C2635" s="21">
        <v>20060368076851</v>
      </c>
      <c r="D2635" s="69" t="s">
        <v>645</v>
      </c>
      <c r="E2635" s="22">
        <v>10.5</v>
      </c>
      <c r="F2635" s="9"/>
      <c r="G2635" s="14" t="str">
        <f t="shared" si="98"/>
        <v>O</v>
      </c>
      <c r="H2635" s="15">
        <f t="shared" si="97"/>
        <v>5.25</v>
      </c>
    </row>
    <row r="2636" spans="1:8" x14ac:dyDescent="0.3">
      <c r="A2636" s="19">
        <v>8</v>
      </c>
      <c r="B2636" s="79" t="s">
        <v>696</v>
      </c>
      <c r="C2636" s="21">
        <v>20060368076851</v>
      </c>
      <c r="D2636" s="69" t="s">
        <v>325</v>
      </c>
      <c r="E2636" s="22">
        <v>5.4</v>
      </c>
      <c r="F2636" s="9"/>
      <c r="G2636" s="14" t="str">
        <f t="shared" si="98"/>
        <v>O</v>
      </c>
      <c r="H2636" s="15">
        <f t="shared" si="97"/>
        <v>2.7</v>
      </c>
    </row>
    <row r="2637" spans="1:8" x14ac:dyDescent="0.3">
      <c r="A2637" s="19">
        <v>1</v>
      </c>
      <c r="B2637" s="20" t="s">
        <v>697</v>
      </c>
      <c r="C2637" s="21">
        <v>20060368076880</v>
      </c>
      <c r="D2637" s="20" t="s">
        <v>284</v>
      </c>
      <c r="E2637" s="22">
        <v>160.9</v>
      </c>
      <c r="F2637" s="9"/>
      <c r="G2637" s="14" t="str">
        <f t="shared" si="98"/>
        <v>O</v>
      </c>
      <c r="H2637" s="15">
        <f t="shared" si="97"/>
        <v>80.45</v>
      </c>
    </row>
    <row r="2638" spans="1:8" x14ac:dyDescent="0.3">
      <c r="A2638" s="19">
        <v>2</v>
      </c>
      <c r="B2638" s="20" t="s">
        <v>697</v>
      </c>
      <c r="C2638" s="21">
        <v>20060368076880</v>
      </c>
      <c r="D2638" s="69" t="s">
        <v>159</v>
      </c>
      <c r="E2638" s="22">
        <v>3.2</v>
      </c>
      <c r="F2638" s="9"/>
      <c r="G2638" s="14" t="str">
        <f t="shared" si="98"/>
        <v>O</v>
      </c>
      <c r="H2638" s="15">
        <f t="shared" si="97"/>
        <v>1.6</v>
      </c>
    </row>
    <row r="2639" spans="1:8" x14ac:dyDescent="0.3">
      <c r="A2639" s="19">
        <v>3</v>
      </c>
      <c r="B2639" s="20" t="s">
        <v>697</v>
      </c>
      <c r="C2639" s="21">
        <v>20060368076880</v>
      </c>
      <c r="D2639" s="69" t="s">
        <v>459</v>
      </c>
      <c r="E2639" s="22">
        <v>32.200000000000003</v>
      </c>
      <c r="F2639" s="9"/>
      <c r="G2639" s="14" t="str">
        <f t="shared" si="98"/>
        <v>O</v>
      </c>
      <c r="H2639" s="15">
        <f t="shared" si="97"/>
        <v>16.100000000000001</v>
      </c>
    </row>
    <row r="2640" spans="1:8" x14ac:dyDescent="0.3">
      <c r="A2640" s="19">
        <v>4</v>
      </c>
      <c r="B2640" s="20" t="s">
        <v>697</v>
      </c>
      <c r="C2640" s="21">
        <v>20060368076880</v>
      </c>
      <c r="D2640" s="20" t="s">
        <v>295</v>
      </c>
      <c r="E2640" s="22">
        <v>0.4</v>
      </c>
      <c r="F2640" s="9"/>
      <c r="G2640" s="14" t="str">
        <f t="shared" si="98"/>
        <v>O</v>
      </c>
      <c r="H2640" s="15">
        <f t="shared" si="97"/>
        <v>0.2</v>
      </c>
    </row>
    <row r="2641" spans="1:8" x14ac:dyDescent="0.3">
      <c r="A2641" s="19">
        <v>5</v>
      </c>
      <c r="B2641" s="20" t="s">
        <v>697</v>
      </c>
      <c r="C2641" s="21">
        <v>20060368076880</v>
      </c>
      <c r="D2641" s="69" t="s">
        <v>645</v>
      </c>
      <c r="E2641" s="22">
        <v>4.8</v>
      </c>
      <c r="F2641" s="9"/>
      <c r="G2641" s="14" t="str">
        <f t="shared" si="98"/>
        <v>O</v>
      </c>
      <c r="H2641" s="15">
        <f t="shared" si="97"/>
        <v>2.4</v>
      </c>
    </row>
    <row r="2642" spans="1:8" x14ac:dyDescent="0.3">
      <c r="A2642" s="19">
        <v>6</v>
      </c>
      <c r="B2642" s="20" t="s">
        <v>697</v>
      </c>
      <c r="C2642" s="21">
        <v>20060368076880</v>
      </c>
      <c r="D2642" s="69" t="s">
        <v>649</v>
      </c>
      <c r="E2642" s="22">
        <v>134.1</v>
      </c>
      <c r="F2642" s="9"/>
      <c r="G2642" s="14" t="str">
        <f t="shared" si="98"/>
        <v>O</v>
      </c>
      <c r="H2642" s="15">
        <f t="shared" si="97"/>
        <v>67.05</v>
      </c>
    </row>
    <row r="2643" spans="1:8" x14ac:dyDescent="0.3">
      <c r="A2643" s="19">
        <v>7</v>
      </c>
      <c r="B2643" s="20" t="s">
        <v>697</v>
      </c>
      <c r="C2643" s="21">
        <v>20060368076880</v>
      </c>
      <c r="D2643" s="69" t="s">
        <v>492</v>
      </c>
      <c r="E2643" s="22">
        <v>8</v>
      </c>
      <c r="F2643" s="9"/>
      <c r="G2643" s="14" t="str">
        <f t="shared" si="98"/>
        <v>O</v>
      </c>
      <c r="H2643" s="15">
        <f t="shared" si="97"/>
        <v>4</v>
      </c>
    </row>
    <row r="2644" spans="1:8" x14ac:dyDescent="0.3">
      <c r="A2644" s="19">
        <v>8</v>
      </c>
      <c r="B2644" s="20" t="s">
        <v>697</v>
      </c>
      <c r="C2644" s="21">
        <v>20060368076880</v>
      </c>
      <c r="D2644" s="69" t="s">
        <v>325</v>
      </c>
      <c r="E2644" s="22">
        <v>3</v>
      </c>
      <c r="F2644" s="9"/>
      <c r="G2644" s="14" t="str">
        <f t="shared" si="98"/>
        <v>O</v>
      </c>
      <c r="H2644" s="15">
        <f t="shared" si="97"/>
        <v>1.5</v>
      </c>
    </row>
    <row r="2645" spans="1:8" x14ac:dyDescent="0.3">
      <c r="A2645" s="19">
        <v>9</v>
      </c>
      <c r="B2645" s="20" t="s">
        <v>697</v>
      </c>
      <c r="C2645" s="21">
        <v>20060368076880</v>
      </c>
      <c r="D2645" s="69" t="s">
        <v>166</v>
      </c>
      <c r="E2645" s="22">
        <v>43</v>
      </c>
      <c r="F2645" s="9"/>
      <c r="G2645" s="14" t="str">
        <f t="shared" si="98"/>
        <v>O</v>
      </c>
      <c r="H2645" s="15">
        <f t="shared" si="97"/>
        <v>21.5</v>
      </c>
    </row>
    <row r="2646" spans="1:8" x14ac:dyDescent="0.3">
      <c r="A2646" s="19">
        <v>10</v>
      </c>
      <c r="B2646" s="20" t="s">
        <v>697</v>
      </c>
      <c r="C2646" s="21">
        <v>20060368076880</v>
      </c>
      <c r="D2646" s="69" t="s">
        <v>368</v>
      </c>
      <c r="E2646" s="22">
        <v>43</v>
      </c>
      <c r="F2646" s="9"/>
      <c r="G2646" s="14" t="str">
        <f t="shared" si="98"/>
        <v>O</v>
      </c>
      <c r="H2646" s="15">
        <f t="shared" si="97"/>
        <v>21.5</v>
      </c>
    </row>
    <row r="2647" spans="1:8" x14ac:dyDescent="0.3">
      <c r="A2647" s="19">
        <v>11</v>
      </c>
      <c r="B2647" s="20" t="s">
        <v>697</v>
      </c>
      <c r="C2647" s="21">
        <v>20060368076880</v>
      </c>
      <c r="D2647" s="69" t="s">
        <v>698</v>
      </c>
      <c r="E2647" s="22">
        <v>35</v>
      </c>
      <c r="F2647" s="9"/>
      <c r="G2647" s="14" t="str">
        <f t="shared" si="98"/>
        <v>O</v>
      </c>
      <c r="H2647" s="15">
        <f t="shared" si="97"/>
        <v>17.5</v>
      </c>
    </row>
    <row r="2648" spans="1:8" x14ac:dyDescent="0.3">
      <c r="A2648" s="19">
        <v>12</v>
      </c>
      <c r="B2648" s="20" t="s">
        <v>697</v>
      </c>
      <c r="C2648" s="21">
        <v>20060368076880</v>
      </c>
      <c r="D2648" s="69" t="s">
        <v>699</v>
      </c>
      <c r="E2648" s="22">
        <v>30</v>
      </c>
      <c r="F2648" s="9"/>
      <c r="G2648" s="14" t="str">
        <f t="shared" si="98"/>
        <v>O</v>
      </c>
      <c r="H2648" s="15">
        <f t="shared" si="97"/>
        <v>15</v>
      </c>
    </row>
    <row r="2649" spans="1:8" x14ac:dyDescent="0.3">
      <c r="A2649" s="19">
        <v>13</v>
      </c>
      <c r="B2649" s="20" t="s">
        <v>697</v>
      </c>
      <c r="C2649" s="21">
        <v>20060368076880</v>
      </c>
      <c r="D2649" s="69" t="s">
        <v>700</v>
      </c>
      <c r="E2649" s="22">
        <v>4</v>
      </c>
      <c r="F2649" s="9"/>
      <c r="G2649" s="14" t="str">
        <f t="shared" si="98"/>
        <v>O</v>
      </c>
      <c r="H2649" s="15">
        <f t="shared" si="97"/>
        <v>2</v>
      </c>
    </row>
    <row r="2650" spans="1:8" x14ac:dyDescent="0.3">
      <c r="A2650" s="23">
        <v>1</v>
      </c>
      <c r="B2650" s="20" t="s">
        <v>701</v>
      </c>
      <c r="C2650" s="21">
        <v>20060368076902</v>
      </c>
      <c r="D2650" s="20" t="s">
        <v>284</v>
      </c>
      <c r="E2650" s="22">
        <v>169.1</v>
      </c>
      <c r="F2650" s="9"/>
      <c r="G2650" s="14" t="str">
        <f t="shared" si="98"/>
        <v>O</v>
      </c>
      <c r="H2650" s="15">
        <f t="shared" si="97"/>
        <v>84.55</v>
      </c>
    </row>
    <row r="2651" spans="1:8" x14ac:dyDescent="0.3">
      <c r="A2651" s="19">
        <v>2</v>
      </c>
      <c r="B2651" s="20" t="s">
        <v>701</v>
      </c>
      <c r="C2651" s="21">
        <v>20060368076902</v>
      </c>
      <c r="D2651" s="69" t="s">
        <v>159</v>
      </c>
      <c r="E2651" s="22">
        <v>3.4</v>
      </c>
      <c r="F2651" s="9"/>
      <c r="G2651" s="14" t="str">
        <f t="shared" si="98"/>
        <v>O</v>
      </c>
      <c r="H2651" s="15">
        <f t="shared" si="97"/>
        <v>1.7</v>
      </c>
    </row>
    <row r="2652" spans="1:8" x14ac:dyDescent="0.3">
      <c r="A2652" s="19">
        <v>3</v>
      </c>
      <c r="B2652" s="20" t="s">
        <v>701</v>
      </c>
      <c r="C2652" s="21">
        <v>20060368076902</v>
      </c>
      <c r="D2652" s="69" t="s">
        <v>459</v>
      </c>
      <c r="E2652" s="22">
        <v>33.799999999999997</v>
      </c>
      <c r="F2652" s="9"/>
      <c r="G2652" s="14" t="str">
        <f t="shared" si="98"/>
        <v>O</v>
      </c>
      <c r="H2652" s="15">
        <f t="shared" si="97"/>
        <v>16.899999999999999</v>
      </c>
    </row>
    <row r="2653" spans="1:8" x14ac:dyDescent="0.3">
      <c r="A2653" s="19">
        <v>4</v>
      </c>
      <c r="B2653" s="20" t="s">
        <v>701</v>
      </c>
      <c r="C2653" s="21">
        <v>20060368076902</v>
      </c>
      <c r="D2653" s="20" t="s">
        <v>295</v>
      </c>
      <c r="E2653" s="22">
        <v>0.5</v>
      </c>
      <c r="F2653" s="9"/>
      <c r="G2653" s="14" t="str">
        <f t="shared" si="98"/>
        <v>O</v>
      </c>
      <c r="H2653" s="15">
        <f t="shared" si="97"/>
        <v>0.25</v>
      </c>
    </row>
    <row r="2654" spans="1:8" x14ac:dyDescent="0.3">
      <c r="A2654" s="19">
        <v>5</v>
      </c>
      <c r="B2654" s="20" t="s">
        <v>701</v>
      </c>
      <c r="C2654" s="21">
        <v>20060368076902</v>
      </c>
      <c r="D2654" s="69" t="s">
        <v>645</v>
      </c>
      <c r="E2654" s="22">
        <v>5.0999999999999996</v>
      </c>
      <c r="F2654" s="9"/>
      <c r="G2654" s="14" t="str">
        <f t="shared" si="98"/>
        <v>O</v>
      </c>
      <c r="H2654" s="15">
        <f t="shared" si="97"/>
        <v>2.5499999999999998</v>
      </c>
    </row>
    <row r="2655" spans="1:8" x14ac:dyDescent="0.3">
      <c r="A2655" s="19">
        <v>6</v>
      </c>
      <c r="B2655" s="20" t="s">
        <v>701</v>
      </c>
      <c r="C2655" s="21">
        <v>20060368076902</v>
      </c>
      <c r="D2655" s="69" t="s">
        <v>649</v>
      </c>
      <c r="E2655" s="22">
        <v>140.9</v>
      </c>
      <c r="F2655" s="9"/>
      <c r="G2655" s="14" t="str">
        <f t="shared" si="98"/>
        <v>O</v>
      </c>
      <c r="H2655" s="15">
        <f t="shared" si="97"/>
        <v>70.45</v>
      </c>
    </row>
    <row r="2656" spans="1:8" x14ac:dyDescent="0.3">
      <c r="A2656" s="19">
        <v>7</v>
      </c>
      <c r="B2656" s="20" t="s">
        <v>701</v>
      </c>
      <c r="C2656" s="21">
        <v>20060368076902</v>
      </c>
      <c r="D2656" s="69" t="s">
        <v>492</v>
      </c>
      <c r="E2656" s="22">
        <v>8.5</v>
      </c>
      <c r="F2656" s="9"/>
      <c r="G2656" s="14" t="str">
        <f t="shared" si="98"/>
        <v>O</v>
      </c>
      <c r="H2656" s="15">
        <f t="shared" si="97"/>
        <v>4.25</v>
      </c>
    </row>
    <row r="2657" spans="1:8" x14ac:dyDescent="0.3">
      <c r="A2657" s="19">
        <v>8</v>
      </c>
      <c r="B2657" s="20" t="s">
        <v>701</v>
      </c>
      <c r="C2657" s="21">
        <v>20060368076902</v>
      </c>
      <c r="D2657" s="69" t="s">
        <v>325</v>
      </c>
      <c r="E2657" s="22">
        <v>2.9</v>
      </c>
      <c r="F2657" s="9"/>
      <c r="G2657" s="14" t="str">
        <f t="shared" si="98"/>
        <v>O</v>
      </c>
      <c r="H2657" s="15">
        <f t="shared" si="97"/>
        <v>1.45</v>
      </c>
    </row>
    <row r="2658" spans="1:8" x14ac:dyDescent="0.3">
      <c r="A2658" s="19">
        <v>9</v>
      </c>
      <c r="B2658" s="20" t="s">
        <v>701</v>
      </c>
      <c r="C2658" s="21">
        <v>20060368076902</v>
      </c>
      <c r="D2658" s="69" t="s">
        <v>272</v>
      </c>
      <c r="E2658" s="22">
        <v>45</v>
      </c>
      <c r="F2658" s="9"/>
      <c r="G2658" s="14" t="str">
        <f t="shared" si="98"/>
        <v>O</v>
      </c>
      <c r="H2658" s="15">
        <f t="shared" si="97"/>
        <v>22.5</v>
      </c>
    </row>
    <row r="2659" spans="1:8" x14ac:dyDescent="0.3">
      <c r="A2659" s="19">
        <v>10</v>
      </c>
      <c r="B2659" s="20" t="s">
        <v>701</v>
      </c>
      <c r="C2659" s="21">
        <v>20060368076902</v>
      </c>
      <c r="D2659" s="69" t="s">
        <v>305</v>
      </c>
      <c r="E2659" s="22">
        <v>45</v>
      </c>
      <c r="F2659" s="9"/>
      <c r="G2659" s="14" t="str">
        <f t="shared" si="98"/>
        <v>O</v>
      </c>
      <c r="H2659" s="15">
        <f t="shared" si="97"/>
        <v>22.5</v>
      </c>
    </row>
    <row r="2660" spans="1:8" x14ac:dyDescent="0.3">
      <c r="A2660" s="19">
        <v>11</v>
      </c>
      <c r="B2660" s="20" t="s">
        <v>701</v>
      </c>
      <c r="C2660" s="21">
        <v>20060368076902</v>
      </c>
      <c r="D2660" s="69" t="s">
        <v>301</v>
      </c>
      <c r="E2660" s="22">
        <v>30.5</v>
      </c>
      <c r="F2660" s="9"/>
      <c r="G2660" s="14" t="str">
        <f t="shared" si="98"/>
        <v>O</v>
      </c>
      <c r="H2660" s="15">
        <f t="shared" si="97"/>
        <v>15.25</v>
      </c>
    </row>
    <row r="2661" spans="1:8" x14ac:dyDescent="0.3">
      <c r="A2661" s="19">
        <v>12</v>
      </c>
      <c r="B2661" s="20" t="s">
        <v>701</v>
      </c>
      <c r="C2661" s="21">
        <v>20060368076902</v>
      </c>
      <c r="D2661" s="69" t="s">
        <v>303</v>
      </c>
      <c r="E2661" s="22">
        <v>20</v>
      </c>
      <c r="F2661" s="9"/>
      <c r="G2661" s="14" t="str">
        <f t="shared" si="98"/>
        <v>O</v>
      </c>
      <c r="H2661" s="15">
        <f t="shared" si="97"/>
        <v>10</v>
      </c>
    </row>
    <row r="2662" spans="1:8" x14ac:dyDescent="0.3">
      <c r="A2662" s="19">
        <v>1</v>
      </c>
      <c r="B2662" s="20" t="s">
        <v>702</v>
      </c>
      <c r="C2662" s="21">
        <v>20060368076878</v>
      </c>
      <c r="D2662" s="20" t="s">
        <v>284</v>
      </c>
      <c r="E2662" s="22">
        <v>77.2</v>
      </c>
      <c r="F2662" s="9"/>
      <c r="G2662" s="14" t="str">
        <f t="shared" si="98"/>
        <v>O</v>
      </c>
      <c r="H2662" s="15">
        <f t="shared" si="97"/>
        <v>38.6</v>
      </c>
    </row>
    <row r="2663" spans="1:8" x14ac:dyDescent="0.3">
      <c r="A2663" s="19">
        <v>2</v>
      </c>
      <c r="B2663" s="20" t="s">
        <v>702</v>
      </c>
      <c r="C2663" s="21">
        <v>20060368076878</v>
      </c>
      <c r="D2663" s="69" t="s">
        <v>646</v>
      </c>
      <c r="E2663" s="22">
        <v>39</v>
      </c>
      <c r="F2663" s="9"/>
      <c r="G2663" s="14" t="str">
        <f t="shared" si="98"/>
        <v>O</v>
      </c>
      <c r="H2663" s="15">
        <f t="shared" si="97"/>
        <v>19.5</v>
      </c>
    </row>
    <row r="2664" spans="1:8" x14ac:dyDescent="0.3">
      <c r="A2664" s="19">
        <v>3</v>
      </c>
      <c r="B2664" s="20" t="s">
        <v>702</v>
      </c>
      <c r="C2664" s="21">
        <v>20060368076878</v>
      </c>
      <c r="D2664" s="69" t="s">
        <v>650</v>
      </c>
      <c r="E2664" s="22">
        <v>6</v>
      </c>
      <c r="F2664" s="9"/>
      <c r="G2664" s="14" t="str">
        <f t="shared" si="98"/>
        <v>O</v>
      </c>
      <c r="H2664" s="15">
        <f t="shared" si="97"/>
        <v>3</v>
      </c>
    </row>
    <row r="2665" spans="1:8" x14ac:dyDescent="0.3">
      <c r="A2665" s="19">
        <v>4</v>
      </c>
      <c r="B2665" s="20" t="s">
        <v>702</v>
      </c>
      <c r="C2665" s="21">
        <v>20060368076878</v>
      </c>
      <c r="D2665" s="69" t="s">
        <v>649</v>
      </c>
      <c r="E2665" s="22">
        <v>21</v>
      </c>
      <c r="F2665" s="9"/>
      <c r="G2665" s="14" t="str">
        <f t="shared" si="98"/>
        <v>O</v>
      </c>
      <c r="H2665" s="15">
        <f t="shared" si="97"/>
        <v>10.5</v>
      </c>
    </row>
    <row r="2666" spans="1:8" x14ac:dyDescent="0.3">
      <c r="A2666" s="19">
        <v>5</v>
      </c>
      <c r="B2666" s="20" t="s">
        <v>702</v>
      </c>
      <c r="C2666" s="21">
        <v>20060368076878</v>
      </c>
      <c r="D2666" s="69" t="s">
        <v>662</v>
      </c>
      <c r="E2666" s="22">
        <v>64.3</v>
      </c>
      <c r="F2666" s="9"/>
      <c r="G2666" s="14" t="str">
        <f t="shared" si="98"/>
        <v>O</v>
      </c>
      <c r="H2666" s="15">
        <f t="shared" si="97"/>
        <v>32.15</v>
      </c>
    </row>
    <row r="2667" spans="1:8" x14ac:dyDescent="0.3">
      <c r="A2667" s="19">
        <v>6</v>
      </c>
      <c r="B2667" s="20" t="s">
        <v>702</v>
      </c>
      <c r="C2667" s="21">
        <v>20060368076878</v>
      </c>
      <c r="D2667" s="69" t="s">
        <v>159</v>
      </c>
      <c r="E2667" s="22">
        <v>9.6</v>
      </c>
      <c r="F2667" s="9"/>
      <c r="G2667" s="14" t="str">
        <f t="shared" si="98"/>
        <v>O</v>
      </c>
      <c r="H2667" s="15">
        <f t="shared" si="97"/>
        <v>4.8</v>
      </c>
    </row>
    <row r="2668" spans="1:8" x14ac:dyDescent="0.3">
      <c r="A2668" s="19">
        <v>7</v>
      </c>
      <c r="B2668" s="20" t="s">
        <v>702</v>
      </c>
      <c r="C2668" s="21">
        <v>20060368076878</v>
      </c>
      <c r="D2668" s="69" t="s">
        <v>645</v>
      </c>
      <c r="E2668" s="22">
        <v>2.4</v>
      </c>
      <c r="F2668" s="9"/>
      <c r="G2668" s="14" t="str">
        <f t="shared" si="98"/>
        <v>O</v>
      </c>
      <c r="H2668" s="15">
        <f t="shared" si="97"/>
        <v>1.2</v>
      </c>
    </row>
    <row r="2669" spans="1:8" x14ac:dyDescent="0.3">
      <c r="A2669" s="19">
        <v>8</v>
      </c>
      <c r="B2669" s="20" t="s">
        <v>702</v>
      </c>
      <c r="C2669" s="21">
        <v>20060368076878</v>
      </c>
      <c r="D2669" s="69" t="s">
        <v>325</v>
      </c>
      <c r="E2669" s="22">
        <v>1.4</v>
      </c>
      <c r="F2669" s="9"/>
      <c r="G2669" s="14" t="str">
        <f t="shared" si="98"/>
        <v>O</v>
      </c>
      <c r="H2669" s="15">
        <f t="shared" si="97"/>
        <v>0.7</v>
      </c>
    </row>
    <row r="2670" spans="1:8" x14ac:dyDescent="0.3">
      <c r="A2670" s="19">
        <v>1</v>
      </c>
      <c r="B2670" s="20" t="s">
        <v>703</v>
      </c>
      <c r="C2670" s="21">
        <v>20060368076924</v>
      </c>
      <c r="D2670" s="20" t="s">
        <v>284</v>
      </c>
      <c r="E2670" s="22">
        <v>252.7</v>
      </c>
      <c r="F2670" s="9"/>
      <c r="G2670" s="14" t="str">
        <f t="shared" si="98"/>
        <v>O</v>
      </c>
      <c r="H2670" s="15">
        <f t="shared" si="97"/>
        <v>126.35</v>
      </c>
    </row>
    <row r="2671" spans="1:8" x14ac:dyDescent="0.3">
      <c r="A2671" s="19">
        <v>2</v>
      </c>
      <c r="B2671" s="20" t="s">
        <v>703</v>
      </c>
      <c r="C2671" s="21">
        <v>20060368076924</v>
      </c>
      <c r="D2671" s="69" t="s">
        <v>206</v>
      </c>
      <c r="E2671" s="22">
        <v>63.2</v>
      </c>
      <c r="F2671" s="9"/>
      <c r="G2671" s="14" t="str">
        <f t="shared" si="98"/>
        <v>O</v>
      </c>
      <c r="H2671" s="15">
        <f t="shared" si="97"/>
        <v>31.6</v>
      </c>
    </row>
    <row r="2672" spans="1:8" x14ac:dyDescent="0.3">
      <c r="A2672" s="19">
        <v>3</v>
      </c>
      <c r="B2672" s="20" t="s">
        <v>703</v>
      </c>
      <c r="C2672" s="21">
        <v>20060368076924</v>
      </c>
      <c r="D2672" s="69" t="s">
        <v>325</v>
      </c>
      <c r="E2672" s="22">
        <v>5.0999999999999996</v>
      </c>
      <c r="F2672" s="9"/>
      <c r="G2672" s="14" t="str">
        <f t="shared" si="98"/>
        <v>O</v>
      </c>
      <c r="H2672" s="15">
        <f t="shared" si="97"/>
        <v>2.5499999999999998</v>
      </c>
    </row>
    <row r="2673" spans="1:8" x14ac:dyDescent="0.3">
      <c r="A2673" s="19">
        <v>4</v>
      </c>
      <c r="B2673" s="20" t="s">
        <v>703</v>
      </c>
      <c r="C2673" s="21">
        <v>20060368076924</v>
      </c>
      <c r="D2673" s="69" t="s">
        <v>645</v>
      </c>
      <c r="E2673" s="22">
        <v>5.87</v>
      </c>
      <c r="F2673" s="9"/>
      <c r="G2673" s="14" t="str">
        <f t="shared" si="98"/>
        <v>O</v>
      </c>
      <c r="H2673" s="15">
        <f t="shared" si="97"/>
        <v>2.9350000000000001</v>
      </c>
    </row>
    <row r="2674" spans="1:8" x14ac:dyDescent="0.3">
      <c r="A2674" s="19">
        <v>5</v>
      </c>
      <c r="B2674" s="20" t="s">
        <v>703</v>
      </c>
      <c r="C2674" s="21">
        <v>20060368076924</v>
      </c>
      <c r="D2674" s="69" t="s">
        <v>459</v>
      </c>
      <c r="E2674" s="22">
        <v>31.6</v>
      </c>
      <c r="F2674" s="9"/>
      <c r="G2674" s="14" t="str">
        <f t="shared" si="98"/>
        <v>O</v>
      </c>
      <c r="H2674" s="15">
        <f t="shared" si="97"/>
        <v>15.8</v>
      </c>
    </row>
    <row r="2675" spans="1:8" x14ac:dyDescent="0.3">
      <c r="A2675" s="19">
        <v>6</v>
      </c>
      <c r="B2675" s="20" t="s">
        <v>703</v>
      </c>
      <c r="C2675" s="21">
        <v>20060368076924</v>
      </c>
      <c r="D2675" s="20" t="s">
        <v>295</v>
      </c>
      <c r="E2675" s="22">
        <v>0.6</v>
      </c>
      <c r="F2675" s="9"/>
      <c r="G2675" s="14" t="str">
        <f t="shared" si="98"/>
        <v>O</v>
      </c>
      <c r="H2675" s="15">
        <f t="shared" si="97"/>
        <v>0.3</v>
      </c>
    </row>
    <row r="2676" spans="1:8" x14ac:dyDescent="0.3">
      <c r="A2676" s="19">
        <v>7</v>
      </c>
      <c r="B2676" s="20" t="s">
        <v>703</v>
      </c>
      <c r="C2676" s="21">
        <v>20060368076924</v>
      </c>
      <c r="D2676" s="69" t="s">
        <v>218</v>
      </c>
      <c r="E2676" s="22">
        <v>2.5</v>
      </c>
      <c r="F2676" s="9"/>
      <c r="G2676" s="14" t="str">
        <f t="shared" si="98"/>
        <v>O</v>
      </c>
      <c r="H2676" s="15">
        <f t="shared" si="97"/>
        <v>1.25</v>
      </c>
    </row>
    <row r="2677" spans="1:8" x14ac:dyDescent="0.3">
      <c r="A2677" s="19">
        <v>8</v>
      </c>
      <c r="B2677" s="20" t="s">
        <v>703</v>
      </c>
      <c r="C2677" s="21">
        <v>20060368076924</v>
      </c>
      <c r="D2677" s="69" t="s">
        <v>649</v>
      </c>
      <c r="E2677" s="22">
        <v>208.5</v>
      </c>
      <c r="F2677" s="9"/>
      <c r="G2677" s="14" t="str">
        <f t="shared" si="98"/>
        <v>O</v>
      </c>
      <c r="H2677" s="15">
        <f t="shared" ref="H2677:H2740" si="99">E2677/2</f>
        <v>104.25</v>
      </c>
    </row>
    <row r="2678" spans="1:8" x14ac:dyDescent="0.3">
      <c r="A2678" s="80">
        <v>1</v>
      </c>
      <c r="B2678" s="81" t="s">
        <v>704</v>
      </c>
      <c r="C2678" s="82">
        <v>20060368076925</v>
      </c>
      <c r="D2678" s="83" t="s">
        <v>644</v>
      </c>
      <c r="E2678" s="84">
        <v>169.7</v>
      </c>
      <c r="F2678" s="9"/>
      <c r="G2678" s="14" t="str">
        <f t="shared" si="98"/>
        <v>O</v>
      </c>
      <c r="H2678" s="15">
        <f t="shared" si="99"/>
        <v>84.85</v>
      </c>
    </row>
    <row r="2679" spans="1:8" x14ac:dyDescent="0.3">
      <c r="A2679" s="80">
        <v>2</v>
      </c>
      <c r="B2679" s="81" t="s">
        <v>704</v>
      </c>
      <c r="C2679" s="82">
        <v>20060368076925</v>
      </c>
      <c r="D2679" s="83" t="s">
        <v>325</v>
      </c>
      <c r="E2679" s="84">
        <v>4.4000000000000004</v>
      </c>
      <c r="F2679" s="9"/>
      <c r="G2679" s="14" t="str">
        <f t="shared" si="98"/>
        <v>O</v>
      </c>
      <c r="H2679" s="15">
        <f t="shared" si="99"/>
        <v>2.2000000000000002</v>
      </c>
    </row>
    <row r="2680" spans="1:8" x14ac:dyDescent="0.3">
      <c r="A2680" s="80">
        <v>3</v>
      </c>
      <c r="B2680" s="81" t="s">
        <v>704</v>
      </c>
      <c r="C2680" s="82">
        <v>20060368076925</v>
      </c>
      <c r="D2680" s="83" t="s">
        <v>645</v>
      </c>
      <c r="E2680" s="84">
        <v>3.4</v>
      </c>
      <c r="F2680" s="9"/>
      <c r="G2680" s="14" t="str">
        <f t="shared" si="98"/>
        <v>O</v>
      </c>
      <c r="H2680" s="15">
        <f t="shared" si="99"/>
        <v>1.7</v>
      </c>
    </row>
    <row r="2681" spans="1:8" x14ac:dyDescent="0.3">
      <c r="A2681" s="80">
        <v>4</v>
      </c>
      <c r="B2681" s="81" t="s">
        <v>704</v>
      </c>
      <c r="C2681" s="82">
        <v>20060368076925</v>
      </c>
      <c r="D2681" s="83" t="s">
        <v>157</v>
      </c>
      <c r="E2681" s="84">
        <v>10.199999999999999</v>
      </c>
      <c r="F2681" s="9"/>
      <c r="G2681" s="14" t="str">
        <f t="shared" si="98"/>
        <v>O</v>
      </c>
      <c r="H2681" s="15">
        <f t="shared" si="99"/>
        <v>5.0999999999999996</v>
      </c>
    </row>
    <row r="2682" spans="1:8" x14ac:dyDescent="0.3">
      <c r="A2682" s="80">
        <v>5</v>
      </c>
      <c r="B2682" s="81" t="s">
        <v>704</v>
      </c>
      <c r="C2682" s="82">
        <v>20060368076925</v>
      </c>
      <c r="D2682" s="83" t="s">
        <v>649</v>
      </c>
      <c r="E2682" s="84">
        <v>22.4</v>
      </c>
      <c r="F2682" s="9"/>
      <c r="G2682" s="14" t="str">
        <f t="shared" si="98"/>
        <v>O</v>
      </c>
      <c r="H2682" s="15">
        <f t="shared" si="99"/>
        <v>11.2</v>
      </c>
    </row>
    <row r="2683" spans="1:8" x14ac:dyDescent="0.3">
      <c r="A2683" s="80">
        <v>6</v>
      </c>
      <c r="B2683" s="81" t="s">
        <v>704</v>
      </c>
      <c r="C2683" s="82">
        <v>20060368076925</v>
      </c>
      <c r="D2683" s="83" t="s">
        <v>705</v>
      </c>
      <c r="E2683" s="84">
        <v>72.599999999999994</v>
      </c>
      <c r="F2683" s="9"/>
      <c r="G2683" s="14" t="str">
        <f t="shared" si="98"/>
        <v>O</v>
      </c>
      <c r="H2683" s="15">
        <f t="shared" si="99"/>
        <v>36.299999999999997</v>
      </c>
    </row>
    <row r="2684" spans="1:8" x14ac:dyDescent="0.3">
      <c r="A2684" s="80">
        <v>7</v>
      </c>
      <c r="B2684" s="81" t="s">
        <v>704</v>
      </c>
      <c r="C2684" s="82">
        <v>20060368076925</v>
      </c>
      <c r="D2684" s="83" t="s">
        <v>647</v>
      </c>
      <c r="E2684" s="84">
        <v>1.4</v>
      </c>
      <c r="F2684" s="9"/>
      <c r="G2684" s="14" t="str">
        <f t="shared" si="98"/>
        <v>O</v>
      </c>
      <c r="H2684" s="15">
        <f t="shared" si="99"/>
        <v>0.7</v>
      </c>
    </row>
    <row r="2685" spans="1:8" x14ac:dyDescent="0.3">
      <c r="A2685" s="80">
        <v>8</v>
      </c>
      <c r="B2685" s="81" t="s">
        <v>704</v>
      </c>
      <c r="C2685" s="82">
        <v>20060368076925</v>
      </c>
      <c r="D2685" s="83" t="s">
        <v>706</v>
      </c>
      <c r="E2685" s="84">
        <v>8.5</v>
      </c>
      <c r="F2685" s="9"/>
      <c r="G2685" s="14" t="str">
        <f t="shared" ref="G2685:G2748" si="100">IF(D2685="","",IF(COUNTIF(I:I,D2685)&gt;0,"O","X"))</f>
        <v>O</v>
      </c>
      <c r="H2685" s="15">
        <f t="shared" si="99"/>
        <v>4.25</v>
      </c>
    </row>
    <row r="2686" spans="1:8" x14ac:dyDescent="0.3">
      <c r="A2686" s="80">
        <v>9</v>
      </c>
      <c r="B2686" s="81" t="s">
        <v>704</v>
      </c>
      <c r="C2686" s="82">
        <v>20060368076925</v>
      </c>
      <c r="D2686" s="83" t="s">
        <v>519</v>
      </c>
      <c r="E2686" s="84">
        <v>51</v>
      </c>
      <c r="F2686" s="9"/>
      <c r="G2686" s="14" t="str">
        <f t="shared" si="100"/>
        <v>O</v>
      </c>
      <c r="H2686" s="15">
        <f t="shared" si="99"/>
        <v>25.5</v>
      </c>
    </row>
    <row r="2687" spans="1:8" x14ac:dyDescent="0.3">
      <c r="A2687" s="80">
        <v>10</v>
      </c>
      <c r="B2687" s="81" t="s">
        <v>704</v>
      </c>
      <c r="C2687" s="82">
        <v>20060368076925</v>
      </c>
      <c r="D2687" s="83" t="s">
        <v>707</v>
      </c>
      <c r="E2687" s="84">
        <v>7</v>
      </c>
      <c r="F2687" s="9"/>
      <c r="G2687" s="14" t="str">
        <f t="shared" si="100"/>
        <v>O</v>
      </c>
      <c r="H2687" s="15">
        <f t="shared" si="99"/>
        <v>3.5</v>
      </c>
    </row>
    <row r="2688" spans="1:8" x14ac:dyDescent="0.3">
      <c r="A2688" s="80">
        <v>11</v>
      </c>
      <c r="B2688" s="81" t="s">
        <v>704</v>
      </c>
      <c r="C2688" s="82">
        <v>20060368076925</v>
      </c>
      <c r="D2688" s="83" t="s">
        <v>45</v>
      </c>
      <c r="E2688" s="84">
        <v>10</v>
      </c>
      <c r="F2688" s="9"/>
      <c r="G2688" s="14" t="str">
        <f t="shared" si="100"/>
        <v>O</v>
      </c>
      <c r="H2688" s="15">
        <f t="shared" si="99"/>
        <v>5</v>
      </c>
    </row>
    <row r="2689" spans="1:8" x14ac:dyDescent="0.3">
      <c r="A2689" s="80">
        <v>12</v>
      </c>
      <c r="B2689" s="81" t="s">
        <v>704</v>
      </c>
      <c r="C2689" s="82">
        <v>20060368076925</v>
      </c>
      <c r="D2689" s="83" t="s">
        <v>662</v>
      </c>
      <c r="E2689" s="84">
        <v>170</v>
      </c>
      <c r="F2689" s="9"/>
      <c r="G2689" s="14" t="str">
        <f t="shared" si="100"/>
        <v>O</v>
      </c>
      <c r="H2689" s="15">
        <f t="shared" si="99"/>
        <v>85</v>
      </c>
    </row>
    <row r="2690" spans="1:8" x14ac:dyDescent="0.3">
      <c r="A2690" s="19">
        <v>1</v>
      </c>
      <c r="B2690" s="39" t="s">
        <v>708</v>
      </c>
      <c r="C2690" s="40">
        <v>20060368076847</v>
      </c>
      <c r="D2690" s="67" t="s">
        <v>644</v>
      </c>
      <c r="E2690" s="41">
        <v>281.5</v>
      </c>
      <c r="F2690" s="9"/>
      <c r="G2690" s="14" t="str">
        <f t="shared" si="100"/>
        <v>O</v>
      </c>
      <c r="H2690" s="15">
        <f t="shared" si="99"/>
        <v>140.75</v>
      </c>
    </row>
    <row r="2691" spans="1:8" x14ac:dyDescent="0.3">
      <c r="A2691" s="19">
        <v>2</v>
      </c>
      <c r="B2691" s="39" t="s">
        <v>708</v>
      </c>
      <c r="C2691" s="40">
        <v>20060368076847</v>
      </c>
      <c r="D2691" s="67" t="s">
        <v>325</v>
      </c>
      <c r="E2691" s="41">
        <v>5.0999999999999996</v>
      </c>
      <c r="F2691" s="9"/>
      <c r="G2691" s="14" t="str">
        <f t="shared" si="100"/>
        <v>O</v>
      </c>
      <c r="H2691" s="15">
        <f t="shared" si="99"/>
        <v>2.5499999999999998</v>
      </c>
    </row>
    <row r="2692" spans="1:8" x14ac:dyDescent="0.3">
      <c r="A2692" s="19">
        <v>3</v>
      </c>
      <c r="B2692" s="39" t="s">
        <v>708</v>
      </c>
      <c r="C2692" s="40">
        <v>20060368076847</v>
      </c>
      <c r="D2692" s="67" t="s">
        <v>645</v>
      </c>
      <c r="E2692" s="41">
        <v>6.7</v>
      </c>
      <c r="F2692" s="9"/>
      <c r="G2692" s="14" t="str">
        <f t="shared" si="100"/>
        <v>O</v>
      </c>
      <c r="H2692" s="15">
        <f t="shared" si="99"/>
        <v>3.35</v>
      </c>
    </row>
    <row r="2693" spans="1:8" x14ac:dyDescent="0.3">
      <c r="A2693" s="19">
        <v>4</v>
      </c>
      <c r="B2693" s="39" t="s">
        <v>708</v>
      </c>
      <c r="C2693" s="40">
        <v>20060368076847</v>
      </c>
      <c r="D2693" s="67" t="s">
        <v>60</v>
      </c>
      <c r="E2693" s="41">
        <v>16.8</v>
      </c>
      <c r="F2693" s="9"/>
      <c r="G2693" s="14" t="str">
        <f t="shared" si="100"/>
        <v>O</v>
      </c>
      <c r="H2693" s="15">
        <f t="shared" si="99"/>
        <v>8.4</v>
      </c>
    </row>
    <row r="2694" spans="1:8" x14ac:dyDescent="0.3">
      <c r="A2694" s="19">
        <v>5</v>
      </c>
      <c r="B2694" s="39" t="s">
        <v>708</v>
      </c>
      <c r="C2694" s="40">
        <v>20060368076847</v>
      </c>
      <c r="D2694" s="67" t="s">
        <v>646</v>
      </c>
      <c r="E2694" s="41">
        <v>56.2</v>
      </c>
      <c r="F2694" s="9"/>
      <c r="G2694" s="14" t="str">
        <f t="shared" si="100"/>
        <v>O</v>
      </c>
      <c r="H2694" s="15">
        <f t="shared" si="99"/>
        <v>28.1</v>
      </c>
    </row>
    <row r="2695" spans="1:8" x14ac:dyDescent="0.3">
      <c r="A2695" s="19">
        <v>6</v>
      </c>
      <c r="B2695" s="39" t="s">
        <v>708</v>
      </c>
      <c r="C2695" s="40">
        <v>20060368076847</v>
      </c>
      <c r="D2695" s="67" t="s">
        <v>647</v>
      </c>
      <c r="E2695" s="41">
        <v>1</v>
      </c>
      <c r="F2695" s="9"/>
      <c r="G2695" s="14" t="str">
        <f t="shared" si="100"/>
        <v>O</v>
      </c>
      <c r="H2695" s="15">
        <f t="shared" si="99"/>
        <v>0.5</v>
      </c>
    </row>
    <row r="2696" spans="1:8" x14ac:dyDescent="0.3">
      <c r="A2696" s="19">
        <v>7</v>
      </c>
      <c r="B2696" s="39" t="s">
        <v>708</v>
      </c>
      <c r="C2696" s="40">
        <v>20060368076847</v>
      </c>
      <c r="D2696" s="67" t="s">
        <v>648</v>
      </c>
      <c r="E2696" s="41">
        <v>43.7</v>
      </c>
      <c r="F2696" s="9"/>
      <c r="G2696" s="14" t="str">
        <f t="shared" si="100"/>
        <v>O</v>
      </c>
      <c r="H2696" s="15">
        <f t="shared" si="99"/>
        <v>21.85</v>
      </c>
    </row>
    <row r="2697" spans="1:8" x14ac:dyDescent="0.3">
      <c r="A2697" s="19">
        <v>8</v>
      </c>
      <c r="B2697" s="39" t="s">
        <v>708</v>
      </c>
      <c r="C2697" s="40">
        <v>20060368076847</v>
      </c>
      <c r="D2697" s="39" t="s">
        <v>114</v>
      </c>
      <c r="E2697" s="41">
        <v>56.2</v>
      </c>
      <c r="F2697" s="9"/>
      <c r="G2697" s="14" t="str">
        <f t="shared" si="100"/>
        <v>O</v>
      </c>
      <c r="H2697" s="15">
        <f t="shared" si="99"/>
        <v>28.1</v>
      </c>
    </row>
    <row r="2698" spans="1:8" x14ac:dyDescent="0.3">
      <c r="A2698" s="19">
        <v>9</v>
      </c>
      <c r="B2698" s="39" t="s">
        <v>708</v>
      </c>
      <c r="C2698" s="40">
        <v>20060368076847</v>
      </c>
      <c r="D2698" s="67" t="s">
        <v>518</v>
      </c>
      <c r="E2698" s="41">
        <v>50.8</v>
      </c>
      <c r="F2698" s="9"/>
      <c r="G2698" s="14" t="str">
        <f t="shared" si="100"/>
        <v>O</v>
      </c>
      <c r="H2698" s="15">
        <f t="shared" si="99"/>
        <v>25.4</v>
      </c>
    </row>
    <row r="2699" spans="1:8" x14ac:dyDescent="0.3">
      <c r="A2699" s="19">
        <v>10</v>
      </c>
      <c r="B2699" s="39" t="s">
        <v>708</v>
      </c>
      <c r="C2699" s="40">
        <v>20060368076847</v>
      </c>
      <c r="D2699" s="67" t="s">
        <v>650</v>
      </c>
      <c r="E2699" s="41">
        <v>45.1</v>
      </c>
      <c r="F2699" s="9"/>
      <c r="G2699" s="14" t="str">
        <f t="shared" si="100"/>
        <v>O</v>
      </c>
      <c r="H2699" s="15">
        <f t="shared" si="99"/>
        <v>22.55</v>
      </c>
    </row>
    <row r="2700" spans="1:8" x14ac:dyDescent="0.3">
      <c r="A2700" s="19">
        <v>11</v>
      </c>
      <c r="B2700" s="39" t="s">
        <v>708</v>
      </c>
      <c r="C2700" s="40">
        <v>20060368076847</v>
      </c>
      <c r="D2700" s="67" t="s">
        <v>669</v>
      </c>
      <c r="E2700" s="41">
        <v>3.4</v>
      </c>
      <c r="F2700" s="9"/>
      <c r="G2700" s="14" t="str">
        <f t="shared" si="100"/>
        <v>O</v>
      </c>
      <c r="H2700" s="15">
        <f t="shared" si="99"/>
        <v>1.7</v>
      </c>
    </row>
    <row r="2701" spans="1:8" x14ac:dyDescent="0.3">
      <c r="A2701" s="19">
        <v>12</v>
      </c>
      <c r="B2701" s="39" t="s">
        <v>708</v>
      </c>
      <c r="C2701" s="40">
        <v>20060368076847</v>
      </c>
      <c r="D2701" s="67" t="s">
        <v>519</v>
      </c>
      <c r="E2701" s="41">
        <v>33.6</v>
      </c>
      <c r="F2701" s="9"/>
      <c r="G2701" s="14" t="str">
        <f t="shared" si="100"/>
        <v>O</v>
      </c>
      <c r="H2701" s="15">
        <f t="shared" si="99"/>
        <v>16.8</v>
      </c>
    </row>
    <row r="2702" spans="1:8" x14ac:dyDescent="0.3">
      <c r="A2702" s="19">
        <v>1</v>
      </c>
      <c r="B2702" s="26" t="s">
        <v>709</v>
      </c>
      <c r="C2702" s="27">
        <v>20060368076837</v>
      </c>
      <c r="D2702" s="68" t="s">
        <v>644</v>
      </c>
      <c r="E2702" s="28">
        <v>221.5</v>
      </c>
      <c r="F2702" s="9"/>
      <c r="G2702" s="14" t="str">
        <f t="shared" si="100"/>
        <v>O</v>
      </c>
      <c r="H2702" s="15">
        <f t="shared" si="99"/>
        <v>110.75</v>
      </c>
    </row>
    <row r="2703" spans="1:8" x14ac:dyDescent="0.3">
      <c r="A2703" s="19">
        <v>2</v>
      </c>
      <c r="B2703" s="26" t="s">
        <v>709</v>
      </c>
      <c r="C2703" s="27">
        <v>20060368076837</v>
      </c>
      <c r="D2703" s="68" t="s">
        <v>551</v>
      </c>
      <c r="E2703" s="28">
        <v>221.5</v>
      </c>
      <c r="F2703" s="9"/>
      <c r="G2703" s="14" t="str">
        <f t="shared" si="100"/>
        <v>O</v>
      </c>
      <c r="H2703" s="15">
        <f t="shared" si="99"/>
        <v>110.75</v>
      </c>
    </row>
    <row r="2704" spans="1:8" x14ac:dyDescent="0.3">
      <c r="A2704" s="19">
        <v>3</v>
      </c>
      <c r="B2704" s="26" t="s">
        <v>709</v>
      </c>
      <c r="C2704" s="27">
        <v>20060368076837</v>
      </c>
      <c r="D2704" s="68" t="s">
        <v>710</v>
      </c>
      <c r="E2704" s="28">
        <v>13.3</v>
      </c>
      <c r="F2704" s="9"/>
      <c r="G2704" s="14" t="str">
        <f t="shared" si="100"/>
        <v>O</v>
      </c>
      <c r="H2704" s="15">
        <f t="shared" si="99"/>
        <v>6.65</v>
      </c>
    </row>
    <row r="2705" spans="1:8" x14ac:dyDescent="0.3">
      <c r="A2705" s="19">
        <v>4</v>
      </c>
      <c r="B2705" s="26" t="s">
        <v>709</v>
      </c>
      <c r="C2705" s="27">
        <v>20060368076837</v>
      </c>
      <c r="D2705" s="68" t="s">
        <v>325</v>
      </c>
      <c r="E2705" s="28">
        <v>6</v>
      </c>
      <c r="F2705" s="9"/>
      <c r="G2705" s="14" t="str">
        <f t="shared" si="100"/>
        <v>O</v>
      </c>
      <c r="H2705" s="15">
        <f t="shared" si="99"/>
        <v>3</v>
      </c>
    </row>
    <row r="2706" spans="1:8" x14ac:dyDescent="0.3">
      <c r="A2706" s="19">
        <v>5</v>
      </c>
      <c r="B2706" s="26" t="s">
        <v>709</v>
      </c>
      <c r="C2706" s="27">
        <v>20060368076837</v>
      </c>
      <c r="D2706" s="68" t="s">
        <v>645</v>
      </c>
      <c r="E2706" s="28">
        <v>5.5</v>
      </c>
      <c r="F2706" s="9"/>
      <c r="G2706" s="14" t="str">
        <f t="shared" si="100"/>
        <v>O</v>
      </c>
      <c r="H2706" s="15">
        <f t="shared" si="99"/>
        <v>2.75</v>
      </c>
    </row>
    <row r="2707" spans="1:8" x14ac:dyDescent="0.3">
      <c r="A2707" s="19">
        <v>6</v>
      </c>
      <c r="B2707" s="26" t="s">
        <v>709</v>
      </c>
      <c r="C2707" s="27">
        <v>20060368076837</v>
      </c>
      <c r="D2707" s="68" t="s">
        <v>649</v>
      </c>
      <c r="E2707" s="28">
        <v>124</v>
      </c>
      <c r="F2707" s="9"/>
      <c r="G2707" s="14" t="str">
        <f t="shared" si="100"/>
        <v>O</v>
      </c>
      <c r="H2707" s="15">
        <f t="shared" si="99"/>
        <v>62</v>
      </c>
    </row>
    <row r="2708" spans="1:8" x14ac:dyDescent="0.3">
      <c r="A2708" s="19">
        <v>7</v>
      </c>
      <c r="B2708" s="26" t="s">
        <v>709</v>
      </c>
      <c r="C2708" s="27">
        <v>20060368076837</v>
      </c>
      <c r="D2708" s="68" t="s">
        <v>647</v>
      </c>
      <c r="E2708" s="28">
        <v>1.8</v>
      </c>
      <c r="F2708" s="9"/>
      <c r="G2708" s="14" t="str">
        <f t="shared" si="100"/>
        <v>O</v>
      </c>
      <c r="H2708" s="15">
        <f t="shared" si="99"/>
        <v>0.9</v>
      </c>
    </row>
    <row r="2709" spans="1:8" x14ac:dyDescent="0.3">
      <c r="A2709" s="19">
        <v>8</v>
      </c>
      <c r="B2709" s="26" t="s">
        <v>709</v>
      </c>
      <c r="C2709" s="27">
        <v>20060368076837</v>
      </c>
      <c r="D2709" s="68" t="s">
        <v>519</v>
      </c>
      <c r="E2709" s="28">
        <v>66.400000000000006</v>
      </c>
      <c r="F2709" s="9"/>
      <c r="G2709" s="14" t="str">
        <f t="shared" si="100"/>
        <v>O</v>
      </c>
      <c r="H2709" s="15">
        <f t="shared" si="99"/>
        <v>33.200000000000003</v>
      </c>
    </row>
    <row r="2710" spans="1:8" x14ac:dyDescent="0.3">
      <c r="A2710" s="19">
        <v>9</v>
      </c>
      <c r="B2710" s="26" t="s">
        <v>709</v>
      </c>
      <c r="C2710" s="27">
        <v>20060368076837</v>
      </c>
      <c r="D2710" s="68" t="s">
        <v>650</v>
      </c>
      <c r="E2710" s="28">
        <v>19.899999999999999</v>
      </c>
      <c r="F2710" s="9"/>
      <c r="G2710" s="14" t="str">
        <f t="shared" si="100"/>
        <v>O</v>
      </c>
      <c r="H2710" s="15">
        <f t="shared" si="99"/>
        <v>9.9499999999999993</v>
      </c>
    </row>
    <row r="2711" spans="1:8" x14ac:dyDescent="0.3">
      <c r="A2711" s="19">
        <v>1</v>
      </c>
      <c r="B2711" s="39" t="s">
        <v>711</v>
      </c>
      <c r="C2711" s="40">
        <v>20060368076857</v>
      </c>
      <c r="D2711" s="67" t="s">
        <v>644</v>
      </c>
      <c r="E2711" s="41">
        <v>159</v>
      </c>
      <c r="F2711" s="9"/>
      <c r="G2711" s="14" t="str">
        <f t="shared" si="100"/>
        <v>O</v>
      </c>
      <c r="H2711" s="15">
        <f t="shared" si="99"/>
        <v>79.5</v>
      </c>
    </row>
    <row r="2712" spans="1:8" x14ac:dyDescent="0.3">
      <c r="A2712" s="19">
        <v>2</v>
      </c>
      <c r="B2712" s="39" t="s">
        <v>711</v>
      </c>
      <c r="C2712" s="40">
        <v>20060368076857</v>
      </c>
      <c r="D2712" s="67" t="s">
        <v>551</v>
      </c>
      <c r="E2712" s="41">
        <v>159</v>
      </c>
      <c r="F2712" s="9"/>
      <c r="G2712" s="14" t="str">
        <f t="shared" si="100"/>
        <v>O</v>
      </c>
      <c r="H2712" s="15">
        <f t="shared" si="99"/>
        <v>79.5</v>
      </c>
    </row>
    <row r="2713" spans="1:8" x14ac:dyDescent="0.3">
      <c r="A2713" s="19">
        <v>3</v>
      </c>
      <c r="B2713" s="39" t="s">
        <v>711</v>
      </c>
      <c r="C2713" s="40">
        <v>20060368076857</v>
      </c>
      <c r="D2713" s="67" t="s">
        <v>157</v>
      </c>
      <c r="E2713" s="41">
        <v>9.5</v>
      </c>
      <c r="F2713" s="9"/>
      <c r="G2713" s="14" t="str">
        <f t="shared" si="100"/>
        <v>O</v>
      </c>
      <c r="H2713" s="15">
        <f t="shared" si="99"/>
        <v>4.75</v>
      </c>
    </row>
    <row r="2714" spans="1:8" x14ac:dyDescent="0.3">
      <c r="A2714" s="19">
        <v>4</v>
      </c>
      <c r="B2714" s="39" t="s">
        <v>711</v>
      </c>
      <c r="C2714" s="40">
        <v>20060368076857</v>
      </c>
      <c r="D2714" s="67" t="s">
        <v>325</v>
      </c>
      <c r="E2714" s="41">
        <v>4.3</v>
      </c>
      <c r="F2714" s="9"/>
      <c r="G2714" s="14" t="str">
        <f t="shared" si="100"/>
        <v>O</v>
      </c>
      <c r="H2714" s="15">
        <f t="shared" si="99"/>
        <v>2.15</v>
      </c>
    </row>
    <row r="2715" spans="1:8" x14ac:dyDescent="0.3">
      <c r="A2715" s="19">
        <v>5</v>
      </c>
      <c r="B2715" s="39" t="s">
        <v>711</v>
      </c>
      <c r="C2715" s="40">
        <v>20060368076857</v>
      </c>
      <c r="D2715" s="67" t="s">
        <v>645</v>
      </c>
      <c r="E2715" s="41">
        <v>4</v>
      </c>
      <c r="F2715" s="9"/>
      <c r="G2715" s="14" t="str">
        <f t="shared" si="100"/>
        <v>O</v>
      </c>
      <c r="H2715" s="15">
        <f t="shared" si="99"/>
        <v>2</v>
      </c>
    </row>
    <row r="2716" spans="1:8" x14ac:dyDescent="0.3">
      <c r="A2716" s="19">
        <v>6</v>
      </c>
      <c r="B2716" s="39" t="s">
        <v>711</v>
      </c>
      <c r="C2716" s="40">
        <v>20060368076857</v>
      </c>
      <c r="D2716" s="39" t="s">
        <v>114</v>
      </c>
      <c r="E2716" s="41">
        <v>88.8</v>
      </c>
      <c r="F2716" s="9"/>
      <c r="G2716" s="14" t="str">
        <f t="shared" si="100"/>
        <v>O</v>
      </c>
      <c r="H2716" s="15">
        <f t="shared" si="99"/>
        <v>44.4</v>
      </c>
    </row>
    <row r="2717" spans="1:8" x14ac:dyDescent="0.3">
      <c r="A2717" s="19">
        <v>7</v>
      </c>
      <c r="B2717" s="39" t="s">
        <v>711</v>
      </c>
      <c r="C2717" s="40">
        <v>20060368076857</v>
      </c>
      <c r="D2717" s="67" t="s">
        <v>647</v>
      </c>
      <c r="E2717" s="41">
        <v>1.3</v>
      </c>
      <c r="F2717" s="9"/>
      <c r="G2717" s="14" t="str">
        <f t="shared" si="100"/>
        <v>O</v>
      </c>
      <c r="H2717" s="15">
        <f t="shared" si="99"/>
        <v>0.65</v>
      </c>
    </row>
    <row r="2718" spans="1:8" x14ac:dyDescent="0.3">
      <c r="A2718" s="19">
        <v>8</v>
      </c>
      <c r="B2718" s="39" t="s">
        <v>711</v>
      </c>
      <c r="C2718" s="40">
        <v>20060368076857</v>
      </c>
      <c r="D2718" s="67" t="s">
        <v>519</v>
      </c>
      <c r="E2718" s="41">
        <v>47.6</v>
      </c>
      <c r="F2718" s="9"/>
      <c r="G2718" s="14" t="str">
        <f t="shared" si="100"/>
        <v>O</v>
      </c>
      <c r="H2718" s="15">
        <f t="shared" si="99"/>
        <v>23.8</v>
      </c>
    </row>
    <row r="2719" spans="1:8" x14ac:dyDescent="0.3">
      <c r="A2719" s="19">
        <v>9</v>
      </c>
      <c r="B2719" s="39" t="s">
        <v>711</v>
      </c>
      <c r="C2719" s="40">
        <v>20060368076857</v>
      </c>
      <c r="D2719" s="67" t="s">
        <v>650</v>
      </c>
      <c r="E2719" s="41">
        <v>14.3</v>
      </c>
      <c r="F2719" s="9"/>
      <c r="G2719" s="14" t="str">
        <f t="shared" si="100"/>
        <v>O</v>
      </c>
      <c r="H2719" s="15">
        <f t="shared" si="99"/>
        <v>7.15</v>
      </c>
    </row>
    <row r="2720" spans="1:8" x14ac:dyDescent="0.3">
      <c r="A2720" s="19">
        <v>10</v>
      </c>
      <c r="B2720" s="39" t="s">
        <v>711</v>
      </c>
      <c r="C2720" s="40">
        <v>20060368076857</v>
      </c>
      <c r="D2720" s="67" t="s">
        <v>688</v>
      </c>
      <c r="E2720" s="41">
        <v>26.7</v>
      </c>
      <c r="F2720" s="9"/>
      <c r="G2720" s="14" t="str">
        <f t="shared" si="100"/>
        <v>O</v>
      </c>
      <c r="H2720" s="15">
        <f t="shared" si="99"/>
        <v>13.35</v>
      </c>
    </row>
    <row r="2721" spans="1:8" x14ac:dyDescent="0.3">
      <c r="A2721" s="19">
        <v>11</v>
      </c>
      <c r="B2721" s="39" t="s">
        <v>711</v>
      </c>
      <c r="C2721" s="40">
        <v>20060368076857</v>
      </c>
      <c r="D2721" s="67" t="s">
        <v>330</v>
      </c>
      <c r="E2721" s="41">
        <v>26.7</v>
      </c>
      <c r="F2721" s="9"/>
      <c r="G2721" s="14" t="str">
        <f t="shared" si="100"/>
        <v>O</v>
      </c>
      <c r="H2721" s="15">
        <f t="shared" si="99"/>
        <v>13.35</v>
      </c>
    </row>
    <row r="2722" spans="1:8" x14ac:dyDescent="0.3">
      <c r="A2722" s="19">
        <v>12</v>
      </c>
      <c r="B2722" s="39" t="s">
        <v>711</v>
      </c>
      <c r="C2722" s="40">
        <v>20060368076857</v>
      </c>
      <c r="D2722" s="67" t="s">
        <v>332</v>
      </c>
      <c r="E2722" s="41">
        <v>26.7</v>
      </c>
      <c r="F2722" s="9"/>
      <c r="G2722" s="14" t="str">
        <f t="shared" si="100"/>
        <v>O</v>
      </c>
      <c r="H2722" s="15">
        <f t="shared" si="99"/>
        <v>13.35</v>
      </c>
    </row>
    <row r="2723" spans="1:8" x14ac:dyDescent="0.3">
      <c r="A2723" s="19">
        <v>1</v>
      </c>
      <c r="B2723" s="26" t="s">
        <v>712</v>
      </c>
      <c r="C2723" s="27">
        <v>20060368076839</v>
      </c>
      <c r="D2723" s="68" t="s">
        <v>644</v>
      </c>
      <c r="E2723" s="28">
        <v>147</v>
      </c>
      <c r="F2723" s="9"/>
      <c r="G2723" s="14" t="str">
        <f t="shared" si="100"/>
        <v>O</v>
      </c>
      <c r="H2723" s="15">
        <f t="shared" si="99"/>
        <v>73.5</v>
      </c>
    </row>
    <row r="2724" spans="1:8" x14ac:dyDescent="0.3">
      <c r="A2724" s="19">
        <v>2</v>
      </c>
      <c r="B2724" s="26" t="s">
        <v>712</v>
      </c>
      <c r="C2724" s="27">
        <v>20060368076839</v>
      </c>
      <c r="D2724" s="68" t="s">
        <v>551</v>
      </c>
      <c r="E2724" s="28">
        <v>147</v>
      </c>
      <c r="F2724" s="9"/>
      <c r="G2724" s="14" t="str">
        <f t="shared" si="100"/>
        <v>O</v>
      </c>
      <c r="H2724" s="15">
        <f t="shared" si="99"/>
        <v>73.5</v>
      </c>
    </row>
    <row r="2725" spans="1:8" x14ac:dyDescent="0.3">
      <c r="A2725" s="19">
        <v>3</v>
      </c>
      <c r="B2725" s="26" t="s">
        <v>712</v>
      </c>
      <c r="C2725" s="27">
        <v>20060368076839</v>
      </c>
      <c r="D2725" s="68" t="s">
        <v>157</v>
      </c>
      <c r="E2725" s="28">
        <v>8.8000000000000007</v>
      </c>
      <c r="F2725" s="9"/>
      <c r="G2725" s="14" t="str">
        <f t="shared" si="100"/>
        <v>O</v>
      </c>
      <c r="H2725" s="15">
        <f t="shared" si="99"/>
        <v>4.4000000000000004</v>
      </c>
    </row>
    <row r="2726" spans="1:8" x14ac:dyDescent="0.3">
      <c r="A2726" s="19">
        <v>4</v>
      </c>
      <c r="B2726" s="26" t="s">
        <v>712</v>
      </c>
      <c r="C2726" s="27">
        <v>20060368076839</v>
      </c>
      <c r="D2726" s="68" t="s">
        <v>325</v>
      </c>
      <c r="E2726" s="28">
        <v>4</v>
      </c>
      <c r="F2726" s="9"/>
      <c r="G2726" s="14" t="str">
        <f t="shared" si="100"/>
        <v>O</v>
      </c>
      <c r="H2726" s="15">
        <f t="shared" si="99"/>
        <v>2</v>
      </c>
    </row>
    <row r="2727" spans="1:8" x14ac:dyDescent="0.3">
      <c r="A2727" s="19">
        <v>5</v>
      </c>
      <c r="B2727" s="26" t="s">
        <v>712</v>
      </c>
      <c r="C2727" s="27">
        <v>20060368076839</v>
      </c>
      <c r="D2727" s="68" t="s">
        <v>645</v>
      </c>
      <c r="E2727" s="28">
        <v>3.7</v>
      </c>
      <c r="F2727" s="9"/>
      <c r="G2727" s="14" t="str">
        <f t="shared" si="100"/>
        <v>O</v>
      </c>
      <c r="H2727" s="15">
        <f t="shared" si="99"/>
        <v>1.85</v>
      </c>
    </row>
    <row r="2728" spans="1:8" x14ac:dyDescent="0.3">
      <c r="A2728" s="19">
        <v>6</v>
      </c>
      <c r="B2728" s="26" t="s">
        <v>712</v>
      </c>
      <c r="C2728" s="27">
        <v>20060368076839</v>
      </c>
      <c r="D2728" s="26" t="s">
        <v>114</v>
      </c>
      <c r="E2728" s="28">
        <v>82.6</v>
      </c>
      <c r="F2728" s="9"/>
      <c r="G2728" s="14" t="str">
        <f t="shared" si="100"/>
        <v>O</v>
      </c>
      <c r="H2728" s="15">
        <f t="shared" si="99"/>
        <v>41.3</v>
      </c>
    </row>
    <row r="2729" spans="1:8" x14ac:dyDescent="0.3">
      <c r="A2729" s="19">
        <v>7</v>
      </c>
      <c r="B2729" s="26" t="s">
        <v>712</v>
      </c>
      <c r="C2729" s="27">
        <v>20060368076839</v>
      </c>
      <c r="D2729" s="68" t="s">
        <v>647</v>
      </c>
      <c r="E2729" s="28">
        <v>1.2</v>
      </c>
      <c r="F2729" s="9"/>
      <c r="G2729" s="14" t="str">
        <f t="shared" si="100"/>
        <v>O</v>
      </c>
      <c r="H2729" s="15">
        <f t="shared" si="99"/>
        <v>0.6</v>
      </c>
    </row>
    <row r="2730" spans="1:8" x14ac:dyDescent="0.3">
      <c r="A2730" s="19">
        <v>8</v>
      </c>
      <c r="B2730" s="26" t="s">
        <v>712</v>
      </c>
      <c r="C2730" s="27">
        <v>20060368076839</v>
      </c>
      <c r="D2730" s="68" t="s">
        <v>519</v>
      </c>
      <c r="E2730" s="28">
        <v>44.2</v>
      </c>
      <c r="F2730" s="9"/>
      <c r="G2730" s="14" t="str">
        <f t="shared" si="100"/>
        <v>O</v>
      </c>
      <c r="H2730" s="15">
        <f t="shared" si="99"/>
        <v>22.1</v>
      </c>
    </row>
    <row r="2731" spans="1:8" x14ac:dyDescent="0.3">
      <c r="A2731" s="19">
        <v>9</v>
      </c>
      <c r="B2731" s="26" t="s">
        <v>712</v>
      </c>
      <c r="C2731" s="27">
        <v>20060368076839</v>
      </c>
      <c r="D2731" s="68" t="s">
        <v>650</v>
      </c>
      <c r="E2731" s="28">
        <v>13.3</v>
      </c>
      <c r="F2731" s="9"/>
      <c r="G2731" s="14" t="str">
        <f t="shared" si="100"/>
        <v>O</v>
      </c>
      <c r="H2731" s="15">
        <f t="shared" si="99"/>
        <v>6.65</v>
      </c>
    </row>
    <row r="2732" spans="1:8" x14ac:dyDescent="0.3">
      <c r="A2732" s="19">
        <v>10</v>
      </c>
      <c r="B2732" s="26" t="s">
        <v>712</v>
      </c>
      <c r="C2732" s="27">
        <v>20060368076839</v>
      </c>
      <c r="D2732" s="68" t="s">
        <v>688</v>
      </c>
      <c r="E2732" s="28">
        <v>26.7</v>
      </c>
      <c r="F2732" s="9"/>
      <c r="G2732" s="14" t="str">
        <f t="shared" si="100"/>
        <v>O</v>
      </c>
      <c r="H2732" s="15">
        <f t="shared" si="99"/>
        <v>13.35</v>
      </c>
    </row>
    <row r="2733" spans="1:8" x14ac:dyDescent="0.3">
      <c r="A2733" s="19">
        <v>11</v>
      </c>
      <c r="B2733" s="26" t="s">
        <v>712</v>
      </c>
      <c r="C2733" s="27">
        <v>20060368076839</v>
      </c>
      <c r="D2733" s="68" t="s">
        <v>330</v>
      </c>
      <c r="E2733" s="28">
        <v>26.7</v>
      </c>
      <c r="F2733" s="9"/>
      <c r="G2733" s="14" t="str">
        <f t="shared" si="100"/>
        <v>O</v>
      </c>
      <c r="H2733" s="15">
        <f t="shared" si="99"/>
        <v>13.35</v>
      </c>
    </row>
    <row r="2734" spans="1:8" x14ac:dyDescent="0.3">
      <c r="A2734" s="19">
        <v>12</v>
      </c>
      <c r="B2734" s="26" t="s">
        <v>712</v>
      </c>
      <c r="C2734" s="27">
        <v>20060368076839</v>
      </c>
      <c r="D2734" s="68" t="s">
        <v>332</v>
      </c>
      <c r="E2734" s="28">
        <v>26.7</v>
      </c>
      <c r="F2734" s="9"/>
      <c r="G2734" s="14" t="str">
        <f t="shared" si="100"/>
        <v>O</v>
      </c>
      <c r="H2734" s="15">
        <f t="shared" si="99"/>
        <v>13.35</v>
      </c>
    </row>
    <row r="2735" spans="1:8" x14ac:dyDescent="0.3">
      <c r="A2735" s="19">
        <v>1</v>
      </c>
      <c r="B2735" s="39" t="s">
        <v>713</v>
      </c>
      <c r="C2735" s="40">
        <v>20060368076854</v>
      </c>
      <c r="D2735" s="67" t="s">
        <v>644</v>
      </c>
      <c r="E2735" s="41">
        <v>228</v>
      </c>
      <c r="F2735" s="9"/>
      <c r="G2735" s="14" t="str">
        <f t="shared" si="100"/>
        <v>O</v>
      </c>
      <c r="H2735" s="15">
        <f t="shared" si="99"/>
        <v>114</v>
      </c>
    </row>
    <row r="2736" spans="1:8" x14ac:dyDescent="0.3">
      <c r="A2736" s="19">
        <v>2</v>
      </c>
      <c r="B2736" s="39" t="s">
        <v>713</v>
      </c>
      <c r="C2736" s="40">
        <v>20060368076854</v>
      </c>
      <c r="D2736" s="67" t="s">
        <v>551</v>
      </c>
      <c r="E2736" s="41">
        <v>228</v>
      </c>
      <c r="F2736" s="9"/>
      <c r="G2736" s="14" t="str">
        <f t="shared" si="100"/>
        <v>O</v>
      </c>
      <c r="H2736" s="15">
        <f t="shared" si="99"/>
        <v>114</v>
      </c>
    </row>
    <row r="2737" spans="1:8" x14ac:dyDescent="0.3">
      <c r="A2737" s="19">
        <v>3</v>
      </c>
      <c r="B2737" s="39" t="s">
        <v>713</v>
      </c>
      <c r="C2737" s="40">
        <v>20060368076854</v>
      </c>
      <c r="D2737" s="67" t="s">
        <v>157</v>
      </c>
      <c r="E2737" s="41">
        <v>13.7</v>
      </c>
      <c r="F2737" s="9"/>
      <c r="G2737" s="14" t="str">
        <f t="shared" si="100"/>
        <v>O</v>
      </c>
      <c r="H2737" s="15">
        <f t="shared" si="99"/>
        <v>6.85</v>
      </c>
    </row>
    <row r="2738" spans="1:8" x14ac:dyDescent="0.3">
      <c r="A2738" s="19">
        <v>4</v>
      </c>
      <c r="B2738" s="39" t="s">
        <v>713</v>
      </c>
      <c r="C2738" s="40">
        <v>20060368076854</v>
      </c>
      <c r="D2738" s="67" t="s">
        <v>325</v>
      </c>
      <c r="E2738" s="41">
        <v>6.2</v>
      </c>
      <c r="F2738" s="9"/>
      <c r="G2738" s="14" t="str">
        <f t="shared" si="100"/>
        <v>O</v>
      </c>
      <c r="H2738" s="15">
        <f t="shared" si="99"/>
        <v>3.1</v>
      </c>
    </row>
    <row r="2739" spans="1:8" x14ac:dyDescent="0.3">
      <c r="A2739" s="19">
        <v>5</v>
      </c>
      <c r="B2739" s="39" t="s">
        <v>713</v>
      </c>
      <c r="C2739" s="40">
        <v>20060368076854</v>
      </c>
      <c r="D2739" s="67" t="s">
        <v>645</v>
      </c>
      <c r="E2739" s="41">
        <v>5.7</v>
      </c>
      <c r="F2739" s="9"/>
      <c r="G2739" s="14" t="str">
        <f t="shared" si="100"/>
        <v>O</v>
      </c>
      <c r="H2739" s="15">
        <f t="shared" si="99"/>
        <v>2.85</v>
      </c>
    </row>
    <row r="2740" spans="1:8" x14ac:dyDescent="0.3">
      <c r="A2740" s="19">
        <v>6</v>
      </c>
      <c r="B2740" s="39" t="s">
        <v>713</v>
      </c>
      <c r="C2740" s="40">
        <v>20060368076854</v>
      </c>
      <c r="D2740" s="67" t="s">
        <v>649</v>
      </c>
      <c r="E2740" s="41">
        <v>127.7</v>
      </c>
      <c r="F2740" s="9"/>
      <c r="G2740" s="14" t="str">
        <f t="shared" si="100"/>
        <v>O</v>
      </c>
      <c r="H2740" s="15">
        <f t="shared" si="99"/>
        <v>63.85</v>
      </c>
    </row>
    <row r="2741" spans="1:8" x14ac:dyDescent="0.3">
      <c r="A2741" s="19">
        <v>7</v>
      </c>
      <c r="B2741" s="39" t="s">
        <v>713</v>
      </c>
      <c r="C2741" s="40">
        <v>20060368076854</v>
      </c>
      <c r="D2741" s="67" t="s">
        <v>647</v>
      </c>
      <c r="E2741" s="41">
        <v>1.8</v>
      </c>
      <c r="F2741" s="9"/>
      <c r="G2741" s="14" t="str">
        <f t="shared" si="100"/>
        <v>O</v>
      </c>
      <c r="H2741" s="15">
        <f t="shared" ref="H2741:H2804" si="101">E2741/2</f>
        <v>0.9</v>
      </c>
    </row>
    <row r="2742" spans="1:8" x14ac:dyDescent="0.3">
      <c r="A2742" s="19">
        <v>8</v>
      </c>
      <c r="B2742" s="39" t="s">
        <v>713</v>
      </c>
      <c r="C2742" s="40">
        <v>20060368076854</v>
      </c>
      <c r="D2742" s="67" t="s">
        <v>519</v>
      </c>
      <c r="E2742" s="41">
        <v>68.400000000000006</v>
      </c>
      <c r="F2742" s="9"/>
      <c r="G2742" s="14" t="str">
        <f t="shared" si="100"/>
        <v>O</v>
      </c>
      <c r="H2742" s="15">
        <f t="shared" si="101"/>
        <v>34.200000000000003</v>
      </c>
    </row>
    <row r="2743" spans="1:8" x14ac:dyDescent="0.3">
      <c r="A2743" s="19">
        <v>9</v>
      </c>
      <c r="B2743" s="39" t="s">
        <v>713</v>
      </c>
      <c r="C2743" s="40">
        <v>20060368076854</v>
      </c>
      <c r="D2743" s="67" t="s">
        <v>650</v>
      </c>
      <c r="E2743" s="41">
        <v>20.5</v>
      </c>
      <c r="F2743" s="9"/>
      <c r="G2743" s="14" t="str">
        <f t="shared" si="100"/>
        <v>O</v>
      </c>
      <c r="H2743" s="15">
        <f t="shared" si="101"/>
        <v>10.25</v>
      </c>
    </row>
    <row r="2744" spans="1:8" x14ac:dyDescent="0.3">
      <c r="A2744" s="19">
        <v>1</v>
      </c>
      <c r="B2744" s="20" t="s">
        <v>714</v>
      </c>
      <c r="C2744" s="21">
        <v>20060368076836</v>
      </c>
      <c r="D2744" s="69" t="s">
        <v>644</v>
      </c>
      <c r="E2744" s="22">
        <v>161</v>
      </c>
      <c r="F2744" s="9"/>
      <c r="G2744" s="14" t="str">
        <f t="shared" si="100"/>
        <v>O</v>
      </c>
      <c r="H2744" s="15">
        <f t="shared" si="101"/>
        <v>80.5</v>
      </c>
    </row>
    <row r="2745" spans="1:8" x14ac:dyDescent="0.3">
      <c r="A2745" s="19">
        <v>2</v>
      </c>
      <c r="B2745" s="20" t="s">
        <v>714</v>
      </c>
      <c r="C2745" s="21">
        <v>20060368076836</v>
      </c>
      <c r="D2745" s="69" t="s">
        <v>551</v>
      </c>
      <c r="E2745" s="22">
        <v>161</v>
      </c>
      <c r="F2745" s="9"/>
      <c r="G2745" s="14" t="str">
        <f t="shared" si="100"/>
        <v>O</v>
      </c>
      <c r="H2745" s="15">
        <f t="shared" si="101"/>
        <v>80.5</v>
      </c>
    </row>
    <row r="2746" spans="1:8" x14ac:dyDescent="0.3">
      <c r="A2746" s="19">
        <v>3</v>
      </c>
      <c r="B2746" s="20" t="s">
        <v>714</v>
      </c>
      <c r="C2746" s="21">
        <v>20060368076836</v>
      </c>
      <c r="D2746" s="69" t="s">
        <v>159</v>
      </c>
      <c r="E2746" s="22">
        <v>9.6999999999999993</v>
      </c>
      <c r="F2746" s="9"/>
      <c r="G2746" s="14" t="str">
        <f t="shared" si="100"/>
        <v>O</v>
      </c>
      <c r="H2746" s="15">
        <f t="shared" si="101"/>
        <v>4.8499999999999996</v>
      </c>
    </row>
    <row r="2747" spans="1:8" x14ac:dyDescent="0.3">
      <c r="A2747" s="19">
        <v>4</v>
      </c>
      <c r="B2747" s="20" t="s">
        <v>714</v>
      </c>
      <c r="C2747" s="21">
        <v>20060368076836</v>
      </c>
      <c r="D2747" s="69" t="s">
        <v>325</v>
      </c>
      <c r="E2747" s="22">
        <v>4.4000000000000004</v>
      </c>
      <c r="F2747" s="9"/>
      <c r="G2747" s="14" t="str">
        <f t="shared" si="100"/>
        <v>O</v>
      </c>
      <c r="H2747" s="15">
        <f t="shared" si="101"/>
        <v>2.2000000000000002</v>
      </c>
    </row>
    <row r="2748" spans="1:8" x14ac:dyDescent="0.3">
      <c r="A2748" s="19">
        <v>5</v>
      </c>
      <c r="B2748" s="20" t="s">
        <v>714</v>
      </c>
      <c r="C2748" s="21">
        <v>20060368076836</v>
      </c>
      <c r="D2748" s="69" t="s">
        <v>645</v>
      </c>
      <c r="E2748" s="22">
        <v>4</v>
      </c>
      <c r="F2748" s="9"/>
      <c r="G2748" s="14" t="str">
        <f t="shared" si="100"/>
        <v>O</v>
      </c>
      <c r="H2748" s="15">
        <f t="shared" si="101"/>
        <v>2</v>
      </c>
    </row>
    <row r="2749" spans="1:8" x14ac:dyDescent="0.3">
      <c r="A2749" s="19">
        <v>6</v>
      </c>
      <c r="B2749" s="20" t="s">
        <v>714</v>
      </c>
      <c r="C2749" s="21">
        <v>20060368076836</v>
      </c>
      <c r="D2749" s="20" t="s">
        <v>114</v>
      </c>
      <c r="E2749" s="22">
        <v>90.3</v>
      </c>
      <c r="F2749" s="9"/>
      <c r="G2749" s="14" t="str">
        <f t="shared" ref="G2749:G2812" si="102">IF(D2749="","",IF(COUNTIF(I:I,D2749)&gt;0,"O","X"))</f>
        <v>O</v>
      </c>
      <c r="H2749" s="15">
        <f t="shared" si="101"/>
        <v>45.15</v>
      </c>
    </row>
    <row r="2750" spans="1:8" x14ac:dyDescent="0.3">
      <c r="A2750" s="19">
        <v>7</v>
      </c>
      <c r="B2750" s="20" t="s">
        <v>714</v>
      </c>
      <c r="C2750" s="21">
        <v>20060368076836</v>
      </c>
      <c r="D2750" s="69" t="s">
        <v>647</v>
      </c>
      <c r="E2750" s="22">
        <v>1.3</v>
      </c>
      <c r="F2750" s="9"/>
      <c r="G2750" s="14" t="str">
        <f t="shared" si="102"/>
        <v>O</v>
      </c>
      <c r="H2750" s="15">
        <f t="shared" si="101"/>
        <v>0.65</v>
      </c>
    </row>
    <row r="2751" spans="1:8" x14ac:dyDescent="0.3">
      <c r="A2751" s="19">
        <v>8</v>
      </c>
      <c r="B2751" s="20" t="s">
        <v>714</v>
      </c>
      <c r="C2751" s="21">
        <v>20060368076836</v>
      </c>
      <c r="D2751" s="69" t="s">
        <v>519</v>
      </c>
      <c r="E2751" s="22">
        <v>48.4</v>
      </c>
      <c r="F2751" s="9"/>
      <c r="G2751" s="14" t="str">
        <f t="shared" si="102"/>
        <v>O</v>
      </c>
      <c r="H2751" s="15">
        <f t="shared" si="101"/>
        <v>24.2</v>
      </c>
    </row>
    <row r="2752" spans="1:8" x14ac:dyDescent="0.3">
      <c r="A2752" s="19">
        <v>9</v>
      </c>
      <c r="B2752" s="20" t="s">
        <v>714</v>
      </c>
      <c r="C2752" s="21">
        <v>20060368076836</v>
      </c>
      <c r="D2752" s="69" t="s">
        <v>650</v>
      </c>
      <c r="E2752" s="22">
        <v>14.5</v>
      </c>
      <c r="F2752" s="9"/>
      <c r="G2752" s="14" t="str">
        <f t="shared" si="102"/>
        <v>O</v>
      </c>
      <c r="H2752" s="15">
        <f t="shared" si="101"/>
        <v>7.25</v>
      </c>
    </row>
    <row r="2753" spans="1:8" x14ac:dyDescent="0.3">
      <c r="A2753" s="19">
        <v>10</v>
      </c>
      <c r="B2753" s="20" t="s">
        <v>714</v>
      </c>
      <c r="C2753" s="21">
        <v>20060368076836</v>
      </c>
      <c r="D2753" s="69" t="s">
        <v>692</v>
      </c>
      <c r="E2753" s="22">
        <v>36</v>
      </c>
      <c r="F2753" s="9"/>
      <c r="G2753" s="14" t="str">
        <f t="shared" si="102"/>
        <v>O</v>
      </c>
      <c r="H2753" s="15">
        <f t="shared" si="101"/>
        <v>18</v>
      </c>
    </row>
    <row r="2754" spans="1:8" x14ac:dyDescent="0.3">
      <c r="A2754" s="19">
        <v>11</v>
      </c>
      <c r="B2754" s="20" t="s">
        <v>714</v>
      </c>
      <c r="C2754" s="21">
        <v>20060368076836</v>
      </c>
      <c r="D2754" s="69" t="s">
        <v>272</v>
      </c>
      <c r="E2754" s="22">
        <v>48</v>
      </c>
      <c r="F2754" s="9"/>
      <c r="G2754" s="14" t="str">
        <f t="shared" si="102"/>
        <v>O</v>
      </c>
      <c r="H2754" s="15">
        <f t="shared" si="101"/>
        <v>24</v>
      </c>
    </row>
    <row r="2755" spans="1:8" x14ac:dyDescent="0.3">
      <c r="A2755" s="19">
        <v>1</v>
      </c>
      <c r="B2755" s="20" t="s">
        <v>715</v>
      </c>
      <c r="C2755" s="21">
        <v>20060368076855</v>
      </c>
      <c r="D2755" s="69" t="s">
        <v>644</v>
      </c>
      <c r="E2755" s="22">
        <v>139</v>
      </c>
      <c r="F2755" s="9"/>
      <c r="G2755" s="14" t="str">
        <f t="shared" si="102"/>
        <v>O</v>
      </c>
      <c r="H2755" s="15">
        <f t="shared" si="101"/>
        <v>69.5</v>
      </c>
    </row>
    <row r="2756" spans="1:8" x14ac:dyDescent="0.3">
      <c r="A2756" s="19">
        <v>2</v>
      </c>
      <c r="B2756" s="20" t="s">
        <v>715</v>
      </c>
      <c r="C2756" s="21">
        <v>20060368076855</v>
      </c>
      <c r="D2756" s="69" t="s">
        <v>551</v>
      </c>
      <c r="E2756" s="22">
        <v>139</v>
      </c>
      <c r="F2756" s="9"/>
      <c r="G2756" s="14" t="str">
        <f t="shared" si="102"/>
        <v>O</v>
      </c>
      <c r="H2756" s="15">
        <f t="shared" si="101"/>
        <v>69.5</v>
      </c>
    </row>
    <row r="2757" spans="1:8" x14ac:dyDescent="0.3">
      <c r="A2757" s="19">
        <v>3</v>
      </c>
      <c r="B2757" s="20" t="s">
        <v>715</v>
      </c>
      <c r="C2757" s="21">
        <v>20060368076855</v>
      </c>
      <c r="D2757" s="69" t="s">
        <v>159</v>
      </c>
      <c r="E2757" s="22">
        <v>8.3000000000000007</v>
      </c>
      <c r="F2757" s="9"/>
      <c r="G2757" s="14" t="str">
        <f t="shared" si="102"/>
        <v>O</v>
      </c>
      <c r="H2757" s="15">
        <f t="shared" si="101"/>
        <v>4.1500000000000004</v>
      </c>
    </row>
    <row r="2758" spans="1:8" x14ac:dyDescent="0.3">
      <c r="A2758" s="19">
        <v>4</v>
      </c>
      <c r="B2758" s="20" t="s">
        <v>715</v>
      </c>
      <c r="C2758" s="21">
        <v>20060368076855</v>
      </c>
      <c r="D2758" s="69" t="s">
        <v>325</v>
      </c>
      <c r="E2758" s="22">
        <v>3.8</v>
      </c>
      <c r="F2758" s="9"/>
      <c r="G2758" s="14" t="str">
        <f t="shared" si="102"/>
        <v>O</v>
      </c>
      <c r="H2758" s="15">
        <f t="shared" si="101"/>
        <v>1.9</v>
      </c>
    </row>
    <row r="2759" spans="1:8" x14ac:dyDescent="0.3">
      <c r="A2759" s="19">
        <v>5</v>
      </c>
      <c r="B2759" s="20" t="s">
        <v>715</v>
      </c>
      <c r="C2759" s="21">
        <v>20060368076855</v>
      </c>
      <c r="D2759" s="69" t="s">
        <v>645</v>
      </c>
      <c r="E2759" s="22">
        <v>3.5</v>
      </c>
      <c r="F2759" s="9"/>
      <c r="G2759" s="14" t="str">
        <f t="shared" si="102"/>
        <v>O</v>
      </c>
      <c r="H2759" s="15">
        <f t="shared" si="101"/>
        <v>1.75</v>
      </c>
    </row>
    <row r="2760" spans="1:8" x14ac:dyDescent="0.3">
      <c r="A2760" s="19">
        <v>6</v>
      </c>
      <c r="B2760" s="20" t="s">
        <v>715</v>
      </c>
      <c r="C2760" s="21">
        <v>20060368076855</v>
      </c>
      <c r="D2760" s="20" t="s">
        <v>114</v>
      </c>
      <c r="E2760" s="22">
        <v>77.900000000000006</v>
      </c>
      <c r="F2760" s="9"/>
      <c r="G2760" s="14" t="str">
        <f t="shared" si="102"/>
        <v>O</v>
      </c>
      <c r="H2760" s="15">
        <f t="shared" si="101"/>
        <v>38.950000000000003</v>
      </c>
    </row>
    <row r="2761" spans="1:8" x14ac:dyDescent="0.3">
      <c r="A2761" s="19">
        <v>7</v>
      </c>
      <c r="B2761" s="20" t="s">
        <v>715</v>
      </c>
      <c r="C2761" s="21">
        <v>20060368076855</v>
      </c>
      <c r="D2761" s="69" t="s">
        <v>647</v>
      </c>
      <c r="E2761" s="22">
        <v>1.1000000000000001</v>
      </c>
      <c r="F2761" s="9"/>
      <c r="G2761" s="14" t="str">
        <f t="shared" si="102"/>
        <v>O</v>
      </c>
      <c r="H2761" s="15">
        <f t="shared" si="101"/>
        <v>0.55000000000000004</v>
      </c>
    </row>
    <row r="2762" spans="1:8" x14ac:dyDescent="0.3">
      <c r="A2762" s="19">
        <v>8</v>
      </c>
      <c r="B2762" s="20" t="s">
        <v>715</v>
      </c>
      <c r="C2762" s="21">
        <v>20060368076855</v>
      </c>
      <c r="D2762" s="69" t="s">
        <v>519</v>
      </c>
      <c r="E2762" s="22">
        <v>41.7</v>
      </c>
      <c r="F2762" s="9"/>
      <c r="G2762" s="14" t="str">
        <f t="shared" si="102"/>
        <v>O</v>
      </c>
      <c r="H2762" s="15">
        <f t="shared" si="101"/>
        <v>20.85</v>
      </c>
    </row>
    <row r="2763" spans="1:8" x14ac:dyDescent="0.3">
      <c r="A2763" s="19">
        <v>9</v>
      </c>
      <c r="B2763" s="20" t="s">
        <v>715</v>
      </c>
      <c r="C2763" s="21">
        <v>20060368076855</v>
      </c>
      <c r="D2763" s="69" t="s">
        <v>650</v>
      </c>
      <c r="E2763" s="22">
        <v>12.5</v>
      </c>
      <c r="F2763" s="9"/>
      <c r="G2763" s="14" t="str">
        <f t="shared" si="102"/>
        <v>O</v>
      </c>
      <c r="H2763" s="15">
        <f t="shared" si="101"/>
        <v>6.25</v>
      </c>
    </row>
    <row r="2764" spans="1:8" x14ac:dyDescent="0.3">
      <c r="A2764" s="19">
        <v>10</v>
      </c>
      <c r="B2764" s="20" t="s">
        <v>715</v>
      </c>
      <c r="C2764" s="21">
        <v>20060368076855</v>
      </c>
      <c r="D2764" s="69" t="s">
        <v>692</v>
      </c>
      <c r="E2764" s="22">
        <v>31</v>
      </c>
      <c r="F2764" s="9"/>
      <c r="G2764" s="14" t="str">
        <f t="shared" si="102"/>
        <v>O</v>
      </c>
      <c r="H2764" s="15">
        <f t="shared" si="101"/>
        <v>15.5</v>
      </c>
    </row>
    <row r="2765" spans="1:8" x14ac:dyDescent="0.3">
      <c r="A2765" s="19">
        <v>11</v>
      </c>
      <c r="B2765" s="20" t="s">
        <v>715</v>
      </c>
      <c r="C2765" s="21">
        <v>20060368076855</v>
      </c>
      <c r="D2765" s="69" t="s">
        <v>272</v>
      </c>
      <c r="E2765" s="22">
        <v>42</v>
      </c>
      <c r="F2765" s="9"/>
      <c r="G2765" s="14" t="str">
        <f t="shared" si="102"/>
        <v>O</v>
      </c>
      <c r="H2765" s="15">
        <f t="shared" si="101"/>
        <v>21</v>
      </c>
    </row>
    <row r="2766" spans="1:8" x14ac:dyDescent="0.3">
      <c r="A2766" s="19">
        <v>1</v>
      </c>
      <c r="B2766" s="20" t="s">
        <v>716</v>
      </c>
      <c r="C2766" s="21">
        <v>20060368076838</v>
      </c>
      <c r="D2766" s="69" t="s">
        <v>644</v>
      </c>
      <c r="E2766" s="22">
        <v>125</v>
      </c>
      <c r="F2766" s="9"/>
      <c r="G2766" s="14" t="str">
        <f t="shared" si="102"/>
        <v>O</v>
      </c>
      <c r="H2766" s="15">
        <f t="shared" si="101"/>
        <v>62.5</v>
      </c>
    </row>
    <row r="2767" spans="1:8" x14ac:dyDescent="0.3">
      <c r="A2767" s="19">
        <v>2</v>
      </c>
      <c r="B2767" s="20" t="s">
        <v>716</v>
      </c>
      <c r="C2767" s="21">
        <v>20060368076838</v>
      </c>
      <c r="D2767" s="69" t="s">
        <v>551</v>
      </c>
      <c r="E2767" s="22">
        <v>125</v>
      </c>
      <c r="F2767" s="9"/>
      <c r="G2767" s="14" t="str">
        <f t="shared" si="102"/>
        <v>O</v>
      </c>
      <c r="H2767" s="15">
        <f t="shared" si="101"/>
        <v>62.5</v>
      </c>
    </row>
    <row r="2768" spans="1:8" x14ac:dyDescent="0.3">
      <c r="A2768" s="19">
        <v>3</v>
      </c>
      <c r="B2768" s="20" t="s">
        <v>716</v>
      </c>
      <c r="C2768" s="21">
        <v>20060368076838</v>
      </c>
      <c r="D2768" s="69" t="s">
        <v>159</v>
      </c>
      <c r="E2768" s="22">
        <v>7.5</v>
      </c>
      <c r="F2768" s="9"/>
      <c r="G2768" s="14" t="str">
        <f t="shared" si="102"/>
        <v>O</v>
      </c>
      <c r="H2768" s="15">
        <f t="shared" si="101"/>
        <v>3.75</v>
      </c>
    </row>
    <row r="2769" spans="1:8" x14ac:dyDescent="0.3">
      <c r="A2769" s="19">
        <v>4</v>
      </c>
      <c r="B2769" s="20" t="s">
        <v>716</v>
      </c>
      <c r="C2769" s="21">
        <v>20060368076838</v>
      </c>
      <c r="D2769" s="69" t="s">
        <v>325</v>
      </c>
      <c r="E2769" s="22">
        <v>3.4</v>
      </c>
      <c r="F2769" s="9"/>
      <c r="G2769" s="14" t="str">
        <f t="shared" si="102"/>
        <v>O</v>
      </c>
      <c r="H2769" s="15">
        <f t="shared" si="101"/>
        <v>1.7</v>
      </c>
    </row>
    <row r="2770" spans="1:8" x14ac:dyDescent="0.3">
      <c r="A2770" s="19">
        <v>5</v>
      </c>
      <c r="B2770" s="20" t="s">
        <v>716</v>
      </c>
      <c r="C2770" s="21">
        <v>20060368076838</v>
      </c>
      <c r="D2770" s="69" t="s">
        <v>645</v>
      </c>
      <c r="E2770" s="22">
        <v>3.1</v>
      </c>
      <c r="F2770" s="9"/>
      <c r="G2770" s="14" t="str">
        <f t="shared" si="102"/>
        <v>O</v>
      </c>
      <c r="H2770" s="15">
        <f t="shared" si="101"/>
        <v>1.55</v>
      </c>
    </row>
    <row r="2771" spans="1:8" x14ac:dyDescent="0.3">
      <c r="A2771" s="19">
        <v>6</v>
      </c>
      <c r="B2771" s="20" t="s">
        <v>716</v>
      </c>
      <c r="C2771" s="21">
        <v>20060368076838</v>
      </c>
      <c r="D2771" s="20" t="s">
        <v>114</v>
      </c>
      <c r="E2771" s="22">
        <v>70.099999999999994</v>
      </c>
      <c r="F2771" s="9"/>
      <c r="G2771" s="14" t="str">
        <f t="shared" si="102"/>
        <v>O</v>
      </c>
      <c r="H2771" s="15">
        <f t="shared" si="101"/>
        <v>35.049999999999997</v>
      </c>
    </row>
    <row r="2772" spans="1:8" x14ac:dyDescent="0.3">
      <c r="A2772" s="19">
        <v>7</v>
      </c>
      <c r="B2772" s="20" t="s">
        <v>716</v>
      </c>
      <c r="C2772" s="21">
        <v>20060368076838</v>
      </c>
      <c r="D2772" s="69" t="s">
        <v>647</v>
      </c>
      <c r="E2772" s="22">
        <v>1</v>
      </c>
      <c r="F2772" s="9"/>
      <c r="G2772" s="14" t="str">
        <f t="shared" si="102"/>
        <v>O</v>
      </c>
      <c r="H2772" s="15">
        <f t="shared" si="101"/>
        <v>0.5</v>
      </c>
    </row>
    <row r="2773" spans="1:8" x14ac:dyDescent="0.3">
      <c r="A2773" s="19">
        <v>8</v>
      </c>
      <c r="B2773" s="20" t="s">
        <v>716</v>
      </c>
      <c r="C2773" s="21">
        <v>20060368076838</v>
      </c>
      <c r="D2773" s="69" t="s">
        <v>519</v>
      </c>
      <c r="E2773" s="22">
        <v>37.6</v>
      </c>
      <c r="F2773" s="9"/>
      <c r="G2773" s="14" t="str">
        <f t="shared" si="102"/>
        <v>O</v>
      </c>
      <c r="H2773" s="15">
        <f t="shared" si="101"/>
        <v>18.8</v>
      </c>
    </row>
    <row r="2774" spans="1:8" x14ac:dyDescent="0.3">
      <c r="A2774" s="19">
        <v>9</v>
      </c>
      <c r="B2774" s="20" t="s">
        <v>716</v>
      </c>
      <c r="C2774" s="21">
        <v>20060368076838</v>
      </c>
      <c r="D2774" s="69" t="s">
        <v>650</v>
      </c>
      <c r="E2774" s="22">
        <v>11.3</v>
      </c>
      <c r="F2774" s="9"/>
      <c r="G2774" s="14" t="str">
        <f t="shared" si="102"/>
        <v>O</v>
      </c>
      <c r="H2774" s="15">
        <f t="shared" si="101"/>
        <v>5.65</v>
      </c>
    </row>
    <row r="2775" spans="1:8" x14ac:dyDescent="0.3">
      <c r="A2775" s="19">
        <v>10</v>
      </c>
      <c r="B2775" s="20" t="s">
        <v>716</v>
      </c>
      <c r="C2775" s="21">
        <v>20060368076838</v>
      </c>
      <c r="D2775" s="69" t="s">
        <v>692</v>
      </c>
      <c r="E2775" s="22">
        <v>28</v>
      </c>
      <c r="F2775" s="9"/>
      <c r="G2775" s="14" t="str">
        <f t="shared" si="102"/>
        <v>O</v>
      </c>
      <c r="H2775" s="15">
        <f t="shared" si="101"/>
        <v>14</v>
      </c>
    </row>
    <row r="2776" spans="1:8" x14ac:dyDescent="0.3">
      <c r="A2776" s="19">
        <v>11</v>
      </c>
      <c r="B2776" s="20" t="s">
        <v>716</v>
      </c>
      <c r="C2776" s="21">
        <v>20060368076838</v>
      </c>
      <c r="D2776" s="69" t="s">
        <v>272</v>
      </c>
      <c r="E2776" s="22">
        <v>38</v>
      </c>
      <c r="F2776" s="9"/>
      <c r="G2776" s="14" t="str">
        <f t="shared" si="102"/>
        <v>O</v>
      </c>
      <c r="H2776" s="15">
        <f t="shared" si="101"/>
        <v>19</v>
      </c>
    </row>
    <row r="2777" spans="1:8" x14ac:dyDescent="0.3">
      <c r="A2777" s="19">
        <v>12</v>
      </c>
      <c r="B2777" s="20" t="s">
        <v>716</v>
      </c>
      <c r="C2777" s="21">
        <v>20060368076838</v>
      </c>
      <c r="D2777" s="69" t="s">
        <v>699</v>
      </c>
      <c r="E2777" s="22">
        <v>38</v>
      </c>
      <c r="F2777" s="9"/>
      <c r="G2777" s="14" t="str">
        <f t="shared" si="102"/>
        <v>O</v>
      </c>
      <c r="H2777" s="15">
        <f t="shared" si="101"/>
        <v>19</v>
      </c>
    </row>
    <row r="2778" spans="1:8" x14ac:dyDescent="0.3">
      <c r="A2778" s="19">
        <v>1</v>
      </c>
      <c r="B2778" s="20" t="s">
        <v>717</v>
      </c>
      <c r="C2778" s="21">
        <v>20060368076603</v>
      </c>
      <c r="D2778" s="69" t="s">
        <v>644</v>
      </c>
      <c r="E2778" s="22">
        <v>91.6</v>
      </c>
      <c r="F2778" s="9"/>
      <c r="G2778" s="14" t="str">
        <f t="shared" si="102"/>
        <v>O</v>
      </c>
      <c r="H2778" s="15">
        <f t="shared" si="101"/>
        <v>45.8</v>
      </c>
    </row>
    <row r="2779" spans="1:8" x14ac:dyDescent="0.3">
      <c r="A2779" s="19">
        <v>2</v>
      </c>
      <c r="B2779" s="20" t="s">
        <v>717</v>
      </c>
      <c r="C2779" s="21">
        <v>20060368076603</v>
      </c>
      <c r="D2779" s="69" t="s">
        <v>159</v>
      </c>
      <c r="E2779" s="22">
        <v>2.1</v>
      </c>
      <c r="F2779" s="9"/>
      <c r="G2779" s="14" t="str">
        <f t="shared" si="102"/>
        <v>O</v>
      </c>
      <c r="H2779" s="15">
        <f t="shared" si="101"/>
        <v>1.05</v>
      </c>
    </row>
    <row r="2780" spans="1:8" x14ac:dyDescent="0.3">
      <c r="A2780" s="19">
        <v>3</v>
      </c>
      <c r="B2780" s="20" t="s">
        <v>717</v>
      </c>
      <c r="C2780" s="21">
        <v>20060368076603</v>
      </c>
      <c r="D2780" s="69" t="s">
        <v>325</v>
      </c>
      <c r="E2780" s="22">
        <v>2</v>
      </c>
      <c r="F2780" s="9"/>
      <c r="G2780" s="14" t="str">
        <f t="shared" si="102"/>
        <v>O</v>
      </c>
      <c r="H2780" s="15">
        <f t="shared" si="101"/>
        <v>1</v>
      </c>
    </row>
    <row r="2781" spans="1:8" x14ac:dyDescent="0.3">
      <c r="A2781" s="19">
        <v>4</v>
      </c>
      <c r="B2781" s="20" t="s">
        <v>717</v>
      </c>
      <c r="C2781" s="21">
        <v>20060368076603</v>
      </c>
      <c r="D2781" s="69" t="s">
        <v>645</v>
      </c>
      <c r="E2781" s="22">
        <v>2.7</v>
      </c>
      <c r="F2781" s="9"/>
      <c r="G2781" s="14" t="str">
        <f t="shared" si="102"/>
        <v>O</v>
      </c>
      <c r="H2781" s="15">
        <f t="shared" si="101"/>
        <v>1.35</v>
      </c>
    </row>
    <row r="2782" spans="1:8" x14ac:dyDescent="0.3">
      <c r="A2782" s="19">
        <v>5</v>
      </c>
      <c r="B2782" s="20" t="s">
        <v>717</v>
      </c>
      <c r="C2782" s="21">
        <v>20060368076603</v>
      </c>
      <c r="D2782" s="20" t="s">
        <v>114</v>
      </c>
      <c r="E2782" s="22">
        <v>64.099999999999994</v>
      </c>
      <c r="F2782" s="9"/>
      <c r="G2782" s="14" t="str">
        <f t="shared" si="102"/>
        <v>O</v>
      </c>
      <c r="H2782" s="15">
        <f t="shared" si="101"/>
        <v>32.049999999999997</v>
      </c>
    </row>
    <row r="2783" spans="1:8" x14ac:dyDescent="0.3">
      <c r="A2783" s="19">
        <v>6</v>
      </c>
      <c r="B2783" s="20" t="s">
        <v>717</v>
      </c>
      <c r="C2783" s="21">
        <v>20060368076603</v>
      </c>
      <c r="D2783" s="69" t="s">
        <v>647</v>
      </c>
      <c r="E2783" s="22">
        <v>0.4</v>
      </c>
      <c r="F2783" s="9"/>
      <c r="G2783" s="14" t="str">
        <f t="shared" si="102"/>
        <v>O</v>
      </c>
      <c r="H2783" s="15">
        <f t="shared" si="101"/>
        <v>0.2</v>
      </c>
    </row>
    <row r="2784" spans="1:8" x14ac:dyDescent="0.3">
      <c r="A2784" s="19">
        <v>7</v>
      </c>
      <c r="B2784" s="20" t="s">
        <v>717</v>
      </c>
      <c r="C2784" s="21">
        <v>20060368076603</v>
      </c>
      <c r="D2784" s="69" t="s">
        <v>519</v>
      </c>
      <c r="E2784" s="22">
        <v>18.3</v>
      </c>
      <c r="F2784" s="9"/>
      <c r="G2784" s="14" t="str">
        <f t="shared" si="102"/>
        <v>O</v>
      </c>
      <c r="H2784" s="15">
        <f t="shared" si="101"/>
        <v>9.15</v>
      </c>
    </row>
    <row r="2785" spans="1:8" x14ac:dyDescent="0.3">
      <c r="A2785" s="19">
        <v>8</v>
      </c>
      <c r="B2785" s="20" t="s">
        <v>717</v>
      </c>
      <c r="C2785" s="21">
        <v>20060368076603</v>
      </c>
      <c r="D2785" s="69" t="s">
        <v>492</v>
      </c>
      <c r="E2785" s="22">
        <v>5.5</v>
      </c>
      <c r="F2785" s="9"/>
      <c r="G2785" s="14" t="str">
        <f t="shared" si="102"/>
        <v>O</v>
      </c>
      <c r="H2785" s="15">
        <f t="shared" si="101"/>
        <v>2.75</v>
      </c>
    </row>
    <row r="2786" spans="1:8" x14ac:dyDescent="0.3">
      <c r="A2786" s="19">
        <v>9</v>
      </c>
      <c r="B2786" s="20" t="s">
        <v>717</v>
      </c>
      <c r="C2786" s="21">
        <v>20060368076603</v>
      </c>
      <c r="D2786" s="69" t="s">
        <v>303</v>
      </c>
      <c r="E2786" s="22">
        <v>70</v>
      </c>
      <c r="F2786" s="9"/>
      <c r="G2786" s="14" t="str">
        <f t="shared" si="102"/>
        <v>O</v>
      </c>
      <c r="H2786" s="15">
        <f t="shared" si="101"/>
        <v>35</v>
      </c>
    </row>
    <row r="2787" spans="1:8" x14ac:dyDescent="0.3">
      <c r="A2787" s="19">
        <v>10</v>
      </c>
      <c r="B2787" s="20" t="s">
        <v>717</v>
      </c>
      <c r="C2787" s="21">
        <v>20060368076603</v>
      </c>
      <c r="D2787" s="69" t="s">
        <v>307</v>
      </c>
      <c r="E2787" s="22">
        <v>60</v>
      </c>
      <c r="F2787" s="9"/>
      <c r="G2787" s="14" t="str">
        <f t="shared" si="102"/>
        <v>O</v>
      </c>
      <c r="H2787" s="15">
        <f t="shared" si="101"/>
        <v>30</v>
      </c>
    </row>
    <row r="2788" spans="1:8" x14ac:dyDescent="0.3">
      <c r="A2788" s="19">
        <v>11</v>
      </c>
      <c r="B2788" s="20" t="s">
        <v>717</v>
      </c>
      <c r="C2788" s="21">
        <v>20060368076603</v>
      </c>
      <c r="D2788" s="69" t="s">
        <v>320</v>
      </c>
      <c r="E2788" s="22">
        <v>60</v>
      </c>
      <c r="F2788" s="9"/>
      <c r="G2788" s="14" t="str">
        <f t="shared" si="102"/>
        <v>O</v>
      </c>
      <c r="H2788" s="15">
        <f t="shared" si="101"/>
        <v>30</v>
      </c>
    </row>
    <row r="2789" spans="1:8" x14ac:dyDescent="0.3">
      <c r="A2789" s="19">
        <v>12</v>
      </c>
      <c r="B2789" s="20" t="s">
        <v>717</v>
      </c>
      <c r="C2789" s="21">
        <v>20060368076603</v>
      </c>
      <c r="D2789" s="69" t="s">
        <v>718</v>
      </c>
      <c r="E2789" s="22">
        <v>2</v>
      </c>
      <c r="F2789" s="9"/>
      <c r="G2789" s="14" t="str">
        <f t="shared" si="102"/>
        <v>O</v>
      </c>
      <c r="H2789" s="15">
        <f t="shared" si="101"/>
        <v>1</v>
      </c>
    </row>
    <row r="2790" spans="1:8" x14ac:dyDescent="0.3">
      <c r="A2790" s="19">
        <v>13</v>
      </c>
      <c r="B2790" s="20" t="s">
        <v>717</v>
      </c>
      <c r="C2790" s="21">
        <v>20060368076603</v>
      </c>
      <c r="D2790" s="69" t="s">
        <v>166</v>
      </c>
      <c r="E2790" s="22">
        <v>0.8</v>
      </c>
      <c r="F2790" s="9"/>
      <c r="G2790" s="14" t="str">
        <f t="shared" si="102"/>
        <v>O</v>
      </c>
      <c r="H2790" s="15">
        <f t="shared" si="101"/>
        <v>0.4</v>
      </c>
    </row>
    <row r="2791" spans="1:8" x14ac:dyDescent="0.3">
      <c r="A2791" s="19">
        <v>1</v>
      </c>
      <c r="B2791" s="20" t="s">
        <v>719</v>
      </c>
      <c r="C2791" s="21">
        <v>20060368076604</v>
      </c>
      <c r="D2791" s="69" t="s">
        <v>644</v>
      </c>
      <c r="E2791" s="22">
        <v>91.6</v>
      </c>
      <c r="F2791" s="9"/>
      <c r="G2791" s="14" t="str">
        <f t="shared" si="102"/>
        <v>O</v>
      </c>
      <c r="H2791" s="15">
        <f t="shared" si="101"/>
        <v>45.8</v>
      </c>
    </row>
    <row r="2792" spans="1:8" x14ac:dyDescent="0.3">
      <c r="A2792" s="19">
        <v>2</v>
      </c>
      <c r="B2792" s="20" t="s">
        <v>719</v>
      </c>
      <c r="C2792" s="21">
        <v>20060368076604</v>
      </c>
      <c r="D2792" s="69" t="s">
        <v>159</v>
      </c>
      <c r="E2792" s="22">
        <v>2.1</v>
      </c>
      <c r="F2792" s="9"/>
      <c r="G2792" s="14" t="str">
        <f t="shared" si="102"/>
        <v>O</v>
      </c>
      <c r="H2792" s="15">
        <f t="shared" si="101"/>
        <v>1.05</v>
      </c>
    </row>
    <row r="2793" spans="1:8" x14ac:dyDescent="0.3">
      <c r="A2793" s="19">
        <v>3</v>
      </c>
      <c r="B2793" s="20" t="s">
        <v>719</v>
      </c>
      <c r="C2793" s="21">
        <v>20060368076604</v>
      </c>
      <c r="D2793" s="69" t="s">
        <v>325</v>
      </c>
      <c r="E2793" s="22">
        <v>2</v>
      </c>
      <c r="F2793" s="9"/>
      <c r="G2793" s="14" t="str">
        <f t="shared" si="102"/>
        <v>O</v>
      </c>
      <c r="H2793" s="15">
        <f t="shared" si="101"/>
        <v>1</v>
      </c>
    </row>
    <row r="2794" spans="1:8" x14ac:dyDescent="0.3">
      <c r="A2794" s="19">
        <v>4</v>
      </c>
      <c r="B2794" s="20" t="s">
        <v>719</v>
      </c>
      <c r="C2794" s="21">
        <v>20060368076604</v>
      </c>
      <c r="D2794" s="69" t="s">
        <v>645</v>
      </c>
      <c r="E2794" s="22">
        <v>2.7</v>
      </c>
      <c r="F2794" s="9"/>
      <c r="G2794" s="14" t="str">
        <f t="shared" si="102"/>
        <v>O</v>
      </c>
      <c r="H2794" s="15">
        <f t="shared" si="101"/>
        <v>1.35</v>
      </c>
    </row>
    <row r="2795" spans="1:8" x14ac:dyDescent="0.3">
      <c r="A2795" s="19">
        <v>5</v>
      </c>
      <c r="B2795" s="20" t="s">
        <v>719</v>
      </c>
      <c r="C2795" s="21">
        <v>20060368076604</v>
      </c>
      <c r="D2795" s="20" t="s">
        <v>114</v>
      </c>
      <c r="E2795" s="22">
        <v>64.099999999999994</v>
      </c>
      <c r="F2795" s="9"/>
      <c r="G2795" s="14" t="str">
        <f t="shared" si="102"/>
        <v>O</v>
      </c>
      <c r="H2795" s="15">
        <f t="shared" si="101"/>
        <v>32.049999999999997</v>
      </c>
    </row>
    <row r="2796" spans="1:8" x14ac:dyDescent="0.3">
      <c r="A2796" s="19">
        <v>6</v>
      </c>
      <c r="B2796" s="20" t="s">
        <v>719</v>
      </c>
      <c r="C2796" s="21">
        <v>20060368076604</v>
      </c>
      <c r="D2796" s="69" t="s">
        <v>647</v>
      </c>
      <c r="E2796" s="22">
        <v>0.4</v>
      </c>
      <c r="F2796" s="9"/>
      <c r="G2796" s="14" t="str">
        <f t="shared" si="102"/>
        <v>O</v>
      </c>
      <c r="H2796" s="15">
        <f t="shared" si="101"/>
        <v>0.2</v>
      </c>
    </row>
    <row r="2797" spans="1:8" x14ac:dyDescent="0.3">
      <c r="A2797" s="19">
        <v>7</v>
      </c>
      <c r="B2797" s="20" t="s">
        <v>719</v>
      </c>
      <c r="C2797" s="21">
        <v>20060368076604</v>
      </c>
      <c r="D2797" s="69" t="s">
        <v>519</v>
      </c>
      <c r="E2797" s="22">
        <v>18.3</v>
      </c>
      <c r="F2797" s="9"/>
      <c r="G2797" s="14" t="str">
        <f t="shared" si="102"/>
        <v>O</v>
      </c>
      <c r="H2797" s="15">
        <f t="shared" si="101"/>
        <v>9.15</v>
      </c>
    </row>
    <row r="2798" spans="1:8" x14ac:dyDescent="0.3">
      <c r="A2798" s="19">
        <v>8</v>
      </c>
      <c r="B2798" s="20" t="s">
        <v>719</v>
      </c>
      <c r="C2798" s="21">
        <v>20060368076604</v>
      </c>
      <c r="D2798" s="69" t="s">
        <v>492</v>
      </c>
      <c r="E2798" s="22">
        <v>4.5999999999999996</v>
      </c>
      <c r="F2798" s="9"/>
      <c r="G2798" s="14" t="str">
        <f t="shared" si="102"/>
        <v>O</v>
      </c>
      <c r="H2798" s="15">
        <f t="shared" si="101"/>
        <v>2.2999999999999998</v>
      </c>
    </row>
    <row r="2799" spans="1:8" x14ac:dyDescent="0.3">
      <c r="A2799" s="19">
        <v>9</v>
      </c>
      <c r="B2799" s="20" t="s">
        <v>719</v>
      </c>
      <c r="C2799" s="21">
        <v>20060368076604</v>
      </c>
      <c r="D2799" s="69" t="s">
        <v>307</v>
      </c>
      <c r="E2799" s="22">
        <v>60</v>
      </c>
      <c r="F2799" s="9"/>
      <c r="G2799" s="14" t="str">
        <f t="shared" si="102"/>
        <v>O</v>
      </c>
      <c r="H2799" s="15">
        <f t="shared" si="101"/>
        <v>30</v>
      </c>
    </row>
    <row r="2800" spans="1:8" x14ac:dyDescent="0.3">
      <c r="A2800" s="19">
        <v>10</v>
      </c>
      <c r="B2800" s="20" t="s">
        <v>719</v>
      </c>
      <c r="C2800" s="21">
        <v>20060368076604</v>
      </c>
      <c r="D2800" s="69" t="s">
        <v>698</v>
      </c>
      <c r="E2800" s="22">
        <v>2.5</v>
      </c>
      <c r="F2800" s="9"/>
      <c r="G2800" s="14" t="str">
        <f t="shared" si="102"/>
        <v>O</v>
      </c>
      <c r="H2800" s="15">
        <f t="shared" si="101"/>
        <v>1.25</v>
      </c>
    </row>
    <row r="2801" spans="1:8" x14ac:dyDescent="0.3">
      <c r="A2801" s="19">
        <v>11</v>
      </c>
      <c r="B2801" s="20" t="s">
        <v>719</v>
      </c>
      <c r="C2801" s="21">
        <v>20060368076604</v>
      </c>
      <c r="D2801" s="69" t="s">
        <v>718</v>
      </c>
      <c r="E2801" s="22">
        <v>2</v>
      </c>
      <c r="F2801" s="9"/>
      <c r="G2801" s="14" t="str">
        <f t="shared" si="102"/>
        <v>O</v>
      </c>
      <c r="H2801" s="15">
        <f t="shared" si="101"/>
        <v>1</v>
      </c>
    </row>
    <row r="2802" spans="1:8" x14ac:dyDescent="0.3">
      <c r="A2802" s="19">
        <v>12</v>
      </c>
      <c r="B2802" s="20" t="s">
        <v>719</v>
      </c>
      <c r="C2802" s="21">
        <v>20060368076604</v>
      </c>
      <c r="D2802" s="69" t="s">
        <v>303</v>
      </c>
      <c r="E2802" s="22">
        <v>70</v>
      </c>
      <c r="F2802" s="9"/>
      <c r="G2802" s="14" t="str">
        <f t="shared" si="102"/>
        <v>O</v>
      </c>
      <c r="H2802" s="15">
        <f t="shared" si="101"/>
        <v>35</v>
      </c>
    </row>
    <row r="2803" spans="1:8" x14ac:dyDescent="0.3">
      <c r="A2803" s="19">
        <v>1</v>
      </c>
      <c r="B2803" s="20" t="s">
        <v>720</v>
      </c>
      <c r="C2803" s="21">
        <v>20060368076975</v>
      </c>
      <c r="D2803" s="20" t="s">
        <v>284</v>
      </c>
      <c r="E2803" s="22">
        <v>188.5</v>
      </c>
      <c r="F2803" s="9"/>
      <c r="G2803" s="14" t="str">
        <f t="shared" si="102"/>
        <v>O</v>
      </c>
      <c r="H2803" s="15">
        <f t="shared" si="101"/>
        <v>94.25</v>
      </c>
    </row>
    <row r="2804" spans="1:8" x14ac:dyDescent="0.3">
      <c r="A2804" s="19">
        <v>2</v>
      </c>
      <c r="B2804" s="20" t="s">
        <v>720</v>
      </c>
      <c r="C2804" s="21">
        <v>20060368076975</v>
      </c>
      <c r="D2804" s="69" t="s">
        <v>669</v>
      </c>
      <c r="E2804" s="22">
        <v>150.80000000000001</v>
      </c>
      <c r="F2804" s="9"/>
      <c r="G2804" s="14" t="str">
        <f t="shared" si="102"/>
        <v>O</v>
      </c>
      <c r="H2804" s="15">
        <f t="shared" si="101"/>
        <v>75.400000000000006</v>
      </c>
    </row>
    <row r="2805" spans="1:8" x14ac:dyDescent="0.3">
      <c r="A2805" s="19">
        <v>3</v>
      </c>
      <c r="B2805" s="20" t="s">
        <v>720</v>
      </c>
      <c r="C2805" s="21">
        <v>20060368076975</v>
      </c>
      <c r="D2805" s="20" t="s">
        <v>114</v>
      </c>
      <c r="E2805" s="22">
        <v>309.2</v>
      </c>
      <c r="F2805" s="9"/>
      <c r="G2805" s="14" t="str">
        <f t="shared" si="102"/>
        <v>O</v>
      </c>
      <c r="H2805" s="15">
        <f t="shared" ref="H2805:H2868" si="103">E2805/2</f>
        <v>154.6</v>
      </c>
    </row>
    <row r="2806" spans="1:8" x14ac:dyDescent="0.3">
      <c r="A2806" s="19">
        <v>4</v>
      </c>
      <c r="B2806" s="20" t="s">
        <v>720</v>
      </c>
      <c r="C2806" s="21">
        <v>20060368076975</v>
      </c>
      <c r="D2806" s="69" t="s">
        <v>220</v>
      </c>
      <c r="E2806" s="22">
        <v>3.8</v>
      </c>
      <c r="F2806" s="9"/>
      <c r="G2806" s="14" t="str">
        <f t="shared" si="102"/>
        <v>O</v>
      </c>
      <c r="H2806" s="15">
        <f t="shared" si="103"/>
        <v>1.9</v>
      </c>
    </row>
    <row r="2807" spans="1:8" x14ac:dyDescent="0.3">
      <c r="A2807" s="19">
        <v>5</v>
      </c>
      <c r="B2807" s="20" t="s">
        <v>720</v>
      </c>
      <c r="C2807" s="21">
        <v>20060368076975</v>
      </c>
      <c r="D2807" s="69" t="s">
        <v>325</v>
      </c>
      <c r="E2807" s="22">
        <v>6.8</v>
      </c>
      <c r="F2807" s="9"/>
      <c r="G2807" s="14" t="str">
        <f t="shared" si="102"/>
        <v>O</v>
      </c>
      <c r="H2807" s="15">
        <f t="shared" si="103"/>
        <v>3.4</v>
      </c>
    </row>
    <row r="2808" spans="1:8" x14ac:dyDescent="0.3">
      <c r="A2808" s="19">
        <v>6</v>
      </c>
      <c r="B2808" s="20" t="s">
        <v>720</v>
      </c>
      <c r="C2808" s="21">
        <v>20060368076975</v>
      </c>
      <c r="D2808" s="69" t="s">
        <v>459</v>
      </c>
      <c r="E2808" s="22">
        <v>75.400000000000006</v>
      </c>
      <c r="F2808" s="9"/>
      <c r="G2808" s="14" t="str">
        <f t="shared" si="102"/>
        <v>O</v>
      </c>
      <c r="H2808" s="15">
        <f t="shared" si="103"/>
        <v>37.700000000000003</v>
      </c>
    </row>
    <row r="2809" spans="1:8" x14ac:dyDescent="0.3">
      <c r="A2809" s="19">
        <v>7</v>
      </c>
      <c r="B2809" s="20" t="s">
        <v>720</v>
      </c>
      <c r="C2809" s="21">
        <v>20060368076975</v>
      </c>
      <c r="D2809" s="69" t="s">
        <v>662</v>
      </c>
      <c r="E2809" s="22">
        <v>75.400000000000006</v>
      </c>
      <c r="F2809" s="9"/>
      <c r="G2809" s="14" t="str">
        <f t="shared" si="102"/>
        <v>O</v>
      </c>
      <c r="H2809" s="15">
        <f t="shared" si="103"/>
        <v>37.700000000000003</v>
      </c>
    </row>
    <row r="2810" spans="1:8" x14ac:dyDescent="0.3">
      <c r="A2810" s="19">
        <v>1</v>
      </c>
      <c r="B2810" s="20" t="s">
        <v>721</v>
      </c>
      <c r="C2810" s="21">
        <v>20060368076973</v>
      </c>
      <c r="D2810" s="69" t="s">
        <v>644</v>
      </c>
      <c r="E2810" s="22">
        <v>383.4</v>
      </c>
      <c r="F2810" s="9"/>
      <c r="G2810" s="14" t="str">
        <f t="shared" si="102"/>
        <v>O</v>
      </c>
      <c r="H2810" s="15">
        <f t="shared" si="103"/>
        <v>191.7</v>
      </c>
    </row>
    <row r="2811" spans="1:8" x14ac:dyDescent="0.3">
      <c r="A2811" s="19">
        <v>2</v>
      </c>
      <c r="B2811" s="20" t="s">
        <v>721</v>
      </c>
      <c r="C2811" s="21">
        <v>20060368076973</v>
      </c>
      <c r="D2811" s="69" t="s">
        <v>220</v>
      </c>
      <c r="E2811" s="22">
        <v>3.8</v>
      </c>
      <c r="F2811" s="9"/>
      <c r="G2811" s="14" t="str">
        <f t="shared" si="102"/>
        <v>O</v>
      </c>
      <c r="H2811" s="15">
        <f t="shared" si="103"/>
        <v>1.9</v>
      </c>
    </row>
    <row r="2812" spans="1:8" x14ac:dyDescent="0.3">
      <c r="A2812" s="19">
        <v>3</v>
      </c>
      <c r="B2812" s="20" t="s">
        <v>721</v>
      </c>
      <c r="C2812" s="21">
        <v>20060368076973</v>
      </c>
      <c r="D2812" s="20" t="s">
        <v>114</v>
      </c>
      <c r="E2812" s="22">
        <v>358.4</v>
      </c>
      <c r="F2812" s="9"/>
      <c r="G2812" s="14" t="str">
        <f t="shared" si="102"/>
        <v>O</v>
      </c>
      <c r="H2812" s="15">
        <f t="shared" si="103"/>
        <v>179.2</v>
      </c>
    </row>
    <row r="2813" spans="1:8" x14ac:dyDescent="0.3">
      <c r="A2813" s="19">
        <v>4</v>
      </c>
      <c r="B2813" s="20" t="s">
        <v>721</v>
      </c>
      <c r="C2813" s="21">
        <v>20060368076973</v>
      </c>
      <c r="D2813" s="69" t="s">
        <v>325</v>
      </c>
      <c r="E2813" s="22">
        <v>7.7</v>
      </c>
      <c r="F2813" s="9"/>
      <c r="G2813" s="14" t="str">
        <f t="shared" ref="G2813:G2876" si="104">IF(D2813="","",IF(COUNTIF(I:I,D2813)&gt;0,"O","X"))</f>
        <v>O</v>
      </c>
      <c r="H2813" s="15">
        <f t="shared" si="103"/>
        <v>3.85</v>
      </c>
    </row>
    <row r="2814" spans="1:8" x14ac:dyDescent="0.3">
      <c r="A2814" s="19">
        <v>5</v>
      </c>
      <c r="B2814" s="20" t="s">
        <v>721</v>
      </c>
      <c r="C2814" s="21">
        <v>20060368076973</v>
      </c>
      <c r="D2814" s="69" t="s">
        <v>459</v>
      </c>
      <c r="E2814" s="22">
        <v>47.9</v>
      </c>
      <c r="F2814" s="9"/>
      <c r="G2814" s="14" t="str">
        <f t="shared" si="104"/>
        <v>O</v>
      </c>
      <c r="H2814" s="15">
        <f t="shared" si="103"/>
        <v>23.95</v>
      </c>
    </row>
    <row r="2815" spans="1:8" x14ac:dyDescent="0.3">
      <c r="A2815" s="19">
        <v>6</v>
      </c>
      <c r="B2815" s="20" t="s">
        <v>721</v>
      </c>
      <c r="C2815" s="21">
        <v>20060368076973</v>
      </c>
      <c r="D2815" s="69" t="s">
        <v>662</v>
      </c>
      <c r="E2815" s="22">
        <v>28.8</v>
      </c>
      <c r="F2815" s="9"/>
      <c r="G2815" s="14" t="str">
        <f t="shared" si="104"/>
        <v>O</v>
      </c>
      <c r="H2815" s="15">
        <f t="shared" si="103"/>
        <v>14.4</v>
      </c>
    </row>
    <row r="2816" spans="1:8" x14ac:dyDescent="0.3">
      <c r="A2816" s="19">
        <v>1</v>
      </c>
      <c r="B2816" s="20" t="s">
        <v>722</v>
      </c>
      <c r="C2816" s="21">
        <v>20060368076974</v>
      </c>
      <c r="D2816" s="20" t="s">
        <v>114</v>
      </c>
      <c r="E2816" s="22">
        <v>265.60000000000002</v>
      </c>
      <c r="F2816" s="9"/>
      <c r="G2816" s="14" t="str">
        <f t="shared" si="104"/>
        <v>O</v>
      </c>
      <c r="H2816" s="15">
        <f t="shared" si="103"/>
        <v>132.80000000000001</v>
      </c>
    </row>
    <row r="2817" spans="1:8" x14ac:dyDescent="0.3">
      <c r="A2817" s="19">
        <v>2</v>
      </c>
      <c r="B2817" s="20" t="s">
        <v>722</v>
      </c>
      <c r="C2817" s="21">
        <v>20060368076974</v>
      </c>
      <c r="D2817" s="20" t="s">
        <v>284</v>
      </c>
      <c r="E2817" s="22">
        <v>188.1</v>
      </c>
      <c r="F2817" s="9"/>
      <c r="G2817" s="14" t="str">
        <f t="shared" si="104"/>
        <v>O</v>
      </c>
      <c r="H2817" s="15">
        <f t="shared" si="103"/>
        <v>94.05</v>
      </c>
    </row>
    <row r="2818" spans="1:8" x14ac:dyDescent="0.3">
      <c r="A2818" s="19">
        <v>3</v>
      </c>
      <c r="B2818" s="20" t="s">
        <v>722</v>
      </c>
      <c r="C2818" s="21">
        <v>20060368076974</v>
      </c>
      <c r="D2818" s="69" t="s">
        <v>644</v>
      </c>
      <c r="E2818" s="22">
        <v>33.200000000000003</v>
      </c>
      <c r="F2818" s="9"/>
      <c r="G2818" s="14" t="str">
        <f t="shared" si="104"/>
        <v>O</v>
      </c>
      <c r="H2818" s="15">
        <f t="shared" si="103"/>
        <v>16.600000000000001</v>
      </c>
    </row>
    <row r="2819" spans="1:8" x14ac:dyDescent="0.3">
      <c r="A2819" s="19">
        <v>4</v>
      </c>
      <c r="B2819" s="20" t="s">
        <v>722</v>
      </c>
      <c r="C2819" s="21">
        <v>20060368076974</v>
      </c>
      <c r="D2819" s="69" t="s">
        <v>669</v>
      </c>
      <c r="E2819" s="22">
        <v>66.400000000000006</v>
      </c>
      <c r="F2819" s="9"/>
      <c r="G2819" s="14" t="str">
        <f t="shared" si="104"/>
        <v>O</v>
      </c>
      <c r="H2819" s="15">
        <f t="shared" si="103"/>
        <v>33.200000000000003</v>
      </c>
    </row>
    <row r="2820" spans="1:8" x14ac:dyDescent="0.3">
      <c r="A2820" s="19">
        <v>5</v>
      </c>
      <c r="B2820" s="20" t="s">
        <v>722</v>
      </c>
      <c r="C2820" s="21">
        <v>20060368076974</v>
      </c>
      <c r="D2820" s="69" t="s">
        <v>674</v>
      </c>
      <c r="E2820" s="22">
        <v>50.9</v>
      </c>
      <c r="F2820" s="9"/>
      <c r="G2820" s="14" t="str">
        <f t="shared" si="104"/>
        <v>O</v>
      </c>
      <c r="H2820" s="15">
        <f t="shared" si="103"/>
        <v>25.45</v>
      </c>
    </row>
    <row r="2821" spans="1:8" x14ac:dyDescent="0.3">
      <c r="A2821" s="19">
        <v>6</v>
      </c>
      <c r="B2821" s="20" t="s">
        <v>722</v>
      </c>
      <c r="C2821" s="21">
        <v>20060368076974</v>
      </c>
      <c r="D2821" s="69" t="s">
        <v>45</v>
      </c>
      <c r="E2821" s="22">
        <v>22.1</v>
      </c>
      <c r="F2821" s="9"/>
      <c r="G2821" s="14" t="str">
        <f t="shared" si="104"/>
        <v>O</v>
      </c>
      <c r="H2821" s="15">
        <f t="shared" si="103"/>
        <v>11.05</v>
      </c>
    </row>
    <row r="2822" spans="1:8" x14ac:dyDescent="0.3">
      <c r="A2822" s="19">
        <v>7</v>
      </c>
      <c r="B2822" s="20" t="s">
        <v>722</v>
      </c>
      <c r="C2822" s="21">
        <v>20060368076974</v>
      </c>
      <c r="D2822" s="69" t="s">
        <v>325</v>
      </c>
      <c r="E2822" s="22">
        <v>7.3</v>
      </c>
      <c r="F2822" s="9"/>
      <c r="G2822" s="14" t="str">
        <f t="shared" si="104"/>
        <v>O</v>
      </c>
      <c r="H2822" s="15">
        <f t="shared" si="103"/>
        <v>3.65</v>
      </c>
    </row>
    <row r="2823" spans="1:8" x14ac:dyDescent="0.3">
      <c r="A2823" s="19">
        <v>8</v>
      </c>
      <c r="B2823" s="20" t="s">
        <v>722</v>
      </c>
      <c r="C2823" s="21">
        <v>20060368076974</v>
      </c>
      <c r="D2823" s="69" t="s">
        <v>220</v>
      </c>
      <c r="E2823" s="22">
        <v>2.2000000000000002</v>
      </c>
      <c r="F2823" s="9"/>
      <c r="G2823" s="14" t="str">
        <f t="shared" si="104"/>
        <v>O</v>
      </c>
      <c r="H2823" s="15">
        <f t="shared" si="103"/>
        <v>1.1000000000000001</v>
      </c>
    </row>
    <row r="2824" spans="1:8" x14ac:dyDescent="0.3">
      <c r="A2824" s="19">
        <v>9</v>
      </c>
      <c r="B2824" s="20" t="s">
        <v>722</v>
      </c>
      <c r="C2824" s="21">
        <v>20060368076974</v>
      </c>
      <c r="D2824" s="69" t="s">
        <v>459</v>
      </c>
      <c r="E2824" s="22">
        <v>99.6</v>
      </c>
      <c r="F2824" s="9"/>
      <c r="G2824" s="14" t="str">
        <f t="shared" si="104"/>
        <v>O</v>
      </c>
      <c r="H2824" s="15">
        <f t="shared" si="103"/>
        <v>49.8</v>
      </c>
    </row>
    <row r="2825" spans="1:8" x14ac:dyDescent="0.3">
      <c r="A2825" s="19">
        <v>10</v>
      </c>
      <c r="B2825" s="20" t="s">
        <v>722</v>
      </c>
      <c r="C2825" s="21">
        <v>20060368076974</v>
      </c>
      <c r="D2825" s="69" t="s">
        <v>662</v>
      </c>
      <c r="E2825" s="22">
        <v>88.5</v>
      </c>
      <c r="F2825" s="9"/>
      <c r="G2825" s="14" t="str">
        <f t="shared" si="104"/>
        <v>O</v>
      </c>
      <c r="H2825" s="15">
        <f t="shared" si="103"/>
        <v>44.25</v>
      </c>
    </row>
    <row r="2826" spans="1:8" x14ac:dyDescent="0.3">
      <c r="A2826" s="19">
        <v>1</v>
      </c>
      <c r="B2826" s="20" t="s">
        <v>723</v>
      </c>
      <c r="C2826" s="21">
        <v>20060368076977</v>
      </c>
      <c r="D2826" s="20" t="s">
        <v>284</v>
      </c>
      <c r="E2826" s="22">
        <v>367.5</v>
      </c>
      <c r="F2826" s="9"/>
      <c r="G2826" s="14" t="str">
        <f t="shared" si="104"/>
        <v>O</v>
      </c>
      <c r="H2826" s="15">
        <f t="shared" si="103"/>
        <v>183.75</v>
      </c>
    </row>
    <row r="2827" spans="1:8" x14ac:dyDescent="0.3">
      <c r="A2827" s="19">
        <v>2</v>
      </c>
      <c r="B2827" s="20" t="s">
        <v>723</v>
      </c>
      <c r="C2827" s="21">
        <v>20060368076977</v>
      </c>
      <c r="D2827" s="20" t="s">
        <v>114</v>
      </c>
      <c r="E2827" s="22">
        <v>296.8</v>
      </c>
      <c r="F2827" s="9"/>
      <c r="G2827" s="14" t="str">
        <f t="shared" si="104"/>
        <v>O</v>
      </c>
      <c r="H2827" s="15">
        <f t="shared" si="103"/>
        <v>148.4</v>
      </c>
    </row>
    <row r="2828" spans="1:8" x14ac:dyDescent="0.3">
      <c r="A2828" s="19">
        <v>3</v>
      </c>
      <c r="B2828" s="20" t="s">
        <v>723</v>
      </c>
      <c r="C2828" s="21">
        <v>20060368076977</v>
      </c>
      <c r="D2828" s="69" t="s">
        <v>459</v>
      </c>
      <c r="E2828" s="22">
        <v>84.8</v>
      </c>
      <c r="F2828" s="9"/>
      <c r="G2828" s="14" t="str">
        <f t="shared" si="104"/>
        <v>O</v>
      </c>
      <c r="H2828" s="15">
        <f t="shared" si="103"/>
        <v>42.4</v>
      </c>
    </row>
    <row r="2829" spans="1:8" x14ac:dyDescent="0.3">
      <c r="A2829" s="19">
        <v>4</v>
      </c>
      <c r="B2829" s="20" t="s">
        <v>723</v>
      </c>
      <c r="C2829" s="21">
        <v>20060368076977</v>
      </c>
      <c r="D2829" s="20" t="s">
        <v>724</v>
      </c>
      <c r="E2829" s="22">
        <v>21.2</v>
      </c>
      <c r="F2829" s="9"/>
      <c r="G2829" s="14" t="str">
        <f t="shared" si="104"/>
        <v>O</v>
      </c>
      <c r="H2829" s="15">
        <f t="shared" si="103"/>
        <v>10.6</v>
      </c>
    </row>
    <row r="2830" spans="1:8" x14ac:dyDescent="0.3">
      <c r="A2830" s="19">
        <v>5</v>
      </c>
      <c r="B2830" s="20" t="s">
        <v>723</v>
      </c>
      <c r="C2830" s="21">
        <v>20060368076977</v>
      </c>
      <c r="D2830" s="69" t="s">
        <v>710</v>
      </c>
      <c r="E2830" s="22">
        <v>8.5</v>
      </c>
      <c r="F2830" s="9"/>
      <c r="G2830" s="14" t="str">
        <f t="shared" si="104"/>
        <v>O</v>
      </c>
      <c r="H2830" s="15">
        <f t="shared" si="103"/>
        <v>4.25</v>
      </c>
    </row>
    <row r="2831" spans="1:8" x14ac:dyDescent="0.3">
      <c r="A2831" s="19">
        <v>6</v>
      </c>
      <c r="B2831" s="20" t="s">
        <v>723</v>
      </c>
      <c r="C2831" s="21">
        <v>20060368076977</v>
      </c>
      <c r="D2831" s="69" t="s">
        <v>325</v>
      </c>
      <c r="E2831" s="22">
        <v>8.1999999999999993</v>
      </c>
      <c r="F2831" s="9"/>
      <c r="G2831" s="14" t="str">
        <f t="shared" si="104"/>
        <v>O</v>
      </c>
      <c r="H2831" s="15">
        <f t="shared" si="103"/>
        <v>4.0999999999999996</v>
      </c>
    </row>
    <row r="2832" spans="1:8" x14ac:dyDescent="0.3">
      <c r="A2832" s="19">
        <v>7</v>
      </c>
      <c r="B2832" s="20" t="s">
        <v>723</v>
      </c>
      <c r="C2832" s="21">
        <v>20060368076977</v>
      </c>
      <c r="D2832" s="69" t="s">
        <v>662</v>
      </c>
      <c r="E2832" s="22">
        <v>113.1</v>
      </c>
      <c r="F2832" s="9"/>
      <c r="G2832" s="14" t="str">
        <f t="shared" si="104"/>
        <v>O</v>
      </c>
      <c r="H2832" s="15">
        <f t="shared" si="103"/>
        <v>56.55</v>
      </c>
    </row>
    <row r="2833" spans="1:8" x14ac:dyDescent="0.3">
      <c r="A2833" s="19">
        <v>1</v>
      </c>
      <c r="B2833" s="20" t="s">
        <v>725</v>
      </c>
      <c r="C2833" s="21">
        <v>20060368076978</v>
      </c>
      <c r="D2833" s="20" t="s">
        <v>284</v>
      </c>
      <c r="E2833" s="22">
        <v>335</v>
      </c>
      <c r="F2833" s="9"/>
      <c r="G2833" s="14" t="str">
        <f t="shared" si="104"/>
        <v>O</v>
      </c>
      <c r="H2833" s="15">
        <f t="shared" si="103"/>
        <v>167.5</v>
      </c>
    </row>
    <row r="2834" spans="1:8" x14ac:dyDescent="0.3">
      <c r="A2834" s="19">
        <v>2</v>
      </c>
      <c r="B2834" s="20" t="s">
        <v>725</v>
      </c>
      <c r="C2834" s="21">
        <v>20060368076978</v>
      </c>
      <c r="D2834" s="20" t="s">
        <v>114</v>
      </c>
      <c r="E2834" s="22">
        <v>270.60000000000002</v>
      </c>
      <c r="F2834" s="9"/>
      <c r="G2834" s="14" t="str">
        <f t="shared" si="104"/>
        <v>O</v>
      </c>
      <c r="H2834" s="15">
        <f t="shared" si="103"/>
        <v>135.30000000000001</v>
      </c>
    </row>
    <row r="2835" spans="1:8" x14ac:dyDescent="0.3">
      <c r="A2835" s="19">
        <v>3</v>
      </c>
      <c r="B2835" s="20" t="s">
        <v>725</v>
      </c>
      <c r="C2835" s="21">
        <v>20060368076978</v>
      </c>
      <c r="D2835" s="69" t="s">
        <v>459</v>
      </c>
      <c r="E2835" s="22">
        <v>77.3</v>
      </c>
      <c r="F2835" s="9"/>
      <c r="G2835" s="14" t="str">
        <f t="shared" si="104"/>
        <v>O</v>
      </c>
      <c r="H2835" s="15">
        <f t="shared" si="103"/>
        <v>38.65</v>
      </c>
    </row>
    <row r="2836" spans="1:8" x14ac:dyDescent="0.3">
      <c r="A2836" s="19">
        <v>4</v>
      </c>
      <c r="B2836" s="20" t="s">
        <v>725</v>
      </c>
      <c r="C2836" s="21">
        <v>20060368076978</v>
      </c>
      <c r="D2836" s="69" t="s">
        <v>650</v>
      </c>
      <c r="E2836" s="22">
        <v>18.8</v>
      </c>
      <c r="F2836" s="9"/>
      <c r="G2836" s="14" t="str">
        <f t="shared" si="104"/>
        <v>O</v>
      </c>
      <c r="H2836" s="15">
        <f t="shared" si="103"/>
        <v>9.4</v>
      </c>
    </row>
    <row r="2837" spans="1:8" x14ac:dyDescent="0.3">
      <c r="A2837" s="19">
        <v>5</v>
      </c>
      <c r="B2837" s="20" t="s">
        <v>725</v>
      </c>
      <c r="C2837" s="21">
        <v>20060368076978</v>
      </c>
      <c r="D2837" s="69" t="s">
        <v>710</v>
      </c>
      <c r="E2837" s="22">
        <v>7.7</v>
      </c>
      <c r="F2837" s="9"/>
      <c r="G2837" s="14" t="str">
        <f t="shared" si="104"/>
        <v>O</v>
      </c>
      <c r="H2837" s="15">
        <f t="shared" si="103"/>
        <v>3.85</v>
      </c>
    </row>
    <row r="2838" spans="1:8" x14ac:dyDescent="0.3">
      <c r="A2838" s="19">
        <v>6</v>
      </c>
      <c r="B2838" s="20" t="s">
        <v>725</v>
      </c>
      <c r="C2838" s="21">
        <v>20060368076978</v>
      </c>
      <c r="D2838" s="69" t="s">
        <v>325</v>
      </c>
      <c r="E2838" s="22">
        <v>7.5</v>
      </c>
      <c r="F2838" s="9"/>
      <c r="G2838" s="14" t="str">
        <f t="shared" si="104"/>
        <v>O</v>
      </c>
      <c r="H2838" s="15">
        <f t="shared" si="103"/>
        <v>3.75</v>
      </c>
    </row>
    <row r="2839" spans="1:8" x14ac:dyDescent="0.3">
      <c r="A2839" s="19">
        <v>7</v>
      </c>
      <c r="B2839" s="20" t="s">
        <v>725</v>
      </c>
      <c r="C2839" s="21">
        <v>20060368076978</v>
      </c>
      <c r="D2839" s="69" t="s">
        <v>662</v>
      </c>
      <c r="E2839" s="22">
        <v>103.1</v>
      </c>
      <c r="F2839" s="9"/>
      <c r="G2839" s="14" t="str">
        <f t="shared" si="104"/>
        <v>O</v>
      </c>
      <c r="H2839" s="15">
        <f t="shared" si="103"/>
        <v>51.55</v>
      </c>
    </row>
    <row r="2840" spans="1:8" x14ac:dyDescent="0.3">
      <c r="A2840" s="19">
        <v>1</v>
      </c>
      <c r="B2840" s="20" t="s">
        <v>726</v>
      </c>
      <c r="C2840" s="21">
        <v>20060368076976</v>
      </c>
      <c r="D2840" s="20" t="s">
        <v>284</v>
      </c>
      <c r="E2840" s="22">
        <v>328</v>
      </c>
      <c r="F2840" s="9"/>
      <c r="G2840" s="14" t="str">
        <f t="shared" si="104"/>
        <v>O</v>
      </c>
      <c r="H2840" s="15">
        <f t="shared" si="103"/>
        <v>164</v>
      </c>
    </row>
    <row r="2841" spans="1:8" x14ac:dyDescent="0.3">
      <c r="A2841" s="19">
        <v>2</v>
      </c>
      <c r="B2841" s="20" t="s">
        <v>726</v>
      </c>
      <c r="C2841" s="21">
        <v>20060368076976</v>
      </c>
      <c r="D2841" s="20" t="s">
        <v>114</v>
      </c>
      <c r="E2841" s="22">
        <v>338.2</v>
      </c>
      <c r="F2841" s="9"/>
      <c r="G2841" s="14" t="str">
        <f t="shared" si="104"/>
        <v>O</v>
      </c>
      <c r="H2841" s="15">
        <f t="shared" si="103"/>
        <v>169.1</v>
      </c>
    </row>
    <row r="2842" spans="1:8" x14ac:dyDescent="0.3">
      <c r="A2842" s="19">
        <v>3</v>
      </c>
      <c r="B2842" s="20" t="s">
        <v>726</v>
      </c>
      <c r="C2842" s="21">
        <v>20060368076976</v>
      </c>
      <c r="D2842" s="69" t="s">
        <v>669</v>
      </c>
      <c r="E2842" s="22">
        <v>51.2</v>
      </c>
      <c r="F2842" s="9"/>
      <c r="G2842" s="14" t="str">
        <f t="shared" si="104"/>
        <v>O</v>
      </c>
      <c r="H2842" s="15">
        <f t="shared" si="103"/>
        <v>25.6</v>
      </c>
    </row>
    <row r="2843" spans="1:8" x14ac:dyDescent="0.3">
      <c r="A2843" s="19">
        <v>4</v>
      </c>
      <c r="B2843" s="20" t="s">
        <v>726</v>
      </c>
      <c r="C2843" s="21">
        <v>20060368076976</v>
      </c>
      <c r="D2843" s="69" t="s">
        <v>459</v>
      </c>
      <c r="E2843" s="22">
        <v>41</v>
      </c>
      <c r="F2843" s="9"/>
      <c r="G2843" s="14" t="str">
        <f t="shared" si="104"/>
        <v>O</v>
      </c>
      <c r="H2843" s="15">
        <f t="shared" si="103"/>
        <v>20.5</v>
      </c>
    </row>
    <row r="2844" spans="1:8" x14ac:dyDescent="0.3">
      <c r="A2844" s="19">
        <v>5</v>
      </c>
      <c r="B2844" s="20" t="s">
        <v>726</v>
      </c>
      <c r="C2844" s="21">
        <v>20060368076976</v>
      </c>
      <c r="D2844" s="69" t="s">
        <v>644</v>
      </c>
      <c r="E2844" s="22">
        <v>30.7</v>
      </c>
      <c r="F2844" s="9"/>
      <c r="G2844" s="14" t="str">
        <f t="shared" si="104"/>
        <v>O</v>
      </c>
      <c r="H2844" s="15">
        <f t="shared" si="103"/>
        <v>15.35</v>
      </c>
    </row>
    <row r="2845" spans="1:8" x14ac:dyDescent="0.3">
      <c r="A2845" s="19">
        <v>6</v>
      </c>
      <c r="B2845" s="20" t="s">
        <v>726</v>
      </c>
      <c r="C2845" s="21">
        <v>20060368076976</v>
      </c>
      <c r="D2845" s="20" t="s">
        <v>325</v>
      </c>
      <c r="E2845" s="22">
        <v>8.1999999999999993</v>
      </c>
      <c r="F2845" s="9"/>
      <c r="G2845" s="14" t="str">
        <f t="shared" si="104"/>
        <v>O</v>
      </c>
      <c r="H2845" s="15">
        <f t="shared" si="103"/>
        <v>4.0999999999999996</v>
      </c>
    </row>
    <row r="2846" spans="1:8" x14ac:dyDescent="0.3">
      <c r="A2846" s="19">
        <v>7</v>
      </c>
      <c r="B2846" s="20" t="s">
        <v>726</v>
      </c>
      <c r="C2846" s="21">
        <v>20060368076976</v>
      </c>
      <c r="D2846" s="20" t="s">
        <v>662</v>
      </c>
      <c r="E2846" s="22">
        <v>102.5</v>
      </c>
      <c r="F2846" s="9"/>
      <c r="G2846" s="14" t="str">
        <f t="shared" si="104"/>
        <v>O</v>
      </c>
      <c r="H2846" s="15">
        <f t="shared" si="103"/>
        <v>51.25</v>
      </c>
    </row>
    <row r="2847" spans="1:8" x14ac:dyDescent="0.3">
      <c r="A2847" s="19">
        <v>1</v>
      </c>
      <c r="B2847" s="20" t="s">
        <v>727</v>
      </c>
      <c r="C2847" s="21">
        <v>20060368076979</v>
      </c>
      <c r="D2847" s="20" t="s">
        <v>284</v>
      </c>
      <c r="E2847" s="22">
        <v>147.1</v>
      </c>
      <c r="F2847" s="9"/>
      <c r="G2847" s="14" t="str">
        <f t="shared" si="104"/>
        <v>O</v>
      </c>
      <c r="H2847" s="15">
        <f t="shared" si="103"/>
        <v>73.55</v>
      </c>
    </row>
    <row r="2848" spans="1:8" x14ac:dyDescent="0.3">
      <c r="A2848" s="19">
        <v>2</v>
      </c>
      <c r="B2848" s="20" t="s">
        <v>727</v>
      </c>
      <c r="C2848" s="21">
        <v>20060368076979</v>
      </c>
      <c r="D2848" s="20" t="s">
        <v>114</v>
      </c>
      <c r="E2848" s="22">
        <v>118.8</v>
      </c>
      <c r="F2848" s="9"/>
      <c r="G2848" s="14" t="str">
        <f t="shared" si="104"/>
        <v>O</v>
      </c>
      <c r="H2848" s="15">
        <f t="shared" si="103"/>
        <v>59.4</v>
      </c>
    </row>
    <row r="2849" spans="1:8" x14ac:dyDescent="0.3">
      <c r="A2849" s="19">
        <v>3</v>
      </c>
      <c r="B2849" s="20" t="s">
        <v>727</v>
      </c>
      <c r="C2849" s="21">
        <v>20060368076979</v>
      </c>
      <c r="D2849" s="20" t="s">
        <v>728</v>
      </c>
      <c r="E2849" s="22">
        <v>100</v>
      </c>
      <c r="F2849" s="9"/>
      <c r="G2849" s="14" t="str">
        <f t="shared" si="104"/>
        <v>O</v>
      </c>
      <c r="H2849" s="15">
        <f t="shared" si="103"/>
        <v>50</v>
      </c>
    </row>
    <row r="2850" spans="1:8" x14ac:dyDescent="0.3">
      <c r="A2850" s="19">
        <v>4</v>
      </c>
      <c r="B2850" s="20" t="s">
        <v>727</v>
      </c>
      <c r="C2850" s="21">
        <v>20060368076979</v>
      </c>
      <c r="D2850" s="20" t="s">
        <v>459</v>
      </c>
      <c r="E2850" s="22">
        <v>34</v>
      </c>
      <c r="F2850" s="9"/>
      <c r="G2850" s="14" t="str">
        <f t="shared" si="104"/>
        <v>O</v>
      </c>
      <c r="H2850" s="15">
        <f t="shared" si="103"/>
        <v>17</v>
      </c>
    </row>
    <row r="2851" spans="1:8" x14ac:dyDescent="0.3">
      <c r="A2851" s="19">
        <v>5</v>
      </c>
      <c r="B2851" s="20" t="s">
        <v>727</v>
      </c>
      <c r="C2851" s="21">
        <v>20060368076979</v>
      </c>
      <c r="D2851" s="20" t="s">
        <v>325</v>
      </c>
      <c r="E2851" s="22">
        <v>3.5</v>
      </c>
      <c r="F2851" s="9"/>
      <c r="G2851" s="14" t="str">
        <f t="shared" si="104"/>
        <v>O</v>
      </c>
      <c r="H2851" s="15">
        <f t="shared" si="103"/>
        <v>1.75</v>
      </c>
    </row>
    <row r="2852" spans="1:8" x14ac:dyDescent="0.3">
      <c r="A2852" s="19">
        <v>6</v>
      </c>
      <c r="B2852" s="20" t="s">
        <v>727</v>
      </c>
      <c r="C2852" s="21">
        <v>20060368076979</v>
      </c>
      <c r="D2852" s="20" t="s">
        <v>729</v>
      </c>
      <c r="E2852" s="22">
        <v>0.4</v>
      </c>
      <c r="F2852" s="9"/>
      <c r="G2852" s="14" t="str">
        <f t="shared" si="104"/>
        <v>O</v>
      </c>
      <c r="H2852" s="15">
        <f t="shared" si="103"/>
        <v>0.2</v>
      </c>
    </row>
    <row r="2853" spans="1:8" x14ac:dyDescent="0.3">
      <c r="A2853" s="19">
        <v>7</v>
      </c>
      <c r="B2853" s="20" t="s">
        <v>727</v>
      </c>
      <c r="C2853" s="21">
        <v>20060368076979</v>
      </c>
      <c r="D2853" s="20" t="s">
        <v>724</v>
      </c>
      <c r="E2853" s="22">
        <v>9.4</v>
      </c>
      <c r="F2853" s="9"/>
      <c r="G2853" s="14" t="str">
        <f t="shared" si="104"/>
        <v>O</v>
      </c>
      <c r="H2853" s="15">
        <f t="shared" si="103"/>
        <v>4.7</v>
      </c>
    </row>
    <row r="2854" spans="1:8" x14ac:dyDescent="0.3">
      <c r="A2854" s="19">
        <v>8</v>
      </c>
      <c r="B2854" s="20" t="s">
        <v>727</v>
      </c>
      <c r="C2854" s="21">
        <v>20060368076979</v>
      </c>
      <c r="D2854" s="20" t="s">
        <v>159</v>
      </c>
      <c r="E2854" s="22">
        <v>2.2999999999999998</v>
      </c>
      <c r="F2854" s="9"/>
      <c r="G2854" s="14" t="str">
        <f t="shared" si="104"/>
        <v>O</v>
      </c>
      <c r="H2854" s="15">
        <f t="shared" si="103"/>
        <v>1.1499999999999999</v>
      </c>
    </row>
    <row r="2855" spans="1:8" x14ac:dyDescent="0.3">
      <c r="A2855" s="19">
        <v>9</v>
      </c>
      <c r="B2855" s="20" t="s">
        <v>727</v>
      </c>
      <c r="C2855" s="21">
        <v>20060368076979</v>
      </c>
      <c r="D2855" s="20" t="s">
        <v>662</v>
      </c>
      <c r="E2855" s="22">
        <v>90.5</v>
      </c>
      <c r="F2855" s="9"/>
      <c r="G2855" s="14" t="str">
        <f t="shared" si="104"/>
        <v>O</v>
      </c>
      <c r="H2855" s="15">
        <f t="shared" si="103"/>
        <v>45.25</v>
      </c>
    </row>
    <row r="2856" spans="1:8" x14ac:dyDescent="0.3">
      <c r="A2856" s="19">
        <v>1</v>
      </c>
      <c r="B2856" s="20" t="s">
        <v>730</v>
      </c>
      <c r="C2856" s="21">
        <v>20060368076980</v>
      </c>
      <c r="D2856" s="20" t="s">
        <v>284</v>
      </c>
      <c r="E2856" s="22">
        <v>147.1</v>
      </c>
      <c r="F2856" s="9"/>
      <c r="G2856" s="14" t="str">
        <f t="shared" si="104"/>
        <v>O</v>
      </c>
      <c r="H2856" s="15">
        <f t="shared" si="103"/>
        <v>73.55</v>
      </c>
    </row>
    <row r="2857" spans="1:8" x14ac:dyDescent="0.3">
      <c r="A2857" s="19">
        <v>2</v>
      </c>
      <c r="B2857" s="20" t="s">
        <v>730</v>
      </c>
      <c r="C2857" s="21">
        <v>20060368076980</v>
      </c>
      <c r="D2857" s="20" t="s">
        <v>114</v>
      </c>
      <c r="E2857" s="22">
        <v>118.8</v>
      </c>
      <c r="F2857" s="9"/>
      <c r="G2857" s="14" t="str">
        <f t="shared" si="104"/>
        <v>O</v>
      </c>
      <c r="H2857" s="15">
        <f t="shared" si="103"/>
        <v>59.4</v>
      </c>
    </row>
    <row r="2858" spans="1:8" x14ac:dyDescent="0.3">
      <c r="A2858" s="19">
        <v>3</v>
      </c>
      <c r="B2858" s="20" t="s">
        <v>730</v>
      </c>
      <c r="C2858" s="21">
        <v>20060368076980</v>
      </c>
      <c r="D2858" s="85" t="s">
        <v>540</v>
      </c>
      <c r="E2858" s="22">
        <v>120</v>
      </c>
      <c r="F2858" s="9"/>
      <c r="G2858" s="14" t="str">
        <f t="shared" si="104"/>
        <v>O</v>
      </c>
      <c r="H2858" s="15">
        <f t="shared" si="103"/>
        <v>60</v>
      </c>
    </row>
    <row r="2859" spans="1:8" x14ac:dyDescent="0.3">
      <c r="A2859" s="19">
        <v>4</v>
      </c>
      <c r="B2859" s="20" t="s">
        <v>730</v>
      </c>
      <c r="C2859" s="21">
        <v>20060368076980</v>
      </c>
      <c r="D2859" s="20" t="s">
        <v>459</v>
      </c>
      <c r="E2859" s="22">
        <v>34</v>
      </c>
      <c r="F2859" s="9"/>
      <c r="G2859" s="14" t="str">
        <f t="shared" si="104"/>
        <v>O</v>
      </c>
      <c r="H2859" s="15">
        <f t="shared" si="103"/>
        <v>17</v>
      </c>
    </row>
    <row r="2860" spans="1:8" x14ac:dyDescent="0.3">
      <c r="A2860" s="19">
        <v>5</v>
      </c>
      <c r="B2860" s="20" t="s">
        <v>730</v>
      </c>
      <c r="C2860" s="21">
        <v>20060368076980</v>
      </c>
      <c r="D2860" s="20" t="s">
        <v>325</v>
      </c>
      <c r="E2860" s="22">
        <v>3.5</v>
      </c>
      <c r="F2860" s="9"/>
      <c r="G2860" s="14" t="str">
        <f t="shared" si="104"/>
        <v>O</v>
      </c>
      <c r="H2860" s="15">
        <f t="shared" si="103"/>
        <v>1.75</v>
      </c>
    </row>
    <row r="2861" spans="1:8" x14ac:dyDescent="0.3">
      <c r="A2861" s="19">
        <v>6</v>
      </c>
      <c r="B2861" s="20" t="s">
        <v>730</v>
      </c>
      <c r="C2861" s="21">
        <v>20060368076980</v>
      </c>
      <c r="D2861" s="20" t="s">
        <v>710</v>
      </c>
      <c r="E2861" s="22">
        <v>2.2999999999999998</v>
      </c>
      <c r="F2861" s="9"/>
      <c r="G2861" s="14" t="str">
        <f t="shared" si="104"/>
        <v>O</v>
      </c>
      <c r="H2861" s="15">
        <f t="shared" si="103"/>
        <v>1.1499999999999999</v>
      </c>
    </row>
    <row r="2862" spans="1:8" x14ac:dyDescent="0.3">
      <c r="A2862" s="19">
        <v>7</v>
      </c>
      <c r="B2862" s="20" t="s">
        <v>730</v>
      </c>
      <c r="C2862" s="21">
        <v>20060368076980</v>
      </c>
      <c r="D2862" s="20" t="s">
        <v>662</v>
      </c>
      <c r="E2862" s="22">
        <v>90.5</v>
      </c>
      <c r="F2862" s="9"/>
      <c r="G2862" s="14" t="str">
        <f t="shared" si="104"/>
        <v>O</v>
      </c>
      <c r="H2862" s="15">
        <f t="shared" si="103"/>
        <v>45.25</v>
      </c>
    </row>
    <row r="2863" spans="1:8" x14ac:dyDescent="0.3">
      <c r="A2863" s="19">
        <v>8</v>
      </c>
      <c r="B2863" s="20" t="s">
        <v>730</v>
      </c>
      <c r="C2863" s="21">
        <v>20060368076980</v>
      </c>
      <c r="D2863" s="20" t="s">
        <v>724</v>
      </c>
      <c r="E2863" s="22">
        <v>9.4</v>
      </c>
      <c r="F2863" s="9"/>
      <c r="G2863" s="14" t="str">
        <f t="shared" si="104"/>
        <v>O</v>
      </c>
      <c r="H2863" s="15">
        <f t="shared" si="103"/>
        <v>4.7</v>
      </c>
    </row>
    <row r="2864" spans="1:8" ht="17.25" thickBot="1" x14ac:dyDescent="0.35">
      <c r="A2864" s="64">
        <v>9</v>
      </c>
      <c r="B2864" s="65" t="s">
        <v>730</v>
      </c>
      <c r="C2864" s="86">
        <v>20060368076980</v>
      </c>
      <c r="D2864" s="65" t="s">
        <v>729</v>
      </c>
      <c r="E2864" s="66">
        <v>0.4</v>
      </c>
      <c r="F2864" s="9"/>
      <c r="G2864" s="14" t="str">
        <f t="shared" si="104"/>
        <v>O</v>
      </c>
      <c r="H2864" s="15">
        <f t="shared" si="103"/>
        <v>0.2</v>
      </c>
    </row>
    <row r="2865" spans="1:8" x14ac:dyDescent="0.3">
      <c r="A2865" s="87">
        <v>1</v>
      </c>
      <c r="B2865" s="20" t="s">
        <v>731</v>
      </c>
      <c r="C2865" s="21">
        <v>200603680761006</v>
      </c>
      <c r="D2865" s="20" t="s">
        <v>284</v>
      </c>
      <c r="E2865" s="22">
        <v>71.900000000000006</v>
      </c>
      <c r="F2865" s="9"/>
      <c r="G2865" s="14" t="str">
        <f t="shared" si="104"/>
        <v>O</v>
      </c>
      <c r="H2865" s="15">
        <f t="shared" si="103"/>
        <v>35.950000000000003</v>
      </c>
    </row>
    <row r="2866" spans="1:8" x14ac:dyDescent="0.3">
      <c r="A2866" s="88">
        <v>2</v>
      </c>
      <c r="B2866" s="20" t="s">
        <v>732</v>
      </c>
      <c r="C2866" s="21">
        <v>200603680761006</v>
      </c>
      <c r="D2866" s="89" t="s">
        <v>495</v>
      </c>
      <c r="E2866" s="22">
        <v>35.9</v>
      </c>
      <c r="F2866" s="9"/>
      <c r="G2866" s="14" t="str">
        <f t="shared" si="104"/>
        <v>O</v>
      </c>
      <c r="H2866" s="15">
        <f t="shared" si="103"/>
        <v>17.95</v>
      </c>
    </row>
    <row r="2867" spans="1:8" x14ac:dyDescent="0.3">
      <c r="A2867" s="88">
        <v>3</v>
      </c>
      <c r="B2867" s="20" t="s">
        <v>732</v>
      </c>
      <c r="C2867" s="21">
        <v>200603680761006</v>
      </c>
      <c r="D2867" s="20" t="s">
        <v>196</v>
      </c>
      <c r="E2867" s="22">
        <v>32.200000000000003</v>
      </c>
      <c r="F2867" s="9"/>
      <c r="G2867" s="14" t="str">
        <f t="shared" si="104"/>
        <v>O</v>
      </c>
      <c r="H2867" s="15">
        <f t="shared" si="103"/>
        <v>16.100000000000001</v>
      </c>
    </row>
    <row r="2868" spans="1:8" x14ac:dyDescent="0.3">
      <c r="A2868" s="88">
        <v>4</v>
      </c>
      <c r="B2868" s="20" t="s">
        <v>732</v>
      </c>
      <c r="C2868" s="21">
        <v>200603680761006</v>
      </c>
      <c r="D2868" s="20" t="s">
        <v>255</v>
      </c>
      <c r="E2868" s="22">
        <v>19.7</v>
      </c>
      <c r="F2868" s="9"/>
      <c r="G2868" s="14" t="str">
        <f t="shared" si="104"/>
        <v>O</v>
      </c>
      <c r="H2868" s="15">
        <f t="shared" si="103"/>
        <v>9.85</v>
      </c>
    </row>
    <row r="2869" spans="1:8" x14ac:dyDescent="0.3">
      <c r="A2869" s="88">
        <v>5</v>
      </c>
      <c r="B2869" s="20" t="s">
        <v>732</v>
      </c>
      <c r="C2869" s="21">
        <v>200603680761006</v>
      </c>
      <c r="D2869" s="20" t="s">
        <v>17</v>
      </c>
      <c r="E2869" s="22">
        <v>15.1</v>
      </c>
      <c r="F2869" s="9"/>
      <c r="G2869" s="14" t="str">
        <f t="shared" si="104"/>
        <v>O</v>
      </c>
      <c r="H2869" s="15">
        <f t="shared" ref="H2869:H2932" si="105">E2869/2</f>
        <v>7.55</v>
      </c>
    </row>
    <row r="2870" spans="1:8" x14ac:dyDescent="0.3">
      <c r="A2870" s="88">
        <v>6</v>
      </c>
      <c r="B2870" s="20" t="s">
        <v>732</v>
      </c>
      <c r="C2870" s="21">
        <v>200603680761006</v>
      </c>
      <c r="D2870" s="20" t="s">
        <v>263</v>
      </c>
      <c r="E2870" s="22">
        <v>15.1</v>
      </c>
      <c r="F2870" s="9"/>
      <c r="G2870" s="14" t="str">
        <f t="shared" si="104"/>
        <v>O</v>
      </c>
      <c r="H2870" s="15">
        <f t="shared" si="105"/>
        <v>7.55</v>
      </c>
    </row>
    <row r="2871" spans="1:8" x14ac:dyDescent="0.3">
      <c r="A2871" s="88">
        <v>7</v>
      </c>
      <c r="B2871" s="20" t="s">
        <v>732</v>
      </c>
      <c r="C2871" s="21">
        <v>200603680761006</v>
      </c>
      <c r="D2871" s="20" t="s">
        <v>733</v>
      </c>
      <c r="E2871" s="22">
        <v>11.3</v>
      </c>
      <c r="F2871" s="9"/>
      <c r="G2871" s="14" t="str">
        <f t="shared" si="104"/>
        <v>O</v>
      </c>
      <c r="H2871" s="15">
        <f t="shared" si="105"/>
        <v>5.65</v>
      </c>
    </row>
    <row r="2872" spans="1:8" x14ac:dyDescent="0.3">
      <c r="A2872" s="88">
        <v>8</v>
      </c>
      <c r="B2872" s="20" t="s">
        <v>732</v>
      </c>
      <c r="C2872" s="21">
        <v>200603680761006</v>
      </c>
      <c r="D2872" s="20" t="s">
        <v>459</v>
      </c>
      <c r="E2872" s="22">
        <v>11.3</v>
      </c>
      <c r="F2872" s="9"/>
      <c r="G2872" s="14" t="str">
        <f t="shared" si="104"/>
        <v>O</v>
      </c>
      <c r="H2872" s="15">
        <f t="shared" si="105"/>
        <v>5.65</v>
      </c>
    </row>
    <row r="2873" spans="1:8" x14ac:dyDescent="0.3">
      <c r="A2873" s="88">
        <v>9</v>
      </c>
      <c r="B2873" s="20" t="s">
        <v>732</v>
      </c>
      <c r="C2873" s="21">
        <v>200603680761006</v>
      </c>
      <c r="D2873" s="20" t="s">
        <v>734</v>
      </c>
      <c r="E2873" s="22">
        <v>9.5</v>
      </c>
      <c r="F2873" s="9"/>
      <c r="G2873" s="14" t="str">
        <f t="shared" si="104"/>
        <v>O</v>
      </c>
      <c r="H2873" s="15">
        <f t="shared" si="105"/>
        <v>4.75</v>
      </c>
    </row>
    <row r="2874" spans="1:8" x14ac:dyDescent="0.3">
      <c r="A2874" s="88">
        <v>10</v>
      </c>
      <c r="B2874" s="20" t="s">
        <v>732</v>
      </c>
      <c r="C2874" s="21">
        <v>200603680761006</v>
      </c>
      <c r="D2874" s="20" t="s">
        <v>54</v>
      </c>
      <c r="E2874" s="22">
        <v>9.5</v>
      </c>
      <c r="F2874" s="9"/>
      <c r="G2874" s="14" t="str">
        <f t="shared" si="104"/>
        <v>O</v>
      </c>
      <c r="H2874" s="15">
        <f t="shared" si="105"/>
        <v>4.75</v>
      </c>
    </row>
    <row r="2875" spans="1:8" x14ac:dyDescent="0.3">
      <c r="A2875" s="88">
        <v>11</v>
      </c>
      <c r="B2875" s="20" t="s">
        <v>732</v>
      </c>
      <c r="C2875" s="21">
        <v>200603680761006</v>
      </c>
      <c r="D2875" s="20" t="s">
        <v>213</v>
      </c>
      <c r="E2875" s="22">
        <v>5.7</v>
      </c>
      <c r="F2875" s="9"/>
      <c r="G2875" s="14" t="str">
        <f t="shared" si="104"/>
        <v>O</v>
      </c>
      <c r="H2875" s="15">
        <f t="shared" si="105"/>
        <v>2.85</v>
      </c>
    </row>
    <row r="2876" spans="1:8" x14ac:dyDescent="0.3">
      <c r="A2876" s="88">
        <v>12</v>
      </c>
      <c r="B2876" s="20" t="s">
        <v>732</v>
      </c>
      <c r="C2876" s="21">
        <v>200603680761006</v>
      </c>
      <c r="D2876" s="20" t="s">
        <v>260</v>
      </c>
      <c r="E2876" s="22">
        <v>4.5</v>
      </c>
      <c r="F2876" s="9"/>
      <c r="G2876" s="14" t="str">
        <f t="shared" si="104"/>
        <v>O</v>
      </c>
      <c r="H2876" s="15">
        <f t="shared" si="105"/>
        <v>2.25</v>
      </c>
    </row>
    <row r="2877" spans="1:8" x14ac:dyDescent="0.3">
      <c r="A2877" s="88">
        <v>13</v>
      </c>
      <c r="B2877" s="20" t="s">
        <v>732</v>
      </c>
      <c r="C2877" s="21">
        <v>200603680761006</v>
      </c>
      <c r="D2877" s="89" t="s">
        <v>172</v>
      </c>
      <c r="E2877" s="22">
        <v>3.8</v>
      </c>
      <c r="F2877" s="9"/>
      <c r="G2877" s="14" t="str">
        <f t="shared" ref="G2877:G2940" si="106">IF(D2877="","",IF(COUNTIF(I:I,D2877)&gt;0,"O","X"))</f>
        <v>O</v>
      </c>
      <c r="H2877" s="15">
        <f t="shared" si="105"/>
        <v>1.9</v>
      </c>
    </row>
    <row r="2878" spans="1:8" x14ac:dyDescent="0.3">
      <c r="A2878" s="88">
        <v>14</v>
      </c>
      <c r="B2878" s="20" t="s">
        <v>732</v>
      </c>
      <c r="C2878" s="21">
        <v>200603680761006</v>
      </c>
      <c r="D2878" s="69" t="s">
        <v>645</v>
      </c>
      <c r="E2878" s="22">
        <v>2.6</v>
      </c>
      <c r="F2878" s="9"/>
      <c r="G2878" s="14" t="str">
        <f t="shared" si="106"/>
        <v>O</v>
      </c>
      <c r="H2878" s="15">
        <f t="shared" si="105"/>
        <v>1.3</v>
      </c>
    </row>
    <row r="2879" spans="1:8" x14ac:dyDescent="0.3">
      <c r="A2879" s="88">
        <v>15</v>
      </c>
      <c r="B2879" s="20" t="s">
        <v>732</v>
      </c>
      <c r="C2879" s="21">
        <v>200603680761006</v>
      </c>
      <c r="D2879" s="20" t="s">
        <v>325</v>
      </c>
      <c r="E2879" s="22">
        <v>1.4</v>
      </c>
      <c r="F2879" s="9"/>
      <c r="G2879" s="14" t="str">
        <f t="shared" si="106"/>
        <v>O</v>
      </c>
      <c r="H2879" s="15">
        <f t="shared" si="105"/>
        <v>0.7</v>
      </c>
    </row>
    <row r="2880" spans="1:8" x14ac:dyDescent="0.3">
      <c r="A2880" s="88">
        <v>16</v>
      </c>
      <c r="B2880" s="20" t="s">
        <v>732</v>
      </c>
      <c r="C2880" s="21">
        <v>200603680761006</v>
      </c>
      <c r="D2880" s="20" t="s">
        <v>735</v>
      </c>
      <c r="E2880" s="22">
        <v>0.4</v>
      </c>
      <c r="F2880" s="9"/>
      <c r="G2880" s="14" t="str">
        <f t="shared" si="106"/>
        <v>O</v>
      </c>
      <c r="H2880" s="15">
        <f t="shared" si="105"/>
        <v>0.2</v>
      </c>
    </row>
    <row r="2881" spans="1:8" x14ac:dyDescent="0.3">
      <c r="A2881" s="87">
        <v>1</v>
      </c>
      <c r="B2881" s="20" t="s">
        <v>736</v>
      </c>
      <c r="C2881" s="21">
        <v>200603680761007</v>
      </c>
      <c r="D2881" s="20" t="s">
        <v>284</v>
      </c>
      <c r="E2881" s="90">
        <v>72.900000000000006</v>
      </c>
      <c r="F2881" s="9"/>
      <c r="G2881" s="14" t="str">
        <f t="shared" si="106"/>
        <v>O</v>
      </c>
      <c r="H2881" s="15">
        <f t="shared" si="105"/>
        <v>36.450000000000003</v>
      </c>
    </row>
    <row r="2882" spans="1:8" x14ac:dyDescent="0.3">
      <c r="A2882" s="88">
        <v>2</v>
      </c>
      <c r="B2882" s="20" t="s">
        <v>736</v>
      </c>
      <c r="C2882" s="21">
        <v>200603680761007</v>
      </c>
      <c r="D2882" s="54" t="s">
        <v>495</v>
      </c>
      <c r="E2882" s="90">
        <v>36.200000000000003</v>
      </c>
      <c r="F2882" s="9"/>
      <c r="G2882" s="14" t="str">
        <f t="shared" si="106"/>
        <v>O</v>
      </c>
      <c r="H2882" s="15">
        <f t="shared" si="105"/>
        <v>18.100000000000001</v>
      </c>
    </row>
    <row r="2883" spans="1:8" x14ac:dyDescent="0.3">
      <c r="A2883" s="88">
        <v>3</v>
      </c>
      <c r="B2883" s="20" t="s">
        <v>736</v>
      </c>
      <c r="C2883" s="21">
        <v>200603680761007</v>
      </c>
      <c r="D2883" s="20" t="s">
        <v>196</v>
      </c>
      <c r="E2883" s="90">
        <v>32.4</v>
      </c>
      <c r="F2883" s="9"/>
      <c r="G2883" s="14" t="str">
        <f t="shared" si="106"/>
        <v>O</v>
      </c>
      <c r="H2883" s="15">
        <f t="shared" si="105"/>
        <v>16.2</v>
      </c>
    </row>
    <row r="2884" spans="1:8" x14ac:dyDescent="0.3">
      <c r="A2884" s="88">
        <v>4</v>
      </c>
      <c r="B2884" s="20" t="s">
        <v>736</v>
      </c>
      <c r="C2884" s="21">
        <v>200603680761007</v>
      </c>
      <c r="D2884" s="20" t="s">
        <v>21</v>
      </c>
      <c r="E2884" s="90">
        <v>31.2</v>
      </c>
      <c r="F2884" s="9"/>
      <c r="G2884" s="14" t="str">
        <f t="shared" si="106"/>
        <v>O</v>
      </c>
      <c r="H2884" s="15">
        <f t="shared" si="105"/>
        <v>15.6</v>
      </c>
    </row>
    <row r="2885" spans="1:8" x14ac:dyDescent="0.3">
      <c r="A2885" s="88">
        <v>5</v>
      </c>
      <c r="B2885" s="20" t="s">
        <v>736</v>
      </c>
      <c r="C2885" s="21">
        <v>200603680761007</v>
      </c>
      <c r="D2885" s="20" t="s">
        <v>17</v>
      </c>
      <c r="E2885" s="90">
        <v>15.2</v>
      </c>
      <c r="F2885" s="9"/>
      <c r="G2885" s="14" t="str">
        <f t="shared" si="106"/>
        <v>O</v>
      </c>
      <c r="H2885" s="15">
        <f t="shared" si="105"/>
        <v>7.6</v>
      </c>
    </row>
    <row r="2886" spans="1:8" x14ac:dyDescent="0.3">
      <c r="A2886" s="88">
        <v>6</v>
      </c>
      <c r="B2886" s="20" t="s">
        <v>736</v>
      </c>
      <c r="C2886" s="21">
        <v>200603680761007</v>
      </c>
      <c r="D2886" s="20" t="s">
        <v>263</v>
      </c>
      <c r="E2886" s="90">
        <v>15.2</v>
      </c>
      <c r="F2886" s="9"/>
      <c r="G2886" s="14" t="str">
        <f t="shared" si="106"/>
        <v>O</v>
      </c>
      <c r="H2886" s="15">
        <f t="shared" si="105"/>
        <v>7.6</v>
      </c>
    </row>
    <row r="2887" spans="1:8" x14ac:dyDescent="0.3">
      <c r="A2887" s="88">
        <v>7</v>
      </c>
      <c r="B2887" s="20" t="s">
        <v>736</v>
      </c>
      <c r="C2887" s="21">
        <v>200603680761007</v>
      </c>
      <c r="D2887" s="20" t="s">
        <v>459</v>
      </c>
      <c r="E2887" s="90">
        <v>11.4</v>
      </c>
      <c r="F2887" s="9"/>
      <c r="G2887" s="14" t="str">
        <f t="shared" si="106"/>
        <v>O</v>
      </c>
      <c r="H2887" s="15">
        <f t="shared" si="105"/>
        <v>5.7</v>
      </c>
    </row>
    <row r="2888" spans="1:8" x14ac:dyDescent="0.3">
      <c r="A2888" s="88">
        <v>8</v>
      </c>
      <c r="B2888" s="20" t="s">
        <v>736</v>
      </c>
      <c r="C2888" s="21">
        <v>200603680761007</v>
      </c>
      <c r="D2888" s="20" t="s">
        <v>734</v>
      </c>
      <c r="E2888" s="90">
        <v>9.5</v>
      </c>
      <c r="F2888" s="9"/>
      <c r="G2888" s="14" t="str">
        <f t="shared" si="106"/>
        <v>O</v>
      </c>
      <c r="H2888" s="15">
        <f t="shared" si="105"/>
        <v>4.75</v>
      </c>
    </row>
    <row r="2889" spans="1:8" x14ac:dyDescent="0.3">
      <c r="A2889" s="88">
        <v>9</v>
      </c>
      <c r="B2889" s="20" t="s">
        <v>736</v>
      </c>
      <c r="C2889" s="21">
        <v>200603680761007</v>
      </c>
      <c r="D2889" s="20" t="s">
        <v>54</v>
      </c>
      <c r="E2889" s="90">
        <v>9.5</v>
      </c>
      <c r="F2889" s="9"/>
      <c r="G2889" s="14" t="str">
        <f t="shared" si="106"/>
        <v>O</v>
      </c>
      <c r="H2889" s="15">
        <f t="shared" si="105"/>
        <v>4.75</v>
      </c>
    </row>
    <row r="2890" spans="1:8" x14ac:dyDescent="0.3">
      <c r="A2890" s="88">
        <v>10</v>
      </c>
      <c r="B2890" s="20" t="s">
        <v>736</v>
      </c>
      <c r="C2890" s="21">
        <v>200603680761007</v>
      </c>
      <c r="D2890" s="20" t="s">
        <v>213</v>
      </c>
      <c r="E2890" s="90">
        <v>5.7</v>
      </c>
      <c r="F2890" s="9"/>
      <c r="G2890" s="14" t="str">
        <f t="shared" si="106"/>
        <v>O</v>
      </c>
      <c r="H2890" s="15">
        <f t="shared" si="105"/>
        <v>2.85</v>
      </c>
    </row>
    <row r="2891" spans="1:8" x14ac:dyDescent="0.3">
      <c r="A2891" s="88">
        <v>11</v>
      </c>
      <c r="B2891" s="20" t="s">
        <v>736</v>
      </c>
      <c r="C2891" s="21">
        <v>200603680761007</v>
      </c>
      <c r="D2891" s="20" t="s">
        <v>185</v>
      </c>
      <c r="E2891" s="90">
        <v>3.3</v>
      </c>
      <c r="F2891" s="9"/>
      <c r="G2891" s="14" t="str">
        <f t="shared" si="106"/>
        <v>O</v>
      </c>
      <c r="H2891" s="15">
        <f t="shared" si="105"/>
        <v>1.65</v>
      </c>
    </row>
    <row r="2892" spans="1:8" x14ac:dyDescent="0.3">
      <c r="A2892" s="88">
        <v>12</v>
      </c>
      <c r="B2892" s="20" t="s">
        <v>736</v>
      </c>
      <c r="C2892" s="21">
        <v>200603680761007</v>
      </c>
      <c r="D2892" s="20" t="s">
        <v>260</v>
      </c>
      <c r="E2892" s="90">
        <v>3</v>
      </c>
      <c r="F2892" s="9"/>
      <c r="G2892" s="14" t="str">
        <f t="shared" si="106"/>
        <v>O</v>
      </c>
      <c r="H2892" s="15">
        <f t="shared" si="105"/>
        <v>1.5</v>
      </c>
    </row>
    <row r="2893" spans="1:8" x14ac:dyDescent="0.3">
      <c r="A2893" s="88">
        <v>13</v>
      </c>
      <c r="B2893" s="20" t="s">
        <v>736</v>
      </c>
      <c r="C2893" s="21">
        <v>200603680761007</v>
      </c>
      <c r="D2893" s="20" t="s">
        <v>645</v>
      </c>
      <c r="E2893" s="90">
        <v>2.7</v>
      </c>
      <c r="F2893" s="9"/>
      <c r="G2893" s="14" t="str">
        <f t="shared" si="106"/>
        <v>O</v>
      </c>
      <c r="H2893" s="15">
        <f t="shared" si="105"/>
        <v>1.35</v>
      </c>
    </row>
    <row r="2894" spans="1:8" x14ac:dyDescent="0.3">
      <c r="A2894" s="88">
        <v>14</v>
      </c>
      <c r="B2894" s="20" t="s">
        <v>736</v>
      </c>
      <c r="C2894" s="21">
        <v>200603680761007</v>
      </c>
      <c r="D2894" s="20" t="s">
        <v>325</v>
      </c>
      <c r="E2894" s="90">
        <v>1.4</v>
      </c>
      <c r="F2894" s="9"/>
      <c r="G2894" s="14" t="str">
        <f t="shared" si="106"/>
        <v>O</v>
      </c>
      <c r="H2894" s="15">
        <f t="shared" si="105"/>
        <v>0.7</v>
      </c>
    </row>
    <row r="2895" spans="1:8" x14ac:dyDescent="0.3">
      <c r="A2895" s="88">
        <v>15</v>
      </c>
      <c r="B2895" s="20" t="s">
        <v>736</v>
      </c>
      <c r="C2895" s="21">
        <v>200603680761007</v>
      </c>
      <c r="D2895" s="20" t="s">
        <v>385</v>
      </c>
      <c r="E2895" s="90">
        <v>0.4</v>
      </c>
      <c r="F2895" s="9"/>
      <c r="G2895" s="14" t="str">
        <f t="shared" si="106"/>
        <v>O</v>
      </c>
      <c r="H2895" s="15">
        <f t="shared" si="105"/>
        <v>0.2</v>
      </c>
    </row>
    <row r="2896" spans="1:8" x14ac:dyDescent="0.3">
      <c r="A2896" s="87">
        <v>1</v>
      </c>
      <c r="B2896" s="20" t="s">
        <v>737</v>
      </c>
      <c r="C2896" s="21">
        <v>200603680761008</v>
      </c>
      <c r="D2896" s="20" t="s">
        <v>284</v>
      </c>
      <c r="E2896" s="90">
        <v>84</v>
      </c>
      <c r="F2896" s="9"/>
      <c r="G2896" s="14" t="str">
        <f t="shared" si="106"/>
        <v>O</v>
      </c>
      <c r="H2896" s="15">
        <f t="shared" si="105"/>
        <v>42</v>
      </c>
    </row>
    <row r="2897" spans="1:8" x14ac:dyDescent="0.3">
      <c r="A2897" s="88">
        <v>2</v>
      </c>
      <c r="B2897" s="20" t="s">
        <v>737</v>
      </c>
      <c r="C2897" s="21">
        <v>200603680761008</v>
      </c>
      <c r="D2897" s="54" t="s">
        <v>495</v>
      </c>
      <c r="E2897" s="90">
        <v>39</v>
      </c>
      <c r="F2897" s="9"/>
      <c r="G2897" s="14" t="str">
        <f t="shared" si="106"/>
        <v>O</v>
      </c>
      <c r="H2897" s="15">
        <f t="shared" si="105"/>
        <v>19.5</v>
      </c>
    </row>
    <row r="2898" spans="1:8" x14ac:dyDescent="0.3">
      <c r="A2898" s="88">
        <v>3</v>
      </c>
      <c r="B2898" s="20" t="s">
        <v>737</v>
      </c>
      <c r="C2898" s="21">
        <v>200603680761008</v>
      </c>
      <c r="D2898" s="20" t="s">
        <v>196</v>
      </c>
      <c r="E2898" s="90">
        <v>36</v>
      </c>
      <c r="F2898" s="9"/>
      <c r="G2898" s="14" t="str">
        <f t="shared" si="106"/>
        <v>O</v>
      </c>
      <c r="H2898" s="15">
        <f t="shared" si="105"/>
        <v>18</v>
      </c>
    </row>
    <row r="2899" spans="1:8" x14ac:dyDescent="0.3">
      <c r="A2899" s="88">
        <v>4</v>
      </c>
      <c r="B2899" s="20" t="s">
        <v>737</v>
      </c>
      <c r="C2899" s="21">
        <v>200603680761008</v>
      </c>
      <c r="D2899" s="20" t="s">
        <v>276</v>
      </c>
      <c r="E2899" s="90">
        <v>25</v>
      </c>
      <c r="F2899" s="9"/>
      <c r="G2899" s="14" t="str">
        <f t="shared" si="106"/>
        <v>O</v>
      </c>
      <c r="H2899" s="15">
        <f t="shared" si="105"/>
        <v>12.5</v>
      </c>
    </row>
    <row r="2900" spans="1:8" x14ac:dyDescent="0.3">
      <c r="A2900" s="88">
        <v>5</v>
      </c>
      <c r="B2900" s="20" t="s">
        <v>737</v>
      </c>
      <c r="C2900" s="21">
        <v>200603680761008</v>
      </c>
      <c r="D2900" s="20" t="s">
        <v>17</v>
      </c>
      <c r="E2900" s="90">
        <v>17</v>
      </c>
      <c r="F2900" s="9"/>
      <c r="G2900" s="14" t="str">
        <f t="shared" si="106"/>
        <v>O</v>
      </c>
      <c r="H2900" s="15">
        <f t="shared" si="105"/>
        <v>8.5</v>
      </c>
    </row>
    <row r="2901" spans="1:8" x14ac:dyDescent="0.3">
      <c r="A2901" s="88">
        <v>6</v>
      </c>
      <c r="B2901" s="20" t="s">
        <v>737</v>
      </c>
      <c r="C2901" s="21">
        <v>200603680761008</v>
      </c>
      <c r="D2901" s="20" t="s">
        <v>263</v>
      </c>
      <c r="E2901" s="90">
        <v>17</v>
      </c>
      <c r="F2901" s="9"/>
      <c r="G2901" s="14" t="str">
        <f t="shared" si="106"/>
        <v>O</v>
      </c>
      <c r="H2901" s="15">
        <f t="shared" si="105"/>
        <v>8.5</v>
      </c>
    </row>
    <row r="2902" spans="1:8" x14ac:dyDescent="0.3">
      <c r="A2902" s="88">
        <v>7</v>
      </c>
      <c r="B2902" s="20" t="s">
        <v>737</v>
      </c>
      <c r="C2902" s="21">
        <v>200603680761008</v>
      </c>
      <c r="D2902" s="20" t="s">
        <v>500</v>
      </c>
      <c r="E2902" s="90">
        <v>12</v>
      </c>
      <c r="F2902" s="9"/>
      <c r="G2902" s="14" t="str">
        <f t="shared" si="106"/>
        <v>O</v>
      </c>
      <c r="H2902" s="15">
        <f t="shared" si="105"/>
        <v>6</v>
      </c>
    </row>
    <row r="2903" spans="1:8" x14ac:dyDescent="0.3">
      <c r="A2903" s="88">
        <v>8</v>
      </c>
      <c r="B2903" s="20" t="s">
        <v>737</v>
      </c>
      <c r="C2903" s="21">
        <v>200603680761008</v>
      </c>
      <c r="D2903" s="20" t="s">
        <v>506</v>
      </c>
      <c r="E2903" s="90">
        <v>13</v>
      </c>
      <c r="F2903" s="9"/>
      <c r="G2903" s="14" t="str">
        <f t="shared" si="106"/>
        <v>O</v>
      </c>
      <c r="H2903" s="15">
        <f t="shared" si="105"/>
        <v>6.5</v>
      </c>
    </row>
    <row r="2904" spans="1:8" x14ac:dyDescent="0.3">
      <c r="A2904" s="88">
        <v>9</v>
      </c>
      <c r="B2904" s="20" t="s">
        <v>737</v>
      </c>
      <c r="C2904" s="21">
        <v>200603680761008</v>
      </c>
      <c r="D2904" s="20" t="s">
        <v>272</v>
      </c>
      <c r="E2904" s="90">
        <v>13</v>
      </c>
      <c r="F2904" s="9"/>
      <c r="G2904" s="14" t="str">
        <f t="shared" si="106"/>
        <v>O</v>
      </c>
      <c r="H2904" s="15">
        <f t="shared" si="105"/>
        <v>6.5</v>
      </c>
    </row>
    <row r="2905" spans="1:8" x14ac:dyDescent="0.3">
      <c r="A2905" s="88">
        <v>10</v>
      </c>
      <c r="B2905" s="20" t="s">
        <v>737</v>
      </c>
      <c r="C2905" s="21">
        <v>200603680761008</v>
      </c>
      <c r="D2905" s="20" t="s">
        <v>459</v>
      </c>
      <c r="E2905" s="90">
        <v>13</v>
      </c>
      <c r="F2905" s="9"/>
      <c r="G2905" s="14" t="str">
        <f t="shared" si="106"/>
        <v>O</v>
      </c>
      <c r="H2905" s="15">
        <f t="shared" si="105"/>
        <v>6.5</v>
      </c>
    </row>
    <row r="2906" spans="1:8" x14ac:dyDescent="0.3">
      <c r="A2906" s="88">
        <v>11</v>
      </c>
      <c r="B2906" s="20" t="s">
        <v>737</v>
      </c>
      <c r="C2906" s="21">
        <v>200603680761008</v>
      </c>
      <c r="D2906" s="20" t="s">
        <v>734</v>
      </c>
      <c r="E2906" s="90">
        <v>10</v>
      </c>
      <c r="F2906" s="9"/>
      <c r="G2906" s="14" t="str">
        <f t="shared" si="106"/>
        <v>O</v>
      </c>
      <c r="H2906" s="15">
        <f t="shared" si="105"/>
        <v>5</v>
      </c>
    </row>
    <row r="2907" spans="1:8" x14ac:dyDescent="0.3">
      <c r="A2907" s="88">
        <v>12</v>
      </c>
      <c r="B2907" s="20" t="s">
        <v>737</v>
      </c>
      <c r="C2907" s="21">
        <v>200603680761008</v>
      </c>
      <c r="D2907" s="20" t="s">
        <v>236</v>
      </c>
      <c r="E2907" s="90">
        <v>10</v>
      </c>
      <c r="F2907" s="9"/>
      <c r="G2907" s="14" t="str">
        <f t="shared" si="106"/>
        <v>O</v>
      </c>
      <c r="H2907" s="15">
        <f t="shared" si="105"/>
        <v>5</v>
      </c>
    </row>
    <row r="2908" spans="1:8" x14ac:dyDescent="0.3">
      <c r="A2908" s="88">
        <v>13</v>
      </c>
      <c r="B2908" s="20" t="s">
        <v>737</v>
      </c>
      <c r="C2908" s="21">
        <v>200603680761008</v>
      </c>
      <c r="D2908" s="20" t="s">
        <v>54</v>
      </c>
      <c r="E2908" s="90">
        <v>8</v>
      </c>
      <c r="F2908" s="9"/>
      <c r="G2908" s="14" t="str">
        <f t="shared" si="106"/>
        <v>O</v>
      </c>
      <c r="H2908" s="15">
        <f t="shared" si="105"/>
        <v>4</v>
      </c>
    </row>
    <row r="2909" spans="1:8" x14ac:dyDescent="0.3">
      <c r="A2909" s="88">
        <v>14</v>
      </c>
      <c r="B2909" s="20" t="s">
        <v>737</v>
      </c>
      <c r="C2909" s="21">
        <v>200603680761008</v>
      </c>
      <c r="D2909" s="20" t="s">
        <v>213</v>
      </c>
      <c r="E2909" s="90">
        <v>6</v>
      </c>
      <c r="F2909" s="9"/>
      <c r="G2909" s="14" t="str">
        <f t="shared" si="106"/>
        <v>O</v>
      </c>
      <c r="H2909" s="15">
        <f t="shared" si="105"/>
        <v>3</v>
      </c>
    </row>
    <row r="2910" spans="1:8" x14ac:dyDescent="0.3">
      <c r="A2910" s="88">
        <v>15</v>
      </c>
      <c r="B2910" s="20" t="s">
        <v>737</v>
      </c>
      <c r="C2910" s="21">
        <v>200603680761008</v>
      </c>
      <c r="D2910" s="20" t="s">
        <v>260</v>
      </c>
      <c r="E2910" s="90">
        <v>5</v>
      </c>
      <c r="F2910" s="9"/>
      <c r="G2910" s="14" t="str">
        <f t="shared" si="106"/>
        <v>O</v>
      </c>
      <c r="H2910" s="15">
        <f t="shared" si="105"/>
        <v>2.5</v>
      </c>
    </row>
    <row r="2911" spans="1:8" x14ac:dyDescent="0.3">
      <c r="A2911" s="88">
        <v>16</v>
      </c>
      <c r="B2911" s="20" t="s">
        <v>737</v>
      </c>
      <c r="C2911" s="21">
        <v>200603680761008</v>
      </c>
      <c r="D2911" s="20" t="s">
        <v>325</v>
      </c>
      <c r="E2911" s="90">
        <v>2</v>
      </c>
      <c r="F2911" s="9"/>
      <c r="G2911" s="14" t="str">
        <f t="shared" si="106"/>
        <v>O</v>
      </c>
      <c r="H2911" s="15">
        <f t="shared" si="105"/>
        <v>1</v>
      </c>
    </row>
    <row r="2912" spans="1:8" x14ac:dyDescent="0.3">
      <c r="A2912" s="88">
        <v>17</v>
      </c>
      <c r="B2912" s="20" t="s">
        <v>737</v>
      </c>
      <c r="C2912" s="21">
        <v>200603680761008</v>
      </c>
      <c r="D2912" s="20" t="s">
        <v>385</v>
      </c>
      <c r="E2912" s="90">
        <v>3</v>
      </c>
      <c r="F2912" s="9"/>
      <c r="G2912" s="14" t="str">
        <f t="shared" si="106"/>
        <v>O</v>
      </c>
      <c r="H2912" s="15">
        <f t="shared" si="105"/>
        <v>1.5</v>
      </c>
    </row>
    <row r="2913" spans="1:8" x14ac:dyDescent="0.3">
      <c r="A2913" s="87">
        <v>1</v>
      </c>
      <c r="B2913" s="20" t="s">
        <v>738</v>
      </c>
      <c r="C2913" s="21">
        <v>200603680761005</v>
      </c>
      <c r="D2913" s="20" t="s">
        <v>284</v>
      </c>
      <c r="E2913" s="22">
        <v>169</v>
      </c>
      <c r="F2913" s="9"/>
      <c r="G2913" s="14" t="str">
        <f t="shared" si="106"/>
        <v>O</v>
      </c>
      <c r="H2913" s="15">
        <f t="shared" si="105"/>
        <v>84.5</v>
      </c>
    </row>
    <row r="2914" spans="1:8" x14ac:dyDescent="0.3">
      <c r="A2914" s="88">
        <v>2</v>
      </c>
      <c r="B2914" s="20" t="s">
        <v>738</v>
      </c>
      <c r="C2914" s="21">
        <v>200603680761005</v>
      </c>
      <c r="D2914" s="54" t="s">
        <v>495</v>
      </c>
      <c r="E2914" s="22">
        <v>80</v>
      </c>
      <c r="F2914" s="9"/>
      <c r="G2914" s="14" t="str">
        <f t="shared" si="106"/>
        <v>O</v>
      </c>
      <c r="H2914" s="15">
        <f t="shared" si="105"/>
        <v>40</v>
      </c>
    </row>
    <row r="2915" spans="1:8" x14ac:dyDescent="0.3">
      <c r="A2915" s="88">
        <v>3</v>
      </c>
      <c r="B2915" s="20" t="s">
        <v>738</v>
      </c>
      <c r="C2915" s="21">
        <v>200603680761005</v>
      </c>
      <c r="D2915" s="20" t="s">
        <v>196</v>
      </c>
      <c r="E2915" s="22">
        <v>72</v>
      </c>
      <c r="F2915" s="9"/>
      <c r="G2915" s="14" t="str">
        <f t="shared" si="106"/>
        <v>O</v>
      </c>
      <c r="H2915" s="15">
        <f t="shared" si="105"/>
        <v>36</v>
      </c>
    </row>
    <row r="2916" spans="1:8" x14ac:dyDescent="0.3">
      <c r="A2916" s="88">
        <v>4</v>
      </c>
      <c r="B2916" s="20" t="s">
        <v>738</v>
      </c>
      <c r="C2916" s="21">
        <v>200603680761005</v>
      </c>
      <c r="D2916" s="20" t="s">
        <v>276</v>
      </c>
      <c r="E2916" s="22">
        <v>51</v>
      </c>
      <c r="F2916" s="9"/>
      <c r="G2916" s="14" t="str">
        <f t="shared" si="106"/>
        <v>O</v>
      </c>
      <c r="H2916" s="15">
        <f t="shared" si="105"/>
        <v>25.5</v>
      </c>
    </row>
    <row r="2917" spans="1:8" x14ac:dyDescent="0.3">
      <c r="A2917" s="88">
        <v>5</v>
      </c>
      <c r="B2917" s="20" t="s">
        <v>738</v>
      </c>
      <c r="C2917" s="21">
        <v>200603680761005</v>
      </c>
      <c r="D2917" s="20" t="s">
        <v>17</v>
      </c>
      <c r="E2917" s="22">
        <v>34</v>
      </c>
      <c r="F2917" s="9"/>
      <c r="G2917" s="14" t="str">
        <f t="shared" si="106"/>
        <v>O</v>
      </c>
      <c r="H2917" s="15">
        <f t="shared" si="105"/>
        <v>17</v>
      </c>
    </row>
    <row r="2918" spans="1:8" x14ac:dyDescent="0.3">
      <c r="A2918" s="88">
        <v>6</v>
      </c>
      <c r="B2918" s="20" t="s">
        <v>738</v>
      </c>
      <c r="C2918" s="21">
        <v>200603680761005</v>
      </c>
      <c r="D2918" s="20" t="s">
        <v>263</v>
      </c>
      <c r="E2918" s="22">
        <v>34</v>
      </c>
      <c r="F2918" s="9"/>
      <c r="G2918" s="14" t="str">
        <f t="shared" si="106"/>
        <v>O</v>
      </c>
      <c r="H2918" s="15">
        <f t="shared" si="105"/>
        <v>17</v>
      </c>
    </row>
    <row r="2919" spans="1:8" x14ac:dyDescent="0.3">
      <c r="A2919" s="88">
        <v>7</v>
      </c>
      <c r="B2919" s="20" t="s">
        <v>738</v>
      </c>
      <c r="C2919" s="21">
        <v>200603680761005</v>
      </c>
      <c r="D2919" s="20" t="s">
        <v>500</v>
      </c>
      <c r="E2919" s="22">
        <v>25</v>
      </c>
      <c r="F2919" s="9"/>
      <c r="G2919" s="14" t="str">
        <f t="shared" si="106"/>
        <v>O</v>
      </c>
      <c r="H2919" s="15">
        <f t="shared" si="105"/>
        <v>12.5</v>
      </c>
    </row>
    <row r="2920" spans="1:8" x14ac:dyDescent="0.3">
      <c r="A2920" s="88">
        <v>8</v>
      </c>
      <c r="B2920" s="20" t="s">
        <v>738</v>
      </c>
      <c r="C2920" s="21">
        <v>200603680761005</v>
      </c>
      <c r="D2920" s="20" t="s">
        <v>506</v>
      </c>
      <c r="E2920" s="22">
        <v>25</v>
      </c>
      <c r="F2920" s="9"/>
      <c r="G2920" s="14" t="str">
        <f t="shared" si="106"/>
        <v>O</v>
      </c>
      <c r="H2920" s="15">
        <f t="shared" si="105"/>
        <v>12.5</v>
      </c>
    </row>
    <row r="2921" spans="1:8" x14ac:dyDescent="0.3">
      <c r="A2921" s="88">
        <v>9</v>
      </c>
      <c r="B2921" s="20" t="s">
        <v>738</v>
      </c>
      <c r="C2921" s="21">
        <v>200603680761005</v>
      </c>
      <c r="D2921" s="20" t="s">
        <v>272</v>
      </c>
      <c r="E2921" s="22">
        <v>25</v>
      </c>
      <c r="F2921" s="9"/>
      <c r="G2921" s="14" t="str">
        <f t="shared" si="106"/>
        <v>O</v>
      </c>
      <c r="H2921" s="15">
        <f t="shared" si="105"/>
        <v>12.5</v>
      </c>
    </row>
    <row r="2922" spans="1:8" x14ac:dyDescent="0.3">
      <c r="A2922" s="88">
        <v>10</v>
      </c>
      <c r="B2922" s="20" t="s">
        <v>738</v>
      </c>
      <c r="C2922" s="21">
        <v>200603680761005</v>
      </c>
      <c r="D2922" s="20" t="s">
        <v>459</v>
      </c>
      <c r="E2922" s="22">
        <v>25</v>
      </c>
      <c r="F2922" s="9"/>
      <c r="G2922" s="14" t="str">
        <f t="shared" si="106"/>
        <v>O</v>
      </c>
      <c r="H2922" s="15">
        <f t="shared" si="105"/>
        <v>12.5</v>
      </c>
    </row>
    <row r="2923" spans="1:8" x14ac:dyDescent="0.3">
      <c r="A2923" s="88">
        <v>11</v>
      </c>
      <c r="B2923" s="20" t="s">
        <v>738</v>
      </c>
      <c r="C2923" s="21">
        <v>200603680761005</v>
      </c>
      <c r="D2923" s="20" t="s">
        <v>734</v>
      </c>
      <c r="E2923" s="22">
        <v>21</v>
      </c>
      <c r="F2923" s="9"/>
      <c r="G2923" s="14" t="str">
        <f t="shared" si="106"/>
        <v>O</v>
      </c>
      <c r="H2923" s="15">
        <f t="shared" si="105"/>
        <v>10.5</v>
      </c>
    </row>
    <row r="2924" spans="1:8" x14ac:dyDescent="0.3">
      <c r="A2924" s="88">
        <v>12</v>
      </c>
      <c r="B2924" s="20" t="s">
        <v>738</v>
      </c>
      <c r="C2924" s="21">
        <v>200603680761005</v>
      </c>
      <c r="D2924" s="20" t="s">
        <v>236</v>
      </c>
      <c r="E2924" s="22">
        <v>21</v>
      </c>
      <c r="F2924" s="9"/>
      <c r="G2924" s="14" t="str">
        <f t="shared" si="106"/>
        <v>O</v>
      </c>
      <c r="H2924" s="15">
        <f t="shared" si="105"/>
        <v>10.5</v>
      </c>
    </row>
    <row r="2925" spans="1:8" x14ac:dyDescent="0.3">
      <c r="A2925" s="88">
        <v>13</v>
      </c>
      <c r="B2925" s="20" t="s">
        <v>738</v>
      </c>
      <c r="C2925" s="21">
        <v>200603680761005</v>
      </c>
      <c r="D2925" s="20" t="s">
        <v>54</v>
      </c>
      <c r="E2925" s="22">
        <v>17</v>
      </c>
      <c r="F2925" s="9"/>
      <c r="G2925" s="14" t="str">
        <f t="shared" si="106"/>
        <v>O</v>
      </c>
      <c r="H2925" s="15">
        <f t="shared" si="105"/>
        <v>8.5</v>
      </c>
    </row>
    <row r="2926" spans="1:8" x14ac:dyDescent="0.3">
      <c r="A2926" s="88">
        <v>14</v>
      </c>
      <c r="B2926" s="20" t="s">
        <v>738</v>
      </c>
      <c r="C2926" s="21">
        <v>200603680761005</v>
      </c>
      <c r="D2926" s="20" t="s">
        <v>213</v>
      </c>
      <c r="E2926" s="22">
        <v>13</v>
      </c>
      <c r="F2926" s="9"/>
      <c r="G2926" s="14" t="str">
        <f t="shared" si="106"/>
        <v>O</v>
      </c>
      <c r="H2926" s="15">
        <f t="shared" si="105"/>
        <v>6.5</v>
      </c>
    </row>
    <row r="2927" spans="1:8" x14ac:dyDescent="0.3">
      <c r="A2927" s="88">
        <v>15</v>
      </c>
      <c r="B2927" s="20" t="s">
        <v>738</v>
      </c>
      <c r="C2927" s="21">
        <v>200603680761005</v>
      </c>
      <c r="D2927" s="20" t="s">
        <v>260</v>
      </c>
      <c r="E2927" s="22">
        <v>10</v>
      </c>
      <c r="F2927" s="9"/>
      <c r="G2927" s="14" t="str">
        <f t="shared" si="106"/>
        <v>O</v>
      </c>
      <c r="H2927" s="15">
        <f t="shared" si="105"/>
        <v>5</v>
      </c>
    </row>
    <row r="2928" spans="1:8" x14ac:dyDescent="0.3">
      <c r="A2928" s="88">
        <v>16</v>
      </c>
      <c r="B2928" s="20" t="s">
        <v>738</v>
      </c>
      <c r="C2928" s="21">
        <v>200603680761005</v>
      </c>
      <c r="D2928" s="20" t="s">
        <v>325</v>
      </c>
      <c r="E2928" s="22">
        <v>3</v>
      </c>
      <c r="F2928" s="9"/>
      <c r="G2928" s="14" t="str">
        <f t="shared" si="106"/>
        <v>O</v>
      </c>
      <c r="H2928" s="15">
        <f t="shared" si="105"/>
        <v>1.5</v>
      </c>
    </row>
    <row r="2929" spans="1:8" x14ac:dyDescent="0.3">
      <c r="A2929" s="88">
        <v>17</v>
      </c>
      <c r="B2929" s="20" t="s">
        <v>738</v>
      </c>
      <c r="C2929" s="21">
        <v>200603680761005</v>
      </c>
      <c r="D2929" s="20" t="s">
        <v>385</v>
      </c>
      <c r="E2929" s="22">
        <v>5</v>
      </c>
      <c r="F2929" s="9"/>
      <c r="G2929" s="14" t="str">
        <f t="shared" si="106"/>
        <v>O</v>
      </c>
      <c r="H2929" s="15">
        <f t="shared" si="105"/>
        <v>2.5</v>
      </c>
    </row>
    <row r="2930" spans="1:8" x14ac:dyDescent="0.3">
      <c r="A2930" s="23">
        <f>COUNTIFS($B$2:B2930,B2930)</f>
        <v>1</v>
      </c>
      <c r="B2930" s="20" t="s">
        <v>739</v>
      </c>
      <c r="C2930" s="21">
        <v>20060368076462</v>
      </c>
      <c r="D2930" s="20" t="s">
        <v>157</v>
      </c>
      <c r="E2930" s="22">
        <v>31.01</v>
      </c>
      <c r="F2930" s="9"/>
      <c r="G2930" s="14" t="str">
        <f t="shared" si="106"/>
        <v>O</v>
      </c>
      <c r="H2930" s="15">
        <f t="shared" si="105"/>
        <v>15.505000000000001</v>
      </c>
    </row>
    <row r="2931" spans="1:8" x14ac:dyDescent="0.3">
      <c r="A2931" s="19">
        <f>COUNTIFS($B$2:B2931,B2931)</f>
        <v>2</v>
      </c>
      <c r="B2931" s="20" t="s">
        <v>739</v>
      </c>
      <c r="C2931" s="21">
        <v>20060368076462</v>
      </c>
      <c r="D2931" s="20" t="s">
        <v>210</v>
      </c>
      <c r="E2931" s="22">
        <v>77.53</v>
      </c>
      <c r="F2931" s="9"/>
      <c r="G2931" s="14" t="str">
        <f t="shared" si="106"/>
        <v>O</v>
      </c>
      <c r="H2931" s="15">
        <f t="shared" si="105"/>
        <v>38.765000000000001</v>
      </c>
    </row>
    <row r="2932" spans="1:8" x14ac:dyDescent="0.3">
      <c r="A2932" s="19">
        <f>COUNTIFS($B$2:B2932,B2932)</f>
        <v>3</v>
      </c>
      <c r="B2932" s="20" t="s">
        <v>739</v>
      </c>
      <c r="C2932" s="21">
        <v>20060368076462</v>
      </c>
      <c r="D2932" s="20" t="s">
        <v>12</v>
      </c>
      <c r="E2932" s="22">
        <v>12.74</v>
      </c>
      <c r="F2932" s="9"/>
      <c r="G2932" s="14" t="str">
        <f t="shared" si="106"/>
        <v>O</v>
      </c>
      <c r="H2932" s="15">
        <f t="shared" si="105"/>
        <v>6.37</v>
      </c>
    </row>
    <row r="2933" spans="1:8" x14ac:dyDescent="0.3">
      <c r="A2933" s="19">
        <f>COUNTIFS($B$2:B2933,B2933)</f>
        <v>4</v>
      </c>
      <c r="B2933" s="20" t="s">
        <v>739</v>
      </c>
      <c r="C2933" s="21">
        <v>20060368076462</v>
      </c>
      <c r="D2933" s="20" t="s">
        <v>206</v>
      </c>
      <c r="E2933" s="22">
        <v>80.709999999999994</v>
      </c>
      <c r="F2933" s="9"/>
      <c r="G2933" s="14" t="str">
        <f t="shared" si="106"/>
        <v>O</v>
      </c>
      <c r="H2933" s="15">
        <f t="shared" ref="H2933:H2996" si="107">E2933/2</f>
        <v>40.354999999999997</v>
      </c>
    </row>
    <row r="2934" spans="1:8" x14ac:dyDescent="0.3">
      <c r="A2934" s="19">
        <f>COUNTIFS($B$2:B2934,B2934)</f>
        <v>5</v>
      </c>
      <c r="B2934" s="20" t="s">
        <v>739</v>
      </c>
      <c r="C2934" s="21">
        <v>20060368076462</v>
      </c>
      <c r="D2934" s="20" t="s">
        <v>172</v>
      </c>
      <c r="E2934" s="22">
        <v>9.1300000000000008</v>
      </c>
      <c r="F2934" s="9"/>
      <c r="G2934" s="14" t="str">
        <f t="shared" si="106"/>
        <v>O</v>
      </c>
      <c r="H2934" s="15">
        <f t="shared" si="107"/>
        <v>4.5650000000000004</v>
      </c>
    </row>
    <row r="2935" spans="1:8" x14ac:dyDescent="0.3">
      <c r="A2935" s="19">
        <f>COUNTIFS($B$2:B2935,B2935)</f>
        <v>6</v>
      </c>
      <c r="B2935" s="20" t="s">
        <v>739</v>
      </c>
      <c r="C2935" s="21">
        <v>20060368076462</v>
      </c>
      <c r="D2935" s="20" t="s">
        <v>222</v>
      </c>
      <c r="E2935" s="22">
        <v>1.27</v>
      </c>
      <c r="F2935" s="9"/>
      <c r="G2935" s="14" t="str">
        <f t="shared" si="106"/>
        <v>O</v>
      </c>
      <c r="H2935" s="15">
        <f t="shared" si="107"/>
        <v>0.63500000000000001</v>
      </c>
    </row>
    <row r="2936" spans="1:8" x14ac:dyDescent="0.3">
      <c r="A2936" s="31">
        <f>COUNTIFS($B$2:B2936,B2936)</f>
        <v>1</v>
      </c>
      <c r="B2936" s="26" t="s">
        <v>740</v>
      </c>
      <c r="C2936" s="21">
        <v>520060368076475</v>
      </c>
      <c r="D2936" s="26" t="s">
        <v>82</v>
      </c>
      <c r="E2936" s="28">
        <v>163.32787191457757</v>
      </c>
      <c r="F2936" s="9"/>
      <c r="G2936" s="14" t="str">
        <f t="shared" si="106"/>
        <v>O</v>
      </c>
      <c r="H2936" s="15">
        <f t="shared" si="107"/>
        <v>81.663935957288786</v>
      </c>
    </row>
    <row r="2937" spans="1:8" x14ac:dyDescent="0.3">
      <c r="A2937" s="31">
        <f>COUNTIFS($B$2:B2937,B2937)</f>
        <v>2</v>
      </c>
      <c r="B2937" s="26" t="s">
        <v>740</v>
      </c>
      <c r="C2937" s="21">
        <v>520060368076475</v>
      </c>
      <c r="D2937" s="26" t="s">
        <v>80</v>
      </c>
      <c r="E2937" s="28">
        <v>28.576572353059131</v>
      </c>
      <c r="F2937" s="9"/>
      <c r="G2937" s="14" t="str">
        <f t="shared" si="106"/>
        <v>O</v>
      </c>
      <c r="H2937" s="15">
        <f t="shared" si="107"/>
        <v>14.288286176529565</v>
      </c>
    </row>
    <row r="2938" spans="1:8" x14ac:dyDescent="0.3">
      <c r="A2938" s="31">
        <f>COUNTIFS($B$2:B2938,B2938)</f>
        <v>3</v>
      </c>
      <c r="B2938" s="26" t="s">
        <v>740</v>
      </c>
      <c r="C2938" s="21">
        <v>520060368076475</v>
      </c>
      <c r="D2938" s="26" t="s">
        <v>76</v>
      </c>
      <c r="E2938" s="28">
        <v>13.396357142857141</v>
      </c>
      <c r="F2938" s="9"/>
      <c r="G2938" s="14" t="str">
        <f t="shared" si="106"/>
        <v>O</v>
      </c>
      <c r="H2938" s="15">
        <f t="shared" si="107"/>
        <v>6.6981785714285706</v>
      </c>
    </row>
    <row r="2939" spans="1:8" x14ac:dyDescent="0.3">
      <c r="A2939" s="31">
        <f>COUNTIFS($B$2:B2939,B2939)</f>
        <v>4</v>
      </c>
      <c r="B2939" s="26" t="s">
        <v>740</v>
      </c>
      <c r="C2939" s="21">
        <v>520060368076475</v>
      </c>
      <c r="D2939" s="26" t="s">
        <v>284</v>
      </c>
      <c r="E2939" s="28">
        <v>68.596149219505605</v>
      </c>
      <c r="F2939" s="9"/>
      <c r="G2939" s="14" t="str">
        <f t="shared" si="106"/>
        <v>O</v>
      </c>
      <c r="H2939" s="15">
        <f t="shared" si="107"/>
        <v>34.298074609752803</v>
      </c>
    </row>
    <row r="2940" spans="1:8" x14ac:dyDescent="0.3">
      <c r="A2940" s="31">
        <f>COUNTIFS($B$2:B2940,B2940)</f>
        <v>5</v>
      </c>
      <c r="B2940" s="26" t="s">
        <v>740</v>
      </c>
      <c r="C2940" s="21">
        <v>520060368076475</v>
      </c>
      <c r="D2940" s="26" t="s">
        <v>92</v>
      </c>
      <c r="E2940" s="28">
        <v>14.510881034330726</v>
      </c>
      <c r="F2940" s="9"/>
      <c r="G2940" s="14" t="str">
        <f t="shared" si="106"/>
        <v>O</v>
      </c>
      <c r="H2940" s="15">
        <f t="shared" si="107"/>
        <v>7.2554405171653631</v>
      </c>
    </row>
    <row r="2941" spans="1:8" x14ac:dyDescent="0.3">
      <c r="A2941" s="31">
        <f>COUNTIFS($B$2:B2941,B2941)</f>
        <v>6</v>
      </c>
      <c r="B2941" s="26" t="s">
        <v>740</v>
      </c>
      <c r="C2941" s="21">
        <v>520060368076475</v>
      </c>
      <c r="D2941" s="26" t="s">
        <v>228</v>
      </c>
      <c r="E2941" s="28">
        <v>15.784438672076799</v>
      </c>
      <c r="F2941" s="9"/>
      <c r="G2941" s="14" t="str">
        <f t="shared" ref="G2941:G3004" si="108">IF(D2941="","",IF(COUNTIF(I:I,D2941)&gt;0,"O","X"))</f>
        <v>O</v>
      </c>
      <c r="H2941" s="15">
        <f t="shared" si="107"/>
        <v>7.8922193360383996</v>
      </c>
    </row>
    <row r="2942" spans="1:8" x14ac:dyDescent="0.3">
      <c r="A2942" s="31">
        <f>COUNTIFS($B$2:B2942,B2942)</f>
        <v>7</v>
      </c>
      <c r="B2942" s="26" t="s">
        <v>740</v>
      </c>
      <c r="C2942" s="21">
        <v>520060368076475</v>
      </c>
      <c r="D2942" s="26" t="s">
        <v>164</v>
      </c>
      <c r="E2942" s="28">
        <v>4.5621450430250983</v>
      </c>
      <c r="F2942" s="9"/>
      <c r="G2942" s="14" t="str">
        <f t="shared" si="108"/>
        <v>O</v>
      </c>
      <c r="H2942" s="15">
        <f t="shared" si="107"/>
        <v>2.2810725215125491</v>
      </c>
    </row>
    <row r="2943" spans="1:8" x14ac:dyDescent="0.3">
      <c r="A2943" s="31">
        <f>COUNTIFS($B$2:B2943,B2943)</f>
        <v>8</v>
      </c>
      <c r="B2943" s="26" t="s">
        <v>740</v>
      </c>
      <c r="C2943" s="21">
        <v>520060368076475</v>
      </c>
      <c r="D2943" s="26" t="s">
        <v>114</v>
      </c>
      <c r="E2943" s="28">
        <v>156.73984064967732</v>
      </c>
      <c r="F2943" s="9"/>
      <c r="G2943" s="14" t="str">
        <f t="shared" si="108"/>
        <v>O</v>
      </c>
      <c r="H2943" s="15">
        <f t="shared" si="107"/>
        <v>78.36992032483866</v>
      </c>
    </row>
    <row r="2944" spans="1:8" x14ac:dyDescent="0.3">
      <c r="A2944" s="31">
        <f>COUNTIFS($B$2:B2944,B2944)</f>
        <v>9</v>
      </c>
      <c r="B2944" s="26" t="s">
        <v>740</v>
      </c>
      <c r="C2944" s="21">
        <v>520060368076475</v>
      </c>
      <c r="D2944" s="26" t="s">
        <v>58</v>
      </c>
      <c r="E2944" s="28">
        <v>20.350465302836675</v>
      </c>
      <c r="F2944" s="9"/>
      <c r="G2944" s="14" t="str">
        <f t="shared" si="108"/>
        <v>O</v>
      </c>
      <c r="H2944" s="15">
        <f t="shared" si="107"/>
        <v>10.175232651418337</v>
      </c>
    </row>
    <row r="2945" spans="1:8" x14ac:dyDescent="0.3">
      <c r="A2945" s="31">
        <f>COUNTIFS($B$2:B2945,B2945)</f>
        <v>10</v>
      </c>
      <c r="B2945" s="26" t="s">
        <v>740</v>
      </c>
      <c r="C2945" s="21">
        <v>520060368076475</v>
      </c>
      <c r="D2945" s="26" t="s">
        <v>155</v>
      </c>
      <c r="E2945" s="28">
        <v>4.251674703119436</v>
      </c>
      <c r="F2945" s="9"/>
      <c r="G2945" s="14" t="str">
        <f t="shared" si="108"/>
        <v>O</v>
      </c>
      <c r="H2945" s="15">
        <f t="shared" si="107"/>
        <v>2.125837351559718</v>
      </c>
    </row>
    <row r="2946" spans="1:8" x14ac:dyDescent="0.3">
      <c r="A2946" s="31">
        <f>COUNTIFS($B$2:B2946,B2946)</f>
        <v>11</v>
      </c>
      <c r="B2946" s="26" t="s">
        <v>740</v>
      </c>
      <c r="C2946" s="21">
        <v>520060368076475</v>
      </c>
      <c r="D2946" s="26" t="s">
        <v>84</v>
      </c>
      <c r="E2946" s="28">
        <v>4.1695923005138882</v>
      </c>
      <c r="F2946" s="9"/>
      <c r="G2946" s="14" t="str">
        <f t="shared" si="108"/>
        <v>O</v>
      </c>
      <c r="H2946" s="15">
        <f t="shared" si="107"/>
        <v>2.0847961502569441</v>
      </c>
    </row>
    <row r="2947" spans="1:8" x14ac:dyDescent="0.3">
      <c r="A2947" s="31">
        <f>COUNTIFS($B$2:B2947,B2947)</f>
        <v>12</v>
      </c>
      <c r="B2947" s="26" t="s">
        <v>740</v>
      </c>
      <c r="C2947" s="21">
        <v>520060368076475</v>
      </c>
      <c r="D2947" s="26" t="s">
        <v>218</v>
      </c>
      <c r="E2947" s="28">
        <v>2.3098461359645803</v>
      </c>
      <c r="F2947" s="9"/>
      <c r="G2947" s="14" t="str">
        <f t="shared" si="108"/>
        <v>O</v>
      </c>
      <c r="H2947" s="15">
        <f t="shared" si="107"/>
        <v>1.1549230679822902</v>
      </c>
    </row>
    <row r="2948" spans="1:8" x14ac:dyDescent="0.3">
      <c r="A2948" s="31">
        <f>COUNTIFS($B$2:B2948,B2948)</f>
        <v>13</v>
      </c>
      <c r="B2948" s="26" t="s">
        <v>740</v>
      </c>
      <c r="C2948" s="21">
        <v>520060368076475</v>
      </c>
      <c r="D2948" s="26" t="s">
        <v>30</v>
      </c>
      <c r="E2948" s="28">
        <v>8.7853685512470427</v>
      </c>
      <c r="F2948" s="9"/>
      <c r="G2948" s="14" t="str">
        <f t="shared" si="108"/>
        <v>O</v>
      </c>
      <c r="H2948" s="15">
        <f t="shared" si="107"/>
        <v>4.3926842756235214</v>
      </c>
    </row>
    <row r="2949" spans="1:8" x14ac:dyDescent="0.3">
      <c r="A2949" s="31">
        <f>COUNTIFS($B$2:B2949,B2949)</f>
        <v>14</v>
      </c>
      <c r="B2949" s="26" t="s">
        <v>740</v>
      </c>
      <c r="C2949" s="21">
        <v>520060368076475</v>
      </c>
      <c r="D2949" s="26" t="s">
        <v>60</v>
      </c>
      <c r="E2949" s="28">
        <v>3.5805698534582171</v>
      </c>
      <c r="F2949" s="9"/>
      <c r="G2949" s="14" t="str">
        <f t="shared" si="108"/>
        <v>O</v>
      </c>
      <c r="H2949" s="15">
        <f t="shared" si="107"/>
        <v>1.7902849267291085</v>
      </c>
    </row>
    <row r="2950" spans="1:8" x14ac:dyDescent="0.3">
      <c r="A2950" s="31">
        <f>COUNTIFS($B$2:B2950,B2950)</f>
        <v>15</v>
      </c>
      <c r="B2950" s="26" t="s">
        <v>740</v>
      </c>
      <c r="C2950" s="21">
        <v>520060368076475</v>
      </c>
      <c r="D2950" s="26" t="s">
        <v>27</v>
      </c>
      <c r="E2950" s="28">
        <v>6.4523494509885246</v>
      </c>
      <c r="F2950" s="9"/>
      <c r="G2950" s="14" t="str">
        <f t="shared" si="108"/>
        <v>O</v>
      </c>
      <c r="H2950" s="15">
        <f t="shared" si="107"/>
        <v>3.2261747254942623</v>
      </c>
    </row>
    <row r="2951" spans="1:8" x14ac:dyDescent="0.3">
      <c r="A2951" s="31">
        <f>COUNTIFS($B$2:B2951,B2951)</f>
        <v>16</v>
      </c>
      <c r="B2951" s="26" t="s">
        <v>740</v>
      </c>
      <c r="C2951" s="21">
        <v>520060368076475</v>
      </c>
      <c r="D2951" s="26" t="s">
        <v>130</v>
      </c>
      <c r="E2951" s="28">
        <v>2.2378561584113856</v>
      </c>
      <c r="F2951" s="9"/>
      <c r="G2951" s="14" t="str">
        <f t="shared" si="108"/>
        <v>O</v>
      </c>
      <c r="H2951" s="15">
        <f t="shared" si="107"/>
        <v>1.1189280792056928</v>
      </c>
    </row>
    <row r="2952" spans="1:8" x14ac:dyDescent="0.3">
      <c r="A2952" s="31">
        <f>COUNTIFS($B$2:B2952,B2952)</f>
        <v>17</v>
      </c>
      <c r="B2952" s="26" t="s">
        <v>740</v>
      </c>
      <c r="C2952" s="21">
        <v>520060368076475</v>
      </c>
      <c r="D2952" s="26" t="s">
        <v>564</v>
      </c>
      <c r="E2952" s="28">
        <v>3.7295791896665706</v>
      </c>
      <c r="F2952" s="9"/>
      <c r="G2952" s="14" t="str">
        <f t="shared" si="108"/>
        <v>O</v>
      </c>
      <c r="H2952" s="15">
        <f t="shared" si="107"/>
        <v>1.8647895948332853</v>
      </c>
    </row>
    <row r="2953" spans="1:8" x14ac:dyDescent="0.3">
      <c r="A2953" s="31">
        <f>COUNTIFS($B$2:B2953,B2953)</f>
        <v>18</v>
      </c>
      <c r="B2953" s="26" t="s">
        <v>740</v>
      </c>
      <c r="C2953" s="21">
        <v>520060368076475</v>
      </c>
      <c r="D2953" s="26" t="s">
        <v>33</v>
      </c>
      <c r="E2953" s="28">
        <v>5.9676164224303623</v>
      </c>
      <c r="F2953" s="9"/>
      <c r="G2953" s="14" t="str">
        <f t="shared" si="108"/>
        <v>O</v>
      </c>
      <c r="H2953" s="15">
        <f t="shared" si="107"/>
        <v>2.9838082112151811</v>
      </c>
    </row>
    <row r="2954" spans="1:8" x14ac:dyDescent="0.3">
      <c r="A2954" s="31">
        <f>COUNTIFS($B$2:B2954,B2954)</f>
        <v>19</v>
      </c>
      <c r="B2954" s="26" t="s">
        <v>740</v>
      </c>
      <c r="C2954" s="21">
        <v>520060368076475</v>
      </c>
      <c r="D2954" s="26" t="s">
        <v>157</v>
      </c>
      <c r="E2954" s="28">
        <v>1.6409134418159441</v>
      </c>
      <c r="F2954" s="9"/>
      <c r="G2954" s="14" t="str">
        <f t="shared" si="108"/>
        <v>O</v>
      </c>
      <c r="H2954" s="15">
        <f t="shared" si="107"/>
        <v>0.82045672090797206</v>
      </c>
    </row>
    <row r="2955" spans="1:8" x14ac:dyDescent="0.3">
      <c r="A2955" s="31">
        <f>COUNTIFS($B$2:B2955,B2955)</f>
        <v>20</v>
      </c>
      <c r="B2955" s="26" t="s">
        <v>740</v>
      </c>
      <c r="C2955" s="21">
        <v>520060368076475</v>
      </c>
      <c r="D2955" s="26" t="s">
        <v>250</v>
      </c>
      <c r="E2955" s="28">
        <v>12.306850813619581</v>
      </c>
      <c r="F2955" s="9"/>
      <c r="G2955" s="14" t="str">
        <f t="shared" si="108"/>
        <v>O</v>
      </c>
      <c r="H2955" s="15">
        <f t="shared" si="107"/>
        <v>6.1534254068097907</v>
      </c>
    </row>
    <row r="2956" spans="1:8" x14ac:dyDescent="0.3">
      <c r="A2956" s="31">
        <f>COUNTIFS($B$2:B2956,B2956)</f>
        <v>21</v>
      </c>
      <c r="B2956" s="26" t="s">
        <v>740</v>
      </c>
      <c r="C2956" s="21">
        <v>520060368076475</v>
      </c>
      <c r="D2956" s="26" t="s">
        <v>94</v>
      </c>
      <c r="E2956" s="28">
        <v>2.0511418022699299</v>
      </c>
      <c r="F2956" s="9"/>
      <c r="G2956" s="14" t="str">
        <f t="shared" si="108"/>
        <v>O</v>
      </c>
      <c r="H2956" s="15">
        <f t="shared" si="107"/>
        <v>1.025570901134965</v>
      </c>
    </row>
    <row r="2957" spans="1:8" x14ac:dyDescent="0.3">
      <c r="A2957" s="31">
        <f>COUNTIFS($B$2:B2957,B2957)</f>
        <v>22</v>
      </c>
      <c r="B2957" s="26" t="s">
        <v>740</v>
      </c>
      <c r="C2957" s="21">
        <v>520060368076475</v>
      </c>
      <c r="D2957" s="26" t="s">
        <v>48</v>
      </c>
      <c r="E2957" s="28">
        <v>1.7261005057007968</v>
      </c>
      <c r="F2957" s="9"/>
      <c r="G2957" s="14" t="str">
        <f t="shared" si="108"/>
        <v>O</v>
      </c>
      <c r="H2957" s="15">
        <f t="shared" si="107"/>
        <v>0.86305025285039838</v>
      </c>
    </row>
    <row r="2958" spans="1:8" x14ac:dyDescent="0.3">
      <c r="A2958" s="31">
        <f>COUNTIFS($B$2:B2958,B2958)</f>
        <v>23</v>
      </c>
      <c r="B2958" s="26" t="s">
        <v>740</v>
      </c>
      <c r="C2958" s="21">
        <v>520060368076475</v>
      </c>
      <c r="D2958" s="26" t="s">
        <v>111</v>
      </c>
      <c r="E2958" s="28">
        <v>5.7651756890406611</v>
      </c>
      <c r="F2958" s="9"/>
      <c r="G2958" s="14" t="str">
        <f t="shared" si="108"/>
        <v>O</v>
      </c>
      <c r="H2958" s="15">
        <f t="shared" si="107"/>
        <v>2.8825878445203306</v>
      </c>
    </row>
    <row r="2959" spans="1:8" x14ac:dyDescent="0.3">
      <c r="A2959" s="31">
        <f>COUNTIFS($B$2:B2959,B2959)</f>
        <v>24</v>
      </c>
      <c r="B2959" s="26" t="s">
        <v>740</v>
      </c>
      <c r="C2959" s="21">
        <v>520060368076475</v>
      </c>
      <c r="D2959" s="26" t="s">
        <v>116</v>
      </c>
      <c r="E2959" s="28">
        <v>4.4878613148220721</v>
      </c>
      <c r="F2959" s="9"/>
      <c r="G2959" s="14" t="str">
        <f t="shared" si="108"/>
        <v>O</v>
      </c>
      <c r="H2959" s="15">
        <f t="shared" si="107"/>
        <v>2.243930657411036</v>
      </c>
    </row>
    <row r="2960" spans="1:8" x14ac:dyDescent="0.3">
      <c r="A2960" s="31">
        <f>COUNTIFS($B$2:B2960,B2960)</f>
        <v>25</v>
      </c>
      <c r="B2960" s="26" t="s">
        <v>740</v>
      </c>
      <c r="C2960" s="21">
        <v>520060368076475</v>
      </c>
      <c r="D2960" s="26" t="s">
        <v>518</v>
      </c>
      <c r="E2960" s="28">
        <v>5.2128235272164067</v>
      </c>
      <c r="F2960" s="9"/>
      <c r="G2960" s="14" t="str">
        <f t="shared" si="108"/>
        <v>O</v>
      </c>
      <c r="H2960" s="15">
        <f t="shared" si="107"/>
        <v>2.6064117636082034</v>
      </c>
    </row>
    <row r="2961" spans="1:8" x14ac:dyDescent="0.3">
      <c r="A2961" s="31">
        <f>COUNTIFS($B$2:B2961,B2961)</f>
        <v>26</v>
      </c>
      <c r="B2961" s="26" t="s">
        <v>740</v>
      </c>
      <c r="C2961" s="21">
        <v>520060368076475</v>
      </c>
      <c r="D2961" s="26" t="s">
        <v>196</v>
      </c>
      <c r="E2961" s="28">
        <v>4.6259493552781352</v>
      </c>
      <c r="F2961" s="9"/>
      <c r="G2961" s="14" t="str">
        <f t="shared" si="108"/>
        <v>O</v>
      </c>
      <c r="H2961" s="15">
        <f t="shared" si="107"/>
        <v>2.3129746776390676</v>
      </c>
    </row>
    <row r="2962" spans="1:8" x14ac:dyDescent="0.3">
      <c r="A2962" s="31">
        <f>COUNTIFS($B$2:B2962,B2962)</f>
        <v>27</v>
      </c>
      <c r="B2962" s="26" t="s">
        <v>740</v>
      </c>
      <c r="C2962" s="21">
        <v>520060368076475</v>
      </c>
      <c r="D2962" s="26" t="s">
        <v>32</v>
      </c>
      <c r="E2962" s="28">
        <v>0.34522010114015939</v>
      </c>
      <c r="F2962" s="9"/>
      <c r="G2962" s="14" t="str">
        <f t="shared" si="108"/>
        <v>O</v>
      </c>
      <c r="H2962" s="15">
        <f t="shared" si="107"/>
        <v>0.17261005057007969</v>
      </c>
    </row>
    <row r="2963" spans="1:8" x14ac:dyDescent="0.3">
      <c r="A2963" s="31">
        <f>COUNTIFS($B$2:B2963,B2963)</f>
        <v>1</v>
      </c>
      <c r="B2963" s="26" t="s">
        <v>741</v>
      </c>
      <c r="C2963" s="27">
        <v>20060368076619</v>
      </c>
      <c r="D2963" s="26" t="s">
        <v>284</v>
      </c>
      <c r="E2963" s="28">
        <v>82.8</v>
      </c>
      <c r="F2963" s="9"/>
      <c r="G2963" s="14" t="str">
        <f t="shared" si="108"/>
        <v>O</v>
      </c>
      <c r="H2963" s="15">
        <f t="shared" si="107"/>
        <v>41.4</v>
      </c>
    </row>
    <row r="2964" spans="1:8" x14ac:dyDescent="0.3">
      <c r="A2964" s="31">
        <f>COUNTIFS($B$2:B2964,B2964)</f>
        <v>2</v>
      </c>
      <c r="B2964" s="26" t="s">
        <v>741</v>
      </c>
      <c r="C2964" s="27">
        <v>20060368076619</v>
      </c>
      <c r="D2964" s="26" t="s">
        <v>155</v>
      </c>
      <c r="E2964" s="28">
        <v>1.3</v>
      </c>
      <c r="F2964" s="9"/>
      <c r="G2964" s="14" t="str">
        <f t="shared" si="108"/>
        <v>O</v>
      </c>
      <c r="H2964" s="15">
        <f t="shared" si="107"/>
        <v>0.65</v>
      </c>
    </row>
    <row r="2965" spans="1:8" x14ac:dyDescent="0.3">
      <c r="A2965" s="31">
        <f>COUNTIFS($B$2:B2965,B2965)</f>
        <v>3</v>
      </c>
      <c r="B2965" s="26" t="s">
        <v>741</v>
      </c>
      <c r="C2965" s="27">
        <v>20060368076619</v>
      </c>
      <c r="D2965" s="26" t="s">
        <v>114</v>
      </c>
      <c r="E2965" s="28">
        <v>46.9</v>
      </c>
      <c r="F2965" s="9"/>
      <c r="G2965" s="14" t="str">
        <f t="shared" si="108"/>
        <v>O</v>
      </c>
      <c r="H2965" s="15">
        <f t="shared" si="107"/>
        <v>23.45</v>
      </c>
    </row>
    <row r="2966" spans="1:8" x14ac:dyDescent="0.3">
      <c r="A2966" s="31">
        <f>COUNTIFS($B$2:B2966,B2966)</f>
        <v>4</v>
      </c>
      <c r="B2966" s="26" t="s">
        <v>741</v>
      </c>
      <c r="C2966" s="27">
        <v>20060368076619</v>
      </c>
      <c r="D2966" s="26" t="s">
        <v>164</v>
      </c>
      <c r="E2966" s="28">
        <v>0.8</v>
      </c>
      <c r="F2966" s="9"/>
      <c r="G2966" s="14" t="str">
        <f t="shared" si="108"/>
        <v>O</v>
      </c>
      <c r="H2966" s="15">
        <f t="shared" si="107"/>
        <v>0.4</v>
      </c>
    </row>
    <row r="2967" spans="1:8" x14ac:dyDescent="0.3">
      <c r="A2967" s="31">
        <f>COUNTIFS($B$2:B2967,B2967)</f>
        <v>5</v>
      </c>
      <c r="B2967" s="26" t="s">
        <v>741</v>
      </c>
      <c r="C2967" s="27">
        <v>20060368076619</v>
      </c>
      <c r="D2967" s="26" t="s">
        <v>228</v>
      </c>
      <c r="E2967" s="28">
        <v>10.4</v>
      </c>
      <c r="F2967" s="9"/>
      <c r="G2967" s="14" t="str">
        <f t="shared" si="108"/>
        <v>O</v>
      </c>
      <c r="H2967" s="15">
        <f t="shared" si="107"/>
        <v>5.2</v>
      </c>
    </row>
    <row r="2968" spans="1:8" x14ac:dyDescent="0.3">
      <c r="A2968" s="31">
        <f>COUNTIFS($B$2:B2968,B2968)</f>
        <v>6</v>
      </c>
      <c r="B2968" s="26" t="s">
        <v>741</v>
      </c>
      <c r="C2968" s="27">
        <v>20060368076619</v>
      </c>
      <c r="D2968" s="26" t="s">
        <v>218</v>
      </c>
      <c r="E2968" s="28">
        <v>6.5</v>
      </c>
      <c r="F2968" s="9"/>
      <c r="G2968" s="14" t="str">
        <f t="shared" si="108"/>
        <v>O</v>
      </c>
      <c r="H2968" s="15">
        <f t="shared" si="107"/>
        <v>3.25</v>
      </c>
    </row>
    <row r="2969" spans="1:8" x14ac:dyDescent="0.3">
      <c r="A2969" s="31">
        <f>COUNTIFS($B$2:B2969,B2969)</f>
        <v>7</v>
      </c>
      <c r="B2969" s="26" t="s">
        <v>741</v>
      </c>
      <c r="C2969" s="27">
        <v>20060368076619</v>
      </c>
      <c r="D2969" s="26" t="s">
        <v>60</v>
      </c>
      <c r="E2969" s="28">
        <v>3.3</v>
      </c>
      <c r="F2969" s="9"/>
      <c r="G2969" s="14" t="str">
        <f t="shared" si="108"/>
        <v>O</v>
      </c>
      <c r="H2969" s="15">
        <f t="shared" si="107"/>
        <v>1.65</v>
      </c>
    </row>
    <row r="2970" spans="1:8" x14ac:dyDescent="0.3">
      <c r="A2970" s="31">
        <f>COUNTIFS($B$2:B2970,B2970)</f>
        <v>8</v>
      </c>
      <c r="B2970" s="26" t="s">
        <v>741</v>
      </c>
      <c r="C2970" s="27">
        <v>20060368076619</v>
      </c>
      <c r="D2970" s="26" t="s">
        <v>572</v>
      </c>
      <c r="E2970" s="28">
        <v>25</v>
      </c>
      <c r="F2970" s="9"/>
      <c r="G2970" s="14" t="str">
        <f t="shared" si="108"/>
        <v>O</v>
      </c>
      <c r="H2970" s="15">
        <f t="shared" si="107"/>
        <v>12.5</v>
      </c>
    </row>
    <row r="2971" spans="1:8" x14ac:dyDescent="0.3">
      <c r="A2971" s="31">
        <f>COUNTIFS($B$2:B2971,B2971)</f>
        <v>9</v>
      </c>
      <c r="B2971" s="26" t="s">
        <v>741</v>
      </c>
      <c r="C2971" s="27">
        <v>20060368076619</v>
      </c>
      <c r="D2971" s="26" t="s">
        <v>742</v>
      </c>
      <c r="E2971" s="28">
        <v>25</v>
      </c>
      <c r="F2971" s="9"/>
      <c r="G2971" s="14" t="str">
        <f t="shared" si="108"/>
        <v>O</v>
      </c>
      <c r="H2971" s="15">
        <f t="shared" si="107"/>
        <v>12.5</v>
      </c>
    </row>
    <row r="2972" spans="1:8" x14ac:dyDescent="0.3">
      <c r="A2972" s="31">
        <f>COUNTIFS($B$2:B2972,B2972)</f>
        <v>10</v>
      </c>
      <c r="B2972" s="26" t="s">
        <v>741</v>
      </c>
      <c r="C2972" s="27">
        <v>20060368076619</v>
      </c>
      <c r="D2972" s="26" t="s">
        <v>540</v>
      </c>
      <c r="E2972" s="28">
        <v>7</v>
      </c>
      <c r="F2972" s="9"/>
      <c r="G2972" s="14" t="str">
        <f t="shared" si="108"/>
        <v>O</v>
      </c>
      <c r="H2972" s="15">
        <f t="shared" si="107"/>
        <v>3.5</v>
      </c>
    </row>
    <row r="2973" spans="1:8" x14ac:dyDescent="0.3">
      <c r="A2973" s="31">
        <f>COUNTIFS($B$2:B2973,B2973)</f>
        <v>11</v>
      </c>
      <c r="B2973" s="26" t="s">
        <v>741</v>
      </c>
      <c r="C2973" s="27">
        <v>20060368076619</v>
      </c>
      <c r="D2973" s="26" t="s">
        <v>743</v>
      </c>
      <c r="E2973" s="28">
        <v>6</v>
      </c>
      <c r="F2973" s="9"/>
      <c r="G2973" s="14" t="str">
        <f t="shared" si="108"/>
        <v>O</v>
      </c>
      <c r="H2973" s="15">
        <f t="shared" si="107"/>
        <v>3</v>
      </c>
    </row>
    <row r="2974" spans="1:8" x14ac:dyDescent="0.3">
      <c r="A2974" s="31">
        <f>COUNTIFS($B$2:B2974,B2974)</f>
        <v>12</v>
      </c>
      <c r="B2974" s="26" t="s">
        <v>741</v>
      </c>
      <c r="C2974" s="27">
        <v>20060368076619</v>
      </c>
      <c r="D2974" s="26" t="s">
        <v>166</v>
      </c>
      <c r="E2974" s="28">
        <v>5</v>
      </c>
      <c r="F2974" s="9"/>
      <c r="G2974" s="14" t="str">
        <f t="shared" si="108"/>
        <v>O</v>
      </c>
      <c r="H2974" s="15">
        <f t="shared" si="107"/>
        <v>2.5</v>
      </c>
    </row>
    <row r="2975" spans="1:8" x14ac:dyDescent="0.3">
      <c r="A2975" s="31">
        <f>COUNTIFS($B$2:B2975,B2975)</f>
        <v>13</v>
      </c>
      <c r="B2975" s="26" t="s">
        <v>741</v>
      </c>
      <c r="C2975" s="27">
        <v>20060368076619</v>
      </c>
      <c r="D2975" s="91" t="s">
        <v>62</v>
      </c>
      <c r="E2975" s="28">
        <v>4</v>
      </c>
      <c r="F2975" s="9"/>
      <c r="G2975" s="14" t="str">
        <f t="shared" si="108"/>
        <v>O</v>
      </c>
      <c r="H2975" s="15">
        <f t="shared" si="107"/>
        <v>2</v>
      </c>
    </row>
    <row r="2976" spans="1:8" x14ac:dyDescent="0.3">
      <c r="A2976" s="31">
        <f>COUNTIFS($B$2:B2976,B2976)</f>
        <v>1</v>
      </c>
      <c r="B2976" s="26" t="s">
        <v>744</v>
      </c>
      <c r="C2976" s="27">
        <v>20060368076618</v>
      </c>
      <c r="D2976" s="26" t="s">
        <v>284</v>
      </c>
      <c r="E2976" s="28">
        <v>82.8</v>
      </c>
      <c r="F2976" s="9"/>
      <c r="G2976" s="14" t="str">
        <f t="shared" si="108"/>
        <v>O</v>
      </c>
      <c r="H2976" s="15">
        <f t="shared" si="107"/>
        <v>41.4</v>
      </c>
    </row>
    <row r="2977" spans="1:8" x14ac:dyDescent="0.3">
      <c r="A2977" s="31">
        <f>COUNTIFS($B$2:B2977,B2977)</f>
        <v>2</v>
      </c>
      <c r="B2977" s="26" t="s">
        <v>744</v>
      </c>
      <c r="C2977" s="27">
        <v>20060368076618</v>
      </c>
      <c r="D2977" s="26" t="s">
        <v>155</v>
      </c>
      <c r="E2977" s="28">
        <v>1.3</v>
      </c>
      <c r="F2977" s="9"/>
      <c r="G2977" s="14" t="str">
        <f t="shared" si="108"/>
        <v>O</v>
      </c>
      <c r="H2977" s="15">
        <f t="shared" si="107"/>
        <v>0.65</v>
      </c>
    </row>
    <row r="2978" spans="1:8" x14ac:dyDescent="0.3">
      <c r="A2978" s="31">
        <f>COUNTIFS($B$2:B2978,B2978)</f>
        <v>3</v>
      </c>
      <c r="B2978" s="26" t="s">
        <v>744</v>
      </c>
      <c r="C2978" s="27">
        <v>20060368076618</v>
      </c>
      <c r="D2978" s="26" t="s">
        <v>114</v>
      </c>
      <c r="E2978" s="28">
        <v>46.9</v>
      </c>
      <c r="F2978" s="9"/>
      <c r="G2978" s="14" t="str">
        <f t="shared" si="108"/>
        <v>O</v>
      </c>
      <c r="H2978" s="15">
        <f t="shared" si="107"/>
        <v>23.45</v>
      </c>
    </row>
    <row r="2979" spans="1:8" x14ac:dyDescent="0.3">
      <c r="A2979" s="31">
        <f>COUNTIFS($B$2:B2979,B2979)</f>
        <v>4</v>
      </c>
      <c r="B2979" s="26" t="s">
        <v>744</v>
      </c>
      <c r="C2979" s="27">
        <v>20060368076618</v>
      </c>
      <c r="D2979" s="26" t="s">
        <v>164</v>
      </c>
      <c r="E2979" s="28">
        <v>0.8</v>
      </c>
      <c r="F2979" s="9"/>
      <c r="G2979" s="14" t="str">
        <f t="shared" si="108"/>
        <v>O</v>
      </c>
      <c r="H2979" s="15">
        <f t="shared" si="107"/>
        <v>0.4</v>
      </c>
    </row>
    <row r="2980" spans="1:8" x14ac:dyDescent="0.3">
      <c r="A2980" s="31">
        <f>COUNTIFS($B$2:B2980,B2980)</f>
        <v>5</v>
      </c>
      <c r="B2980" s="26" t="s">
        <v>744</v>
      </c>
      <c r="C2980" s="27">
        <v>20060368076618</v>
      </c>
      <c r="D2980" s="26" t="s">
        <v>228</v>
      </c>
      <c r="E2980" s="28">
        <v>10.4</v>
      </c>
      <c r="F2980" s="9"/>
      <c r="G2980" s="14" t="str">
        <f t="shared" si="108"/>
        <v>O</v>
      </c>
      <c r="H2980" s="15">
        <f t="shared" si="107"/>
        <v>5.2</v>
      </c>
    </row>
    <row r="2981" spans="1:8" x14ac:dyDescent="0.3">
      <c r="A2981" s="31">
        <f>COUNTIFS($B$2:B2981,B2981)</f>
        <v>6</v>
      </c>
      <c r="B2981" s="26" t="s">
        <v>744</v>
      </c>
      <c r="C2981" s="27">
        <v>20060368076618</v>
      </c>
      <c r="D2981" s="26" t="s">
        <v>218</v>
      </c>
      <c r="E2981" s="28">
        <v>6.5</v>
      </c>
      <c r="F2981" s="9"/>
      <c r="G2981" s="14" t="str">
        <f t="shared" si="108"/>
        <v>O</v>
      </c>
      <c r="H2981" s="15">
        <f t="shared" si="107"/>
        <v>3.25</v>
      </c>
    </row>
    <row r="2982" spans="1:8" x14ac:dyDescent="0.3">
      <c r="A2982" s="31">
        <f>COUNTIFS($B$2:B2982,B2982)</f>
        <v>7</v>
      </c>
      <c r="B2982" s="26" t="s">
        <v>744</v>
      </c>
      <c r="C2982" s="27">
        <v>20060368076618</v>
      </c>
      <c r="D2982" s="26" t="s">
        <v>60</v>
      </c>
      <c r="E2982" s="28">
        <v>3.3</v>
      </c>
      <c r="F2982" s="9"/>
      <c r="G2982" s="14" t="str">
        <f t="shared" si="108"/>
        <v>O</v>
      </c>
      <c r="H2982" s="15">
        <f t="shared" si="107"/>
        <v>1.65</v>
      </c>
    </row>
    <row r="2983" spans="1:8" x14ac:dyDescent="0.3">
      <c r="A2983" s="31">
        <f>COUNTIFS($B$2:B2983,B2983)</f>
        <v>8</v>
      </c>
      <c r="B2983" s="26" t="s">
        <v>744</v>
      </c>
      <c r="C2983" s="27">
        <v>20060368076618</v>
      </c>
      <c r="D2983" s="26" t="s">
        <v>572</v>
      </c>
      <c r="E2983" s="28">
        <v>25</v>
      </c>
      <c r="F2983" s="9"/>
      <c r="G2983" s="14" t="str">
        <f t="shared" si="108"/>
        <v>O</v>
      </c>
      <c r="H2983" s="15">
        <f t="shared" si="107"/>
        <v>12.5</v>
      </c>
    </row>
    <row r="2984" spans="1:8" x14ac:dyDescent="0.3">
      <c r="A2984" s="31">
        <f>COUNTIFS($B$2:B2984,B2984)</f>
        <v>9</v>
      </c>
      <c r="B2984" s="26" t="s">
        <v>744</v>
      </c>
      <c r="C2984" s="27">
        <v>20060368076618</v>
      </c>
      <c r="D2984" s="26" t="s">
        <v>742</v>
      </c>
      <c r="E2984" s="28">
        <v>25</v>
      </c>
      <c r="F2984" s="9"/>
      <c r="G2984" s="14" t="str">
        <f t="shared" si="108"/>
        <v>O</v>
      </c>
      <c r="H2984" s="15">
        <f t="shared" si="107"/>
        <v>12.5</v>
      </c>
    </row>
    <row r="2985" spans="1:8" x14ac:dyDescent="0.3">
      <c r="A2985" s="31">
        <f>COUNTIFS($B$2:B2985,B2985)</f>
        <v>10</v>
      </c>
      <c r="B2985" s="26" t="s">
        <v>744</v>
      </c>
      <c r="C2985" s="27">
        <v>20060368076618</v>
      </c>
      <c r="D2985" s="26" t="s">
        <v>208</v>
      </c>
      <c r="E2985" s="28">
        <v>7</v>
      </c>
      <c r="F2985" s="9"/>
      <c r="G2985" s="14" t="str">
        <f t="shared" si="108"/>
        <v>O</v>
      </c>
      <c r="H2985" s="15">
        <f t="shared" si="107"/>
        <v>3.5</v>
      </c>
    </row>
    <row r="2986" spans="1:8" x14ac:dyDescent="0.3">
      <c r="A2986" s="31">
        <f>COUNTIFS($B$2:B2986,B2986)</f>
        <v>11</v>
      </c>
      <c r="B2986" s="26" t="s">
        <v>744</v>
      </c>
      <c r="C2986" s="27">
        <v>20060368076618</v>
      </c>
      <c r="D2986" s="26" t="s">
        <v>743</v>
      </c>
      <c r="E2986" s="28">
        <v>12</v>
      </c>
      <c r="F2986" s="9"/>
      <c r="G2986" s="14" t="str">
        <f t="shared" si="108"/>
        <v>O</v>
      </c>
      <c r="H2986" s="15">
        <f t="shared" si="107"/>
        <v>6</v>
      </c>
    </row>
    <row r="2987" spans="1:8" x14ac:dyDescent="0.3">
      <c r="A2987" s="31">
        <f>COUNTIFS($B$2:B2987,B2987)</f>
        <v>1</v>
      </c>
      <c r="B2987" s="26" t="s">
        <v>745</v>
      </c>
      <c r="C2987" s="27">
        <v>20060368076620</v>
      </c>
      <c r="D2987" s="26" t="s">
        <v>284</v>
      </c>
      <c r="E2987" s="28">
        <v>82.7</v>
      </c>
      <c r="F2987" s="9"/>
      <c r="G2987" s="14" t="str">
        <f t="shared" si="108"/>
        <v>O</v>
      </c>
      <c r="H2987" s="15">
        <f t="shared" si="107"/>
        <v>41.35</v>
      </c>
    </row>
    <row r="2988" spans="1:8" x14ac:dyDescent="0.3">
      <c r="A2988" s="31">
        <f>COUNTIFS($B$2:B2988,B2988)</f>
        <v>2</v>
      </c>
      <c r="B2988" s="26" t="s">
        <v>745</v>
      </c>
      <c r="C2988" s="27">
        <v>20060368076620</v>
      </c>
      <c r="D2988" s="26" t="s">
        <v>155</v>
      </c>
      <c r="E2988" s="28">
        <v>1.3</v>
      </c>
      <c r="F2988" s="9"/>
      <c r="G2988" s="14" t="str">
        <f t="shared" si="108"/>
        <v>O</v>
      </c>
      <c r="H2988" s="15">
        <f t="shared" si="107"/>
        <v>0.65</v>
      </c>
    </row>
    <row r="2989" spans="1:8" x14ac:dyDescent="0.3">
      <c r="A2989" s="31">
        <f>COUNTIFS($B$2:B2989,B2989)</f>
        <v>3</v>
      </c>
      <c r="B2989" s="26" t="s">
        <v>745</v>
      </c>
      <c r="C2989" s="27">
        <v>20060368076620</v>
      </c>
      <c r="D2989" s="26" t="s">
        <v>114</v>
      </c>
      <c r="E2989" s="28">
        <v>46.9</v>
      </c>
      <c r="F2989" s="9"/>
      <c r="G2989" s="14" t="str">
        <f t="shared" si="108"/>
        <v>O</v>
      </c>
      <c r="H2989" s="15">
        <f t="shared" si="107"/>
        <v>23.45</v>
      </c>
    </row>
    <row r="2990" spans="1:8" x14ac:dyDescent="0.3">
      <c r="A2990" s="31">
        <f>COUNTIFS($B$2:B2990,B2990)</f>
        <v>4</v>
      </c>
      <c r="B2990" s="26" t="s">
        <v>745</v>
      </c>
      <c r="C2990" s="27">
        <v>20060368076620</v>
      </c>
      <c r="D2990" s="26" t="s">
        <v>164</v>
      </c>
      <c r="E2990" s="28">
        <v>0.8</v>
      </c>
      <c r="F2990" s="9"/>
      <c r="G2990" s="14" t="str">
        <f t="shared" si="108"/>
        <v>O</v>
      </c>
      <c r="H2990" s="15">
        <f t="shared" si="107"/>
        <v>0.4</v>
      </c>
    </row>
    <row r="2991" spans="1:8" x14ac:dyDescent="0.3">
      <c r="A2991" s="31">
        <f>COUNTIFS($B$2:B2991,B2991)</f>
        <v>5</v>
      </c>
      <c r="B2991" s="26" t="s">
        <v>745</v>
      </c>
      <c r="C2991" s="27">
        <v>20060368076620</v>
      </c>
      <c r="D2991" s="26" t="s">
        <v>228</v>
      </c>
      <c r="E2991" s="28">
        <v>10.4</v>
      </c>
      <c r="F2991" s="9"/>
      <c r="G2991" s="14" t="str">
        <f t="shared" si="108"/>
        <v>O</v>
      </c>
      <c r="H2991" s="15">
        <f t="shared" si="107"/>
        <v>5.2</v>
      </c>
    </row>
    <row r="2992" spans="1:8" x14ac:dyDescent="0.3">
      <c r="A2992" s="31">
        <f>COUNTIFS($B$2:B2992,B2992)</f>
        <v>6</v>
      </c>
      <c r="B2992" s="26" t="s">
        <v>745</v>
      </c>
      <c r="C2992" s="27">
        <v>20060368076620</v>
      </c>
      <c r="D2992" s="26" t="s">
        <v>218</v>
      </c>
      <c r="E2992" s="28">
        <v>6.5</v>
      </c>
      <c r="F2992" s="9"/>
      <c r="G2992" s="14" t="str">
        <f t="shared" si="108"/>
        <v>O</v>
      </c>
      <c r="H2992" s="15">
        <f t="shared" si="107"/>
        <v>3.25</v>
      </c>
    </row>
    <row r="2993" spans="1:8" x14ac:dyDescent="0.3">
      <c r="A2993" s="31">
        <f>COUNTIFS($B$2:B2993,B2993)</f>
        <v>7</v>
      </c>
      <c r="B2993" s="26" t="s">
        <v>745</v>
      </c>
      <c r="C2993" s="27">
        <v>20060368076620</v>
      </c>
      <c r="D2993" s="26" t="s">
        <v>60</v>
      </c>
      <c r="E2993" s="28">
        <v>3.2</v>
      </c>
      <c r="F2993" s="9"/>
      <c r="G2993" s="14" t="str">
        <f t="shared" si="108"/>
        <v>O</v>
      </c>
      <c r="H2993" s="15">
        <f t="shared" si="107"/>
        <v>1.6</v>
      </c>
    </row>
    <row r="2994" spans="1:8" x14ac:dyDescent="0.3">
      <c r="A2994" s="31">
        <f>COUNTIFS($B$2:B2994,B2994)</f>
        <v>8</v>
      </c>
      <c r="B2994" s="26" t="s">
        <v>745</v>
      </c>
      <c r="C2994" s="27">
        <v>20060368076620</v>
      </c>
      <c r="D2994" s="26" t="s">
        <v>572</v>
      </c>
      <c r="E2994" s="28">
        <v>20</v>
      </c>
      <c r="F2994" s="9"/>
      <c r="G2994" s="14" t="str">
        <f t="shared" si="108"/>
        <v>O</v>
      </c>
      <c r="H2994" s="15">
        <f t="shared" si="107"/>
        <v>10</v>
      </c>
    </row>
    <row r="2995" spans="1:8" x14ac:dyDescent="0.3">
      <c r="A2995" s="31">
        <f>COUNTIFS($B$2:B2995,B2995)</f>
        <v>9</v>
      </c>
      <c r="B2995" s="26" t="s">
        <v>745</v>
      </c>
      <c r="C2995" s="27">
        <v>20060368076620</v>
      </c>
      <c r="D2995" s="26" t="s">
        <v>742</v>
      </c>
      <c r="E2995" s="28">
        <v>25</v>
      </c>
      <c r="F2995" s="9"/>
      <c r="G2995" s="14" t="str">
        <f t="shared" si="108"/>
        <v>O</v>
      </c>
      <c r="H2995" s="15">
        <f t="shared" si="107"/>
        <v>12.5</v>
      </c>
    </row>
    <row r="2996" spans="1:8" x14ac:dyDescent="0.3">
      <c r="A2996" s="31">
        <f>COUNTIFS($B$2:B2996,B2996)</f>
        <v>10</v>
      </c>
      <c r="B2996" s="26" t="s">
        <v>745</v>
      </c>
      <c r="C2996" s="27">
        <v>20060368076620</v>
      </c>
      <c r="D2996" s="26" t="s">
        <v>366</v>
      </c>
      <c r="E2996" s="28">
        <v>20</v>
      </c>
      <c r="F2996" s="9"/>
      <c r="G2996" s="14" t="str">
        <f t="shared" si="108"/>
        <v>O</v>
      </c>
      <c r="H2996" s="15">
        <f t="shared" si="107"/>
        <v>10</v>
      </c>
    </row>
    <row r="2997" spans="1:8" x14ac:dyDescent="0.3">
      <c r="A2997" s="31">
        <f>COUNTIFS($B$2:B2997,B2997)</f>
        <v>1</v>
      </c>
      <c r="B2997" s="26" t="s">
        <v>746</v>
      </c>
      <c r="C2997" s="27">
        <v>20060368076617</v>
      </c>
      <c r="D2997" s="26" t="s">
        <v>284</v>
      </c>
      <c r="E2997" s="28">
        <v>82.8</v>
      </c>
      <c r="F2997" s="9"/>
      <c r="G2997" s="14" t="str">
        <f t="shared" si="108"/>
        <v>O</v>
      </c>
      <c r="H2997" s="15">
        <f t="shared" ref="H2997:H3060" si="109">E2997/2</f>
        <v>41.4</v>
      </c>
    </row>
    <row r="2998" spans="1:8" x14ac:dyDescent="0.3">
      <c r="A2998" s="31">
        <f>COUNTIFS($B$2:B2998,B2998)</f>
        <v>2</v>
      </c>
      <c r="B2998" s="26" t="s">
        <v>746</v>
      </c>
      <c r="C2998" s="27">
        <v>20060368076617</v>
      </c>
      <c r="D2998" s="26" t="s">
        <v>155</v>
      </c>
      <c r="E2998" s="28">
        <v>1.3</v>
      </c>
      <c r="F2998" s="9"/>
      <c r="G2998" s="14" t="str">
        <f t="shared" si="108"/>
        <v>O</v>
      </c>
      <c r="H2998" s="15">
        <f t="shared" si="109"/>
        <v>0.65</v>
      </c>
    </row>
    <row r="2999" spans="1:8" x14ac:dyDescent="0.3">
      <c r="A2999" s="31">
        <f>COUNTIFS($B$2:B2999,B2999)</f>
        <v>3</v>
      </c>
      <c r="B2999" s="26" t="s">
        <v>746</v>
      </c>
      <c r="C2999" s="27">
        <v>20060368076617</v>
      </c>
      <c r="D2999" s="26" t="s">
        <v>114</v>
      </c>
      <c r="E2999" s="28">
        <v>46.9</v>
      </c>
      <c r="F2999" s="9"/>
      <c r="G2999" s="14" t="str">
        <f t="shared" si="108"/>
        <v>O</v>
      </c>
      <c r="H2999" s="15">
        <f t="shared" si="109"/>
        <v>23.45</v>
      </c>
    </row>
    <row r="3000" spans="1:8" x14ac:dyDescent="0.3">
      <c r="A3000" s="31">
        <f>COUNTIFS($B$2:B3000,B3000)</f>
        <v>4</v>
      </c>
      <c r="B3000" s="26" t="s">
        <v>746</v>
      </c>
      <c r="C3000" s="27">
        <v>20060368076617</v>
      </c>
      <c r="D3000" s="26" t="s">
        <v>164</v>
      </c>
      <c r="E3000" s="28">
        <v>0.8</v>
      </c>
      <c r="F3000" s="9"/>
      <c r="G3000" s="14" t="str">
        <f t="shared" si="108"/>
        <v>O</v>
      </c>
      <c r="H3000" s="15">
        <f t="shared" si="109"/>
        <v>0.4</v>
      </c>
    </row>
    <row r="3001" spans="1:8" x14ac:dyDescent="0.3">
      <c r="A3001" s="31">
        <f>COUNTIFS($B$2:B3001,B3001)</f>
        <v>5</v>
      </c>
      <c r="B3001" s="26" t="s">
        <v>746</v>
      </c>
      <c r="C3001" s="27">
        <v>20060368076617</v>
      </c>
      <c r="D3001" s="26" t="s">
        <v>228</v>
      </c>
      <c r="E3001" s="28">
        <v>10.4</v>
      </c>
      <c r="F3001" s="9"/>
      <c r="G3001" s="14" t="str">
        <f t="shared" si="108"/>
        <v>O</v>
      </c>
      <c r="H3001" s="15">
        <f t="shared" si="109"/>
        <v>5.2</v>
      </c>
    </row>
    <row r="3002" spans="1:8" x14ac:dyDescent="0.3">
      <c r="A3002" s="31">
        <f>COUNTIFS($B$2:B3002,B3002)</f>
        <v>6</v>
      </c>
      <c r="B3002" s="26" t="s">
        <v>746</v>
      </c>
      <c r="C3002" s="27">
        <v>20060368076617</v>
      </c>
      <c r="D3002" s="26" t="s">
        <v>218</v>
      </c>
      <c r="E3002" s="28">
        <v>6.5</v>
      </c>
      <c r="F3002" s="9"/>
      <c r="G3002" s="14" t="str">
        <f t="shared" si="108"/>
        <v>O</v>
      </c>
      <c r="H3002" s="15">
        <f t="shared" si="109"/>
        <v>3.25</v>
      </c>
    </row>
    <row r="3003" spans="1:8" x14ac:dyDescent="0.3">
      <c r="A3003" s="31">
        <f>COUNTIFS($B$2:B3003,B3003)</f>
        <v>7</v>
      </c>
      <c r="B3003" s="26" t="s">
        <v>746</v>
      </c>
      <c r="C3003" s="27">
        <v>20060368076617</v>
      </c>
      <c r="D3003" s="26" t="s">
        <v>60</v>
      </c>
      <c r="E3003" s="28">
        <v>3.3</v>
      </c>
      <c r="F3003" s="9"/>
      <c r="G3003" s="14" t="str">
        <f t="shared" si="108"/>
        <v>O</v>
      </c>
      <c r="H3003" s="15">
        <f t="shared" si="109"/>
        <v>1.65</v>
      </c>
    </row>
    <row r="3004" spans="1:8" x14ac:dyDescent="0.3">
      <c r="A3004" s="31">
        <f>COUNTIFS($B$2:B3004,B3004)</f>
        <v>8</v>
      </c>
      <c r="B3004" s="26" t="s">
        <v>746</v>
      </c>
      <c r="C3004" s="27">
        <v>20060368076617</v>
      </c>
      <c r="D3004" s="26" t="s">
        <v>572</v>
      </c>
      <c r="E3004" s="28">
        <v>25</v>
      </c>
      <c r="F3004" s="9"/>
      <c r="G3004" s="14" t="str">
        <f t="shared" si="108"/>
        <v>O</v>
      </c>
      <c r="H3004" s="15">
        <f t="shared" si="109"/>
        <v>12.5</v>
      </c>
    </row>
    <row r="3005" spans="1:8" x14ac:dyDescent="0.3">
      <c r="A3005" s="31">
        <f>COUNTIFS($B$2:B3005,B3005)</f>
        <v>9</v>
      </c>
      <c r="B3005" s="26" t="s">
        <v>746</v>
      </c>
      <c r="C3005" s="27">
        <v>20060368076617</v>
      </c>
      <c r="D3005" s="26" t="s">
        <v>742</v>
      </c>
      <c r="E3005" s="28">
        <v>25</v>
      </c>
      <c r="F3005" s="9"/>
      <c r="G3005" s="14" t="str">
        <f t="shared" ref="G3005:G3068" si="110">IF(D3005="","",IF(COUNTIF(I:I,D3005)&gt;0,"O","X"))</f>
        <v>O</v>
      </c>
      <c r="H3005" s="15">
        <f t="shared" si="109"/>
        <v>12.5</v>
      </c>
    </row>
    <row r="3006" spans="1:8" x14ac:dyDescent="0.3">
      <c r="A3006" s="31">
        <f>COUNTIFS($B$2:B3006,B3006)</f>
        <v>10</v>
      </c>
      <c r="B3006" s="26" t="s">
        <v>746</v>
      </c>
      <c r="C3006" s="27">
        <v>20060368076617</v>
      </c>
      <c r="D3006" s="26" t="s">
        <v>62</v>
      </c>
      <c r="E3006" s="28">
        <v>4</v>
      </c>
      <c r="F3006" s="9"/>
      <c r="G3006" s="14" t="str">
        <f t="shared" si="110"/>
        <v>O</v>
      </c>
      <c r="H3006" s="15">
        <f t="shared" si="109"/>
        <v>2</v>
      </c>
    </row>
    <row r="3007" spans="1:8" x14ac:dyDescent="0.3">
      <c r="A3007" s="31">
        <f>COUNTIFS($B$2:B3007,B3007)</f>
        <v>1</v>
      </c>
      <c r="B3007" s="26" t="s">
        <v>747</v>
      </c>
      <c r="C3007" s="27">
        <v>20060368076623</v>
      </c>
      <c r="D3007" s="26" t="s">
        <v>284</v>
      </c>
      <c r="E3007" s="28">
        <v>248.39999999999998</v>
      </c>
      <c r="F3007" s="9"/>
      <c r="G3007" s="14" t="str">
        <f t="shared" si="110"/>
        <v>O</v>
      </c>
      <c r="H3007" s="15">
        <f t="shared" si="109"/>
        <v>124.19999999999999</v>
      </c>
    </row>
    <row r="3008" spans="1:8" x14ac:dyDescent="0.3">
      <c r="A3008" s="31">
        <f>COUNTIFS($B$2:B3008,B3008)</f>
        <v>2</v>
      </c>
      <c r="B3008" s="26" t="s">
        <v>747</v>
      </c>
      <c r="C3008" s="27">
        <v>20060368076623</v>
      </c>
      <c r="D3008" s="26" t="s">
        <v>155</v>
      </c>
      <c r="E3008" s="28">
        <v>3.9000000000000004</v>
      </c>
      <c r="F3008" s="9"/>
      <c r="G3008" s="14" t="str">
        <f t="shared" si="110"/>
        <v>O</v>
      </c>
      <c r="H3008" s="15">
        <f t="shared" si="109"/>
        <v>1.9500000000000002</v>
      </c>
    </row>
    <row r="3009" spans="1:8" x14ac:dyDescent="0.3">
      <c r="A3009" s="31">
        <f>COUNTIFS($B$2:B3009,B3009)</f>
        <v>3</v>
      </c>
      <c r="B3009" s="26" t="s">
        <v>747</v>
      </c>
      <c r="C3009" s="27">
        <v>20060368076623</v>
      </c>
      <c r="D3009" s="26" t="s">
        <v>114</v>
      </c>
      <c r="E3009" s="28">
        <v>140.69999999999999</v>
      </c>
      <c r="F3009" s="9"/>
      <c r="G3009" s="14" t="str">
        <f t="shared" si="110"/>
        <v>O</v>
      </c>
      <c r="H3009" s="15">
        <f t="shared" si="109"/>
        <v>70.349999999999994</v>
      </c>
    </row>
    <row r="3010" spans="1:8" x14ac:dyDescent="0.3">
      <c r="A3010" s="31">
        <f>COUNTIFS($B$2:B3010,B3010)</f>
        <v>4</v>
      </c>
      <c r="B3010" s="26" t="s">
        <v>747</v>
      </c>
      <c r="C3010" s="27">
        <v>20060368076623</v>
      </c>
      <c r="D3010" s="26" t="s">
        <v>164</v>
      </c>
      <c r="E3010" s="28">
        <v>2.4000000000000004</v>
      </c>
      <c r="F3010" s="9"/>
      <c r="G3010" s="14" t="str">
        <f t="shared" si="110"/>
        <v>O</v>
      </c>
      <c r="H3010" s="15">
        <f t="shared" si="109"/>
        <v>1.2000000000000002</v>
      </c>
    </row>
    <row r="3011" spans="1:8" x14ac:dyDescent="0.3">
      <c r="A3011" s="31">
        <f>COUNTIFS($B$2:B3011,B3011)</f>
        <v>5</v>
      </c>
      <c r="B3011" s="26" t="s">
        <v>747</v>
      </c>
      <c r="C3011" s="27">
        <v>20060368076623</v>
      </c>
      <c r="D3011" s="26" t="s">
        <v>228</v>
      </c>
      <c r="E3011" s="28">
        <v>31.200000000000003</v>
      </c>
      <c r="F3011" s="9"/>
      <c r="G3011" s="14" t="str">
        <f t="shared" si="110"/>
        <v>O</v>
      </c>
      <c r="H3011" s="15">
        <f t="shared" si="109"/>
        <v>15.600000000000001</v>
      </c>
    </row>
    <row r="3012" spans="1:8" x14ac:dyDescent="0.3">
      <c r="A3012" s="31">
        <f>COUNTIFS($B$2:B3012,B3012)</f>
        <v>6</v>
      </c>
      <c r="B3012" s="26" t="s">
        <v>747</v>
      </c>
      <c r="C3012" s="27">
        <v>20060368076623</v>
      </c>
      <c r="D3012" s="26" t="s">
        <v>218</v>
      </c>
      <c r="E3012" s="28">
        <v>19.5</v>
      </c>
      <c r="F3012" s="9"/>
      <c r="G3012" s="14" t="str">
        <f t="shared" si="110"/>
        <v>O</v>
      </c>
      <c r="H3012" s="15">
        <f t="shared" si="109"/>
        <v>9.75</v>
      </c>
    </row>
    <row r="3013" spans="1:8" x14ac:dyDescent="0.3">
      <c r="A3013" s="31">
        <f>COUNTIFS($B$2:B3013,B3013)</f>
        <v>7</v>
      </c>
      <c r="B3013" s="26" t="s">
        <v>747</v>
      </c>
      <c r="C3013" s="27">
        <v>20060368076623</v>
      </c>
      <c r="D3013" s="26" t="s">
        <v>60</v>
      </c>
      <c r="E3013" s="28">
        <v>9.8999999999999986</v>
      </c>
      <c r="F3013" s="9"/>
      <c r="G3013" s="14" t="str">
        <f t="shared" si="110"/>
        <v>O</v>
      </c>
      <c r="H3013" s="15">
        <f t="shared" si="109"/>
        <v>4.9499999999999993</v>
      </c>
    </row>
    <row r="3014" spans="1:8" x14ac:dyDescent="0.3">
      <c r="A3014" s="31">
        <f>COUNTIFS($B$2:B3014,B3014)</f>
        <v>8</v>
      </c>
      <c r="B3014" s="26" t="s">
        <v>747</v>
      </c>
      <c r="C3014" s="27">
        <v>20060368076623</v>
      </c>
      <c r="D3014" s="26" t="s">
        <v>572</v>
      </c>
      <c r="E3014" s="28">
        <v>75</v>
      </c>
      <c r="F3014" s="9"/>
      <c r="G3014" s="14" t="str">
        <f t="shared" si="110"/>
        <v>O</v>
      </c>
      <c r="H3014" s="15">
        <f t="shared" si="109"/>
        <v>37.5</v>
      </c>
    </row>
    <row r="3015" spans="1:8" x14ac:dyDescent="0.3">
      <c r="A3015" s="31">
        <f>COUNTIFS($B$2:B3015,B3015)</f>
        <v>9</v>
      </c>
      <c r="B3015" s="26" t="s">
        <v>747</v>
      </c>
      <c r="C3015" s="27">
        <v>20060368076623</v>
      </c>
      <c r="D3015" s="26" t="s">
        <v>742</v>
      </c>
      <c r="E3015" s="28">
        <v>75</v>
      </c>
      <c r="F3015" s="9"/>
      <c r="G3015" s="14" t="str">
        <f t="shared" si="110"/>
        <v>O</v>
      </c>
      <c r="H3015" s="15">
        <f t="shared" si="109"/>
        <v>37.5</v>
      </c>
    </row>
    <row r="3016" spans="1:8" x14ac:dyDescent="0.3">
      <c r="A3016" s="31">
        <f>COUNTIFS($B$2:B3016,B3016)</f>
        <v>10</v>
      </c>
      <c r="B3016" s="26" t="s">
        <v>747</v>
      </c>
      <c r="C3016" s="27">
        <v>20060368076623</v>
      </c>
      <c r="D3016" s="26" t="s">
        <v>540</v>
      </c>
      <c r="E3016" s="28">
        <v>21</v>
      </c>
      <c r="F3016" s="9"/>
      <c r="G3016" s="14" t="str">
        <f t="shared" si="110"/>
        <v>O</v>
      </c>
      <c r="H3016" s="15">
        <f t="shared" si="109"/>
        <v>10.5</v>
      </c>
    </row>
    <row r="3017" spans="1:8" x14ac:dyDescent="0.3">
      <c r="A3017" s="31">
        <f>COUNTIFS($B$2:B3017,B3017)</f>
        <v>11</v>
      </c>
      <c r="B3017" s="26" t="s">
        <v>747</v>
      </c>
      <c r="C3017" s="27">
        <v>20060368076623</v>
      </c>
      <c r="D3017" s="26" t="s">
        <v>743</v>
      </c>
      <c r="E3017" s="28">
        <v>18</v>
      </c>
      <c r="F3017" s="9"/>
      <c r="G3017" s="14" t="str">
        <f t="shared" si="110"/>
        <v>O</v>
      </c>
      <c r="H3017" s="15">
        <f t="shared" si="109"/>
        <v>9</v>
      </c>
    </row>
    <row r="3018" spans="1:8" x14ac:dyDescent="0.3">
      <c r="A3018" s="31">
        <f>COUNTIFS($B$2:B3018,B3018)</f>
        <v>12</v>
      </c>
      <c r="B3018" s="26" t="s">
        <v>747</v>
      </c>
      <c r="C3018" s="27">
        <v>20060368076623</v>
      </c>
      <c r="D3018" s="26" t="s">
        <v>166</v>
      </c>
      <c r="E3018" s="28">
        <v>15</v>
      </c>
      <c r="F3018" s="9"/>
      <c r="G3018" s="14" t="str">
        <f t="shared" si="110"/>
        <v>O</v>
      </c>
      <c r="H3018" s="15">
        <f t="shared" si="109"/>
        <v>7.5</v>
      </c>
    </row>
    <row r="3019" spans="1:8" x14ac:dyDescent="0.3">
      <c r="A3019" s="31">
        <f>COUNTIFS($B$2:B3019,B3019)</f>
        <v>13</v>
      </c>
      <c r="B3019" s="26" t="s">
        <v>747</v>
      </c>
      <c r="C3019" s="27">
        <v>20060368076623</v>
      </c>
      <c r="D3019" s="91" t="s">
        <v>62</v>
      </c>
      <c r="E3019" s="28">
        <v>12</v>
      </c>
      <c r="F3019" s="9"/>
      <c r="G3019" s="14" t="str">
        <f t="shared" si="110"/>
        <v>O</v>
      </c>
      <c r="H3019" s="15">
        <f t="shared" si="109"/>
        <v>6</v>
      </c>
    </row>
    <row r="3020" spans="1:8" x14ac:dyDescent="0.3">
      <c r="A3020" s="31">
        <f>COUNTIFS($B$2:B3020,B3020)</f>
        <v>1</v>
      </c>
      <c r="B3020" s="26" t="s">
        <v>748</v>
      </c>
      <c r="C3020" s="27">
        <v>20060368076622</v>
      </c>
      <c r="D3020" s="26" t="s">
        <v>284</v>
      </c>
      <c r="E3020" s="15">
        <v>248.39999999999998</v>
      </c>
      <c r="F3020" s="9"/>
      <c r="G3020" s="14" t="str">
        <f t="shared" si="110"/>
        <v>O</v>
      </c>
      <c r="H3020" s="15">
        <f t="shared" si="109"/>
        <v>124.19999999999999</v>
      </c>
    </row>
    <row r="3021" spans="1:8" x14ac:dyDescent="0.3">
      <c r="A3021" s="31">
        <f>COUNTIFS($B$2:B3021,B3021)</f>
        <v>2</v>
      </c>
      <c r="B3021" s="26" t="s">
        <v>748</v>
      </c>
      <c r="C3021" s="27">
        <v>20060368076622</v>
      </c>
      <c r="D3021" s="26" t="s">
        <v>155</v>
      </c>
      <c r="E3021" s="15">
        <v>3.9000000000000004</v>
      </c>
      <c r="F3021" s="9"/>
      <c r="G3021" s="14" t="str">
        <f t="shared" si="110"/>
        <v>O</v>
      </c>
      <c r="H3021" s="15">
        <f t="shared" si="109"/>
        <v>1.9500000000000002</v>
      </c>
    </row>
    <row r="3022" spans="1:8" x14ac:dyDescent="0.3">
      <c r="A3022" s="31">
        <f>COUNTIFS($B$2:B3022,B3022)</f>
        <v>3</v>
      </c>
      <c r="B3022" s="26" t="s">
        <v>748</v>
      </c>
      <c r="C3022" s="27">
        <v>20060368076622</v>
      </c>
      <c r="D3022" s="26" t="s">
        <v>114</v>
      </c>
      <c r="E3022" s="15">
        <v>140.69999999999999</v>
      </c>
      <c r="F3022" s="9"/>
      <c r="G3022" s="14" t="str">
        <f t="shared" si="110"/>
        <v>O</v>
      </c>
      <c r="H3022" s="15">
        <f t="shared" si="109"/>
        <v>70.349999999999994</v>
      </c>
    </row>
    <row r="3023" spans="1:8" x14ac:dyDescent="0.3">
      <c r="A3023" s="31">
        <f>COUNTIFS($B$2:B3023,B3023)</f>
        <v>4</v>
      </c>
      <c r="B3023" s="26" t="s">
        <v>748</v>
      </c>
      <c r="C3023" s="27">
        <v>20060368076622</v>
      </c>
      <c r="D3023" s="26" t="s">
        <v>164</v>
      </c>
      <c r="E3023" s="15">
        <v>2.4000000000000004</v>
      </c>
      <c r="F3023" s="9"/>
      <c r="G3023" s="14" t="str">
        <f t="shared" si="110"/>
        <v>O</v>
      </c>
      <c r="H3023" s="15">
        <f t="shared" si="109"/>
        <v>1.2000000000000002</v>
      </c>
    </row>
    <row r="3024" spans="1:8" x14ac:dyDescent="0.3">
      <c r="A3024" s="31">
        <f>COUNTIFS($B$2:B3024,B3024)</f>
        <v>5</v>
      </c>
      <c r="B3024" s="26" t="s">
        <v>748</v>
      </c>
      <c r="C3024" s="27">
        <v>20060368076622</v>
      </c>
      <c r="D3024" s="26" t="s">
        <v>228</v>
      </c>
      <c r="E3024" s="15">
        <v>31.200000000000003</v>
      </c>
      <c r="F3024" s="9"/>
      <c r="G3024" s="14" t="str">
        <f t="shared" si="110"/>
        <v>O</v>
      </c>
      <c r="H3024" s="15">
        <f t="shared" si="109"/>
        <v>15.600000000000001</v>
      </c>
    </row>
    <row r="3025" spans="1:8" x14ac:dyDescent="0.3">
      <c r="A3025" s="31">
        <f>COUNTIFS($B$2:B3025,B3025)</f>
        <v>6</v>
      </c>
      <c r="B3025" s="26" t="s">
        <v>748</v>
      </c>
      <c r="C3025" s="27">
        <v>20060368076622</v>
      </c>
      <c r="D3025" s="26" t="s">
        <v>218</v>
      </c>
      <c r="E3025" s="15">
        <v>19.5</v>
      </c>
      <c r="F3025" s="9"/>
      <c r="G3025" s="14" t="str">
        <f t="shared" si="110"/>
        <v>O</v>
      </c>
      <c r="H3025" s="15">
        <f t="shared" si="109"/>
        <v>9.75</v>
      </c>
    </row>
    <row r="3026" spans="1:8" x14ac:dyDescent="0.3">
      <c r="A3026" s="31">
        <f>COUNTIFS($B$2:B3026,B3026)</f>
        <v>7</v>
      </c>
      <c r="B3026" s="26" t="s">
        <v>748</v>
      </c>
      <c r="C3026" s="27">
        <v>20060368076622</v>
      </c>
      <c r="D3026" s="26" t="s">
        <v>60</v>
      </c>
      <c r="E3026" s="15">
        <v>9.8999999999999986</v>
      </c>
      <c r="F3026" s="9"/>
      <c r="G3026" s="14" t="str">
        <f t="shared" si="110"/>
        <v>O</v>
      </c>
      <c r="H3026" s="15">
        <f t="shared" si="109"/>
        <v>4.9499999999999993</v>
      </c>
    </row>
    <row r="3027" spans="1:8" x14ac:dyDescent="0.3">
      <c r="A3027" s="31">
        <f>COUNTIFS($B$2:B3027,B3027)</f>
        <v>8</v>
      </c>
      <c r="B3027" s="26" t="s">
        <v>748</v>
      </c>
      <c r="C3027" s="27">
        <v>20060368076622</v>
      </c>
      <c r="D3027" s="26" t="s">
        <v>572</v>
      </c>
      <c r="E3027" s="15">
        <v>75</v>
      </c>
      <c r="F3027" s="9"/>
      <c r="G3027" s="14" t="str">
        <f t="shared" si="110"/>
        <v>O</v>
      </c>
      <c r="H3027" s="15">
        <f t="shared" si="109"/>
        <v>37.5</v>
      </c>
    </row>
    <row r="3028" spans="1:8" x14ac:dyDescent="0.3">
      <c r="A3028" s="31">
        <f>COUNTIFS($B$2:B3028,B3028)</f>
        <v>9</v>
      </c>
      <c r="B3028" s="26" t="s">
        <v>748</v>
      </c>
      <c r="C3028" s="27">
        <v>20060368076622</v>
      </c>
      <c r="D3028" s="26" t="s">
        <v>742</v>
      </c>
      <c r="E3028" s="15">
        <v>75</v>
      </c>
      <c r="F3028" s="9"/>
      <c r="G3028" s="14" t="str">
        <f t="shared" si="110"/>
        <v>O</v>
      </c>
      <c r="H3028" s="15">
        <f t="shared" si="109"/>
        <v>37.5</v>
      </c>
    </row>
    <row r="3029" spans="1:8" x14ac:dyDescent="0.3">
      <c r="A3029" s="31">
        <f>COUNTIFS($B$2:B3029,B3029)</f>
        <v>10</v>
      </c>
      <c r="B3029" s="26" t="s">
        <v>748</v>
      </c>
      <c r="C3029" s="27">
        <v>20060368076622</v>
      </c>
      <c r="D3029" s="26" t="s">
        <v>208</v>
      </c>
      <c r="E3029" s="15">
        <v>21</v>
      </c>
      <c r="F3029" s="9"/>
      <c r="G3029" s="14" t="str">
        <f t="shared" si="110"/>
        <v>O</v>
      </c>
      <c r="H3029" s="15">
        <f t="shared" si="109"/>
        <v>10.5</v>
      </c>
    </row>
    <row r="3030" spans="1:8" x14ac:dyDescent="0.3">
      <c r="A3030" s="31">
        <f>COUNTIFS($B$2:B3030,B3030)</f>
        <v>11</v>
      </c>
      <c r="B3030" s="26" t="s">
        <v>748</v>
      </c>
      <c r="C3030" s="27">
        <v>20060368076622</v>
      </c>
      <c r="D3030" s="26" t="s">
        <v>743</v>
      </c>
      <c r="E3030" s="15">
        <v>36</v>
      </c>
      <c r="F3030" s="9"/>
      <c r="G3030" s="14" t="str">
        <f t="shared" si="110"/>
        <v>O</v>
      </c>
      <c r="H3030" s="15">
        <f t="shared" si="109"/>
        <v>18</v>
      </c>
    </row>
    <row r="3031" spans="1:8" x14ac:dyDescent="0.3">
      <c r="A3031" s="31">
        <f>COUNTIFS($B$2:B3031,B3031)</f>
        <v>1</v>
      </c>
      <c r="B3031" s="26" t="s">
        <v>749</v>
      </c>
      <c r="C3031" s="27">
        <v>20060368076624</v>
      </c>
      <c r="D3031" s="26" t="s">
        <v>284</v>
      </c>
      <c r="E3031" s="28">
        <v>248.10000000000002</v>
      </c>
      <c r="F3031" s="9"/>
      <c r="G3031" s="14" t="str">
        <f t="shared" si="110"/>
        <v>O</v>
      </c>
      <c r="H3031" s="15">
        <f t="shared" si="109"/>
        <v>124.05000000000001</v>
      </c>
    </row>
    <row r="3032" spans="1:8" x14ac:dyDescent="0.3">
      <c r="A3032" s="31">
        <f>COUNTIFS($B$2:B3032,B3032)</f>
        <v>2</v>
      </c>
      <c r="B3032" s="26" t="s">
        <v>749</v>
      </c>
      <c r="C3032" s="27">
        <v>20060368076624</v>
      </c>
      <c r="D3032" s="26" t="s">
        <v>155</v>
      </c>
      <c r="E3032" s="28">
        <v>3.9000000000000004</v>
      </c>
      <c r="F3032" s="9"/>
      <c r="G3032" s="14" t="str">
        <f t="shared" si="110"/>
        <v>O</v>
      </c>
      <c r="H3032" s="15">
        <f t="shared" si="109"/>
        <v>1.9500000000000002</v>
      </c>
    </row>
    <row r="3033" spans="1:8" x14ac:dyDescent="0.3">
      <c r="A3033" s="31">
        <f>COUNTIFS($B$2:B3033,B3033)</f>
        <v>3</v>
      </c>
      <c r="B3033" s="26" t="s">
        <v>749</v>
      </c>
      <c r="C3033" s="27">
        <v>20060368076624</v>
      </c>
      <c r="D3033" s="26" t="s">
        <v>114</v>
      </c>
      <c r="E3033" s="28">
        <v>140.69999999999999</v>
      </c>
      <c r="F3033" s="9"/>
      <c r="G3033" s="14" t="str">
        <f t="shared" si="110"/>
        <v>O</v>
      </c>
      <c r="H3033" s="15">
        <f t="shared" si="109"/>
        <v>70.349999999999994</v>
      </c>
    </row>
    <row r="3034" spans="1:8" x14ac:dyDescent="0.3">
      <c r="A3034" s="31">
        <f>COUNTIFS($B$2:B3034,B3034)</f>
        <v>4</v>
      </c>
      <c r="B3034" s="26" t="s">
        <v>749</v>
      </c>
      <c r="C3034" s="27">
        <v>20060368076624</v>
      </c>
      <c r="D3034" s="26" t="s">
        <v>164</v>
      </c>
      <c r="E3034" s="28">
        <v>2.4000000000000004</v>
      </c>
      <c r="F3034" s="9"/>
      <c r="G3034" s="14" t="str">
        <f t="shared" si="110"/>
        <v>O</v>
      </c>
      <c r="H3034" s="15">
        <f t="shared" si="109"/>
        <v>1.2000000000000002</v>
      </c>
    </row>
    <row r="3035" spans="1:8" x14ac:dyDescent="0.3">
      <c r="A3035" s="31">
        <f>COUNTIFS($B$2:B3035,B3035)</f>
        <v>5</v>
      </c>
      <c r="B3035" s="26" t="s">
        <v>749</v>
      </c>
      <c r="C3035" s="27">
        <v>20060368076624</v>
      </c>
      <c r="D3035" s="26" t="s">
        <v>228</v>
      </c>
      <c r="E3035" s="28">
        <v>31.200000000000003</v>
      </c>
      <c r="F3035" s="9"/>
      <c r="G3035" s="14" t="str">
        <f t="shared" si="110"/>
        <v>O</v>
      </c>
      <c r="H3035" s="15">
        <f t="shared" si="109"/>
        <v>15.600000000000001</v>
      </c>
    </row>
    <row r="3036" spans="1:8" x14ac:dyDescent="0.3">
      <c r="A3036" s="31">
        <f>COUNTIFS($B$2:B3036,B3036)</f>
        <v>6</v>
      </c>
      <c r="B3036" s="26" t="s">
        <v>749</v>
      </c>
      <c r="C3036" s="27">
        <v>20060368076624</v>
      </c>
      <c r="D3036" s="26" t="s">
        <v>218</v>
      </c>
      <c r="E3036" s="28">
        <v>19.5</v>
      </c>
      <c r="F3036" s="9"/>
      <c r="G3036" s="14" t="str">
        <f t="shared" si="110"/>
        <v>O</v>
      </c>
      <c r="H3036" s="15">
        <f t="shared" si="109"/>
        <v>9.75</v>
      </c>
    </row>
    <row r="3037" spans="1:8" x14ac:dyDescent="0.3">
      <c r="A3037" s="31">
        <f>COUNTIFS($B$2:B3037,B3037)</f>
        <v>7</v>
      </c>
      <c r="B3037" s="26" t="s">
        <v>749</v>
      </c>
      <c r="C3037" s="27">
        <v>20060368076624</v>
      </c>
      <c r="D3037" s="26" t="s">
        <v>60</v>
      </c>
      <c r="E3037" s="28">
        <v>9.6000000000000014</v>
      </c>
      <c r="F3037" s="9"/>
      <c r="G3037" s="14" t="str">
        <f t="shared" si="110"/>
        <v>O</v>
      </c>
      <c r="H3037" s="15">
        <f t="shared" si="109"/>
        <v>4.8000000000000007</v>
      </c>
    </row>
    <row r="3038" spans="1:8" x14ac:dyDescent="0.3">
      <c r="A3038" s="31">
        <f>COUNTIFS($B$2:B3038,B3038)</f>
        <v>8</v>
      </c>
      <c r="B3038" s="26" t="s">
        <v>749</v>
      </c>
      <c r="C3038" s="27">
        <v>20060368076624</v>
      </c>
      <c r="D3038" s="26" t="s">
        <v>572</v>
      </c>
      <c r="E3038" s="28">
        <v>60</v>
      </c>
      <c r="F3038" s="9"/>
      <c r="G3038" s="14" t="str">
        <f t="shared" si="110"/>
        <v>O</v>
      </c>
      <c r="H3038" s="15">
        <f t="shared" si="109"/>
        <v>30</v>
      </c>
    </row>
    <row r="3039" spans="1:8" x14ac:dyDescent="0.3">
      <c r="A3039" s="31">
        <f>COUNTIFS($B$2:B3039,B3039)</f>
        <v>9</v>
      </c>
      <c r="B3039" s="26" t="s">
        <v>749</v>
      </c>
      <c r="C3039" s="27">
        <v>20060368076624</v>
      </c>
      <c r="D3039" s="26" t="s">
        <v>742</v>
      </c>
      <c r="E3039" s="28">
        <v>75</v>
      </c>
      <c r="F3039" s="9"/>
      <c r="G3039" s="14" t="str">
        <f t="shared" si="110"/>
        <v>O</v>
      </c>
      <c r="H3039" s="15">
        <f t="shared" si="109"/>
        <v>37.5</v>
      </c>
    </row>
    <row r="3040" spans="1:8" x14ac:dyDescent="0.3">
      <c r="A3040" s="31">
        <f>COUNTIFS($B$2:B3040,B3040)</f>
        <v>10</v>
      </c>
      <c r="B3040" s="26" t="s">
        <v>749</v>
      </c>
      <c r="C3040" s="27">
        <v>20060368076624</v>
      </c>
      <c r="D3040" s="26" t="s">
        <v>366</v>
      </c>
      <c r="E3040" s="28">
        <v>60</v>
      </c>
      <c r="F3040" s="9"/>
      <c r="G3040" s="14" t="str">
        <f t="shared" si="110"/>
        <v>O</v>
      </c>
      <c r="H3040" s="15">
        <f t="shared" si="109"/>
        <v>30</v>
      </c>
    </row>
    <row r="3041" spans="1:8" x14ac:dyDescent="0.3">
      <c r="A3041" s="31">
        <f>COUNTIFS($B$2:B3041,B3041)</f>
        <v>1</v>
      </c>
      <c r="B3041" s="26" t="s">
        <v>750</v>
      </c>
      <c r="C3041" s="27">
        <v>20060368076621</v>
      </c>
      <c r="D3041" s="26" t="s">
        <v>284</v>
      </c>
      <c r="E3041" s="28">
        <v>248.39999999999998</v>
      </c>
      <c r="F3041" s="9"/>
      <c r="G3041" s="14" t="str">
        <f t="shared" si="110"/>
        <v>O</v>
      </c>
      <c r="H3041" s="15">
        <f t="shared" si="109"/>
        <v>124.19999999999999</v>
      </c>
    </row>
    <row r="3042" spans="1:8" x14ac:dyDescent="0.3">
      <c r="A3042" s="31">
        <f>COUNTIFS($B$2:B3042,B3042)</f>
        <v>2</v>
      </c>
      <c r="B3042" s="26" t="s">
        <v>750</v>
      </c>
      <c r="C3042" s="27">
        <v>20060368076621</v>
      </c>
      <c r="D3042" s="26" t="s">
        <v>155</v>
      </c>
      <c r="E3042" s="28">
        <v>3.9000000000000004</v>
      </c>
      <c r="F3042" s="9"/>
      <c r="G3042" s="14" t="str">
        <f t="shared" si="110"/>
        <v>O</v>
      </c>
      <c r="H3042" s="15">
        <f t="shared" si="109"/>
        <v>1.9500000000000002</v>
      </c>
    </row>
    <row r="3043" spans="1:8" x14ac:dyDescent="0.3">
      <c r="A3043" s="31">
        <f>COUNTIFS($B$2:B3043,B3043)</f>
        <v>3</v>
      </c>
      <c r="B3043" s="26" t="s">
        <v>750</v>
      </c>
      <c r="C3043" s="27">
        <v>20060368076621</v>
      </c>
      <c r="D3043" s="26" t="s">
        <v>114</v>
      </c>
      <c r="E3043" s="28">
        <v>140.69999999999999</v>
      </c>
      <c r="F3043" s="9"/>
      <c r="G3043" s="14" t="str">
        <f t="shared" si="110"/>
        <v>O</v>
      </c>
      <c r="H3043" s="15">
        <f t="shared" si="109"/>
        <v>70.349999999999994</v>
      </c>
    </row>
    <row r="3044" spans="1:8" x14ac:dyDescent="0.3">
      <c r="A3044" s="31">
        <f>COUNTIFS($B$2:B3044,B3044)</f>
        <v>4</v>
      </c>
      <c r="B3044" s="26" t="s">
        <v>750</v>
      </c>
      <c r="C3044" s="27">
        <v>20060368076621</v>
      </c>
      <c r="D3044" s="26" t="s">
        <v>164</v>
      </c>
      <c r="E3044" s="28">
        <v>2.4000000000000004</v>
      </c>
      <c r="F3044" s="9"/>
      <c r="G3044" s="14" t="str">
        <f t="shared" si="110"/>
        <v>O</v>
      </c>
      <c r="H3044" s="15">
        <f t="shared" si="109"/>
        <v>1.2000000000000002</v>
      </c>
    </row>
    <row r="3045" spans="1:8" x14ac:dyDescent="0.3">
      <c r="A3045" s="31">
        <f>COUNTIFS($B$2:B3045,B3045)</f>
        <v>5</v>
      </c>
      <c r="B3045" s="26" t="s">
        <v>750</v>
      </c>
      <c r="C3045" s="27">
        <v>20060368076621</v>
      </c>
      <c r="D3045" s="26" t="s">
        <v>228</v>
      </c>
      <c r="E3045" s="28">
        <v>31.200000000000003</v>
      </c>
      <c r="F3045" s="9"/>
      <c r="G3045" s="14" t="str">
        <f t="shared" si="110"/>
        <v>O</v>
      </c>
      <c r="H3045" s="15">
        <f t="shared" si="109"/>
        <v>15.600000000000001</v>
      </c>
    </row>
    <row r="3046" spans="1:8" x14ac:dyDescent="0.3">
      <c r="A3046" s="31">
        <f>COUNTIFS($B$2:B3046,B3046)</f>
        <v>6</v>
      </c>
      <c r="B3046" s="26" t="s">
        <v>750</v>
      </c>
      <c r="C3046" s="27">
        <v>20060368076621</v>
      </c>
      <c r="D3046" s="26" t="s">
        <v>218</v>
      </c>
      <c r="E3046" s="28">
        <v>19.5</v>
      </c>
      <c r="F3046" s="9"/>
      <c r="G3046" s="14" t="str">
        <f t="shared" si="110"/>
        <v>O</v>
      </c>
      <c r="H3046" s="15">
        <f t="shared" si="109"/>
        <v>9.75</v>
      </c>
    </row>
    <row r="3047" spans="1:8" x14ac:dyDescent="0.3">
      <c r="A3047" s="31">
        <f>COUNTIFS($B$2:B3047,B3047)</f>
        <v>7</v>
      </c>
      <c r="B3047" s="26" t="s">
        <v>750</v>
      </c>
      <c r="C3047" s="27">
        <v>20060368076621</v>
      </c>
      <c r="D3047" s="26" t="s">
        <v>60</v>
      </c>
      <c r="E3047" s="28">
        <v>9.8999999999999986</v>
      </c>
      <c r="F3047" s="9"/>
      <c r="G3047" s="14" t="str">
        <f t="shared" si="110"/>
        <v>O</v>
      </c>
      <c r="H3047" s="15">
        <f t="shared" si="109"/>
        <v>4.9499999999999993</v>
      </c>
    </row>
    <row r="3048" spans="1:8" x14ac:dyDescent="0.3">
      <c r="A3048" s="31">
        <f>COUNTIFS($B$2:B3048,B3048)</f>
        <v>8</v>
      </c>
      <c r="B3048" s="26" t="s">
        <v>750</v>
      </c>
      <c r="C3048" s="27">
        <v>20060368076621</v>
      </c>
      <c r="D3048" s="26" t="s">
        <v>572</v>
      </c>
      <c r="E3048" s="28">
        <v>75</v>
      </c>
      <c r="F3048" s="9"/>
      <c r="G3048" s="14" t="str">
        <f t="shared" si="110"/>
        <v>O</v>
      </c>
      <c r="H3048" s="15">
        <f t="shared" si="109"/>
        <v>37.5</v>
      </c>
    </row>
    <row r="3049" spans="1:8" x14ac:dyDescent="0.3">
      <c r="A3049" s="31">
        <f>COUNTIFS($B$2:B3049,B3049)</f>
        <v>9</v>
      </c>
      <c r="B3049" s="26" t="s">
        <v>750</v>
      </c>
      <c r="C3049" s="27">
        <v>20060368076621</v>
      </c>
      <c r="D3049" s="26" t="s">
        <v>742</v>
      </c>
      <c r="E3049" s="28">
        <v>75</v>
      </c>
      <c r="F3049" s="9"/>
      <c r="G3049" s="14" t="str">
        <f t="shared" si="110"/>
        <v>O</v>
      </c>
      <c r="H3049" s="15">
        <f t="shared" si="109"/>
        <v>37.5</v>
      </c>
    </row>
    <row r="3050" spans="1:8" x14ac:dyDescent="0.3">
      <c r="A3050" s="31">
        <f>COUNTIFS($B$2:B3050,B3050)</f>
        <v>10</v>
      </c>
      <c r="B3050" s="26" t="s">
        <v>750</v>
      </c>
      <c r="C3050" s="27">
        <v>20060368076621</v>
      </c>
      <c r="D3050" s="26" t="s">
        <v>62</v>
      </c>
      <c r="E3050" s="28">
        <v>12</v>
      </c>
      <c r="G3050" s="14" t="str">
        <f t="shared" si="110"/>
        <v>O</v>
      </c>
      <c r="H3050" s="15">
        <f t="shared" si="109"/>
        <v>6</v>
      </c>
    </row>
    <row r="3051" spans="1:8" x14ac:dyDescent="0.3">
      <c r="A3051" s="31">
        <f>COUNTIFS($B$2:B3051,B3051)</f>
        <v>1</v>
      </c>
      <c r="B3051" s="42" t="s">
        <v>751</v>
      </c>
      <c r="C3051" s="36">
        <v>20060368076867</v>
      </c>
      <c r="D3051" s="26" t="s">
        <v>581</v>
      </c>
      <c r="E3051" s="28">
        <v>60.8</v>
      </c>
      <c r="G3051" s="14" t="str">
        <f t="shared" si="110"/>
        <v>O</v>
      </c>
      <c r="H3051" s="15">
        <f t="shared" si="109"/>
        <v>30.4</v>
      </c>
    </row>
    <row r="3052" spans="1:8" x14ac:dyDescent="0.3">
      <c r="A3052" s="31">
        <f>COUNTIFS($B$2:B3052,B3052)</f>
        <v>2</v>
      </c>
      <c r="B3052" s="42" t="s">
        <v>751</v>
      </c>
      <c r="C3052" s="36">
        <v>20060368076867</v>
      </c>
      <c r="D3052" s="26" t="s">
        <v>155</v>
      </c>
      <c r="E3052" s="28">
        <v>1.2</v>
      </c>
      <c r="G3052" s="14" t="str">
        <f t="shared" si="110"/>
        <v>O</v>
      </c>
      <c r="H3052" s="15">
        <f t="shared" si="109"/>
        <v>0.6</v>
      </c>
    </row>
    <row r="3053" spans="1:8" x14ac:dyDescent="0.3">
      <c r="A3053" s="31">
        <f>COUNTIFS($B$2:B3053,B3053)</f>
        <v>3</v>
      </c>
      <c r="B3053" s="42" t="s">
        <v>751</v>
      </c>
      <c r="C3053" s="36">
        <v>20060368076867</v>
      </c>
      <c r="D3053" s="26" t="s">
        <v>164</v>
      </c>
      <c r="E3053" s="28">
        <v>2</v>
      </c>
      <c r="G3053" s="14" t="str">
        <f t="shared" si="110"/>
        <v>O</v>
      </c>
      <c r="H3053" s="15">
        <f t="shared" si="109"/>
        <v>1</v>
      </c>
    </row>
    <row r="3054" spans="1:8" x14ac:dyDescent="0.3">
      <c r="A3054" s="31">
        <f>COUNTIFS($B$2:B3054,B3054)</f>
        <v>4</v>
      </c>
      <c r="B3054" s="42" t="s">
        <v>751</v>
      </c>
      <c r="C3054" s="36">
        <v>20060368076867</v>
      </c>
      <c r="D3054" s="26" t="s">
        <v>48</v>
      </c>
      <c r="E3054" s="28">
        <v>3.6</v>
      </c>
      <c r="G3054" s="14" t="str">
        <f t="shared" si="110"/>
        <v>O</v>
      </c>
      <c r="H3054" s="15">
        <f t="shared" si="109"/>
        <v>1.8</v>
      </c>
    </row>
    <row r="3055" spans="1:8" x14ac:dyDescent="0.3">
      <c r="A3055" s="31">
        <f>COUNTIFS($B$2:B3055,B3055)</f>
        <v>5</v>
      </c>
      <c r="B3055" s="42" t="s">
        <v>751</v>
      </c>
      <c r="C3055" s="36">
        <v>20060368076867</v>
      </c>
      <c r="D3055" s="26" t="s">
        <v>111</v>
      </c>
      <c r="E3055" s="28">
        <v>12.2</v>
      </c>
      <c r="G3055" s="14" t="str">
        <f t="shared" si="110"/>
        <v>O</v>
      </c>
      <c r="H3055" s="15">
        <f t="shared" si="109"/>
        <v>6.1</v>
      </c>
    </row>
    <row r="3056" spans="1:8" x14ac:dyDescent="0.3">
      <c r="A3056" s="31">
        <f>COUNTIFS($B$2:B3056,B3056)</f>
        <v>6</v>
      </c>
      <c r="B3056" s="42" t="s">
        <v>751</v>
      </c>
      <c r="C3056" s="36">
        <v>20060368076867</v>
      </c>
      <c r="D3056" s="26" t="s">
        <v>218</v>
      </c>
      <c r="E3056" s="28">
        <v>0.2</v>
      </c>
      <c r="G3056" s="14" t="str">
        <f t="shared" si="110"/>
        <v>O</v>
      </c>
      <c r="H3056" s="15">
        <f t="shared" si="109"/>
        <v>0.1</v>
      </c>
    </row>
    <row r="3057" spans="1:8" x14ac:dyDescent="0.3">
      <c r="A3057" s="31">
        <f>COUNTIFS($B$2:B3057,B3057)</f>
        <v>7</v>
      </c>
      <c r="B3057" s="42" t="s">
        <v>751</v>
      </c>
      <c r="C3057" s="36">
        <v>20060368076867</v>
      </c>
      <c r="D3057" s="26" t="s">
        <v>116</v>
      </c>
      <c r="E3057" s="28">
        <v>9.4</v>
      </c>
      <c r="G3057" s="14" t="str">
        <f t="shared" si="110"/>
        <v>O</v>
      </c>
      <c r="H3057" s="15">
        <f t="shared" si="109"/>
        <v>4.7</v>
      </c>
    </row>
    <row r="3058" spans="1:8" x14ac:dyDescent="0.3">
      <c r="A3058" s="31">
        <f>COUNTIFS($B$2:B3058,B3058)</f>
        <v>8</v>
      </c>
      <c r="B3058" s="42" t="s">
        <v>751</v>
      </c>
      <c r="C3058" s="36">
        <v>20060368076867</v>
      </c>
      <c r="D3058" s="26" t="s">
        <v>114</v>
      </c>
      <c r="E3058" s="28">
        <v>12.2</v>
      </c>
      <c r="G3058" s="14" t="str">
        <f t="shared" si="110"/>
        <v>O</v>
      </c>
      <c r="H3058" s="15">
        <f t="shared" si="109"/>
        <v>6.1</v>
      </c>
    </row>
    <row r="3059" spans="1:8" x14ac:dyDescent="0.3">
      <c r="A3059" s="31">
        <f>COUNTIFS($B$2:B3059,B3059)</f>
        <v>9</v>
      </c>
      <c r="B3059" s="42" t="s">
        <v>751</v>
      </c>
      <c r="C3059" s="36">
        <v>20060368076867</v>
      </c>
      <c r="D3059" s="26" t="s">
        <v>518</v>
      </c>
      <c r="E3059" s="28">
        <v>11</v>
      </c>
      <c r="G3059" s="14" t="str">
        <f t="shared" si="110"/>
        <v>O</v>
      </c>
      <c r="H3059" s="15">
        <f t="shared" si="109"/>
        <v>5.5</v>
      </c>
    </row>
    <row r="3060" spans="1:8" x14ac:dyDescent="0.3">
      <c r="A3060" s="31">
        <f>COUNTIFS($B$2:B3060,B3060)</f>
        <v>10</v>
      </c>
      <c r="B3060" s="42" t="s">
        <v>751</v>
      </c>
      <c r="C3060" s="36">
        <v>20060368076867</v>
      </c>
      <c r="D3060" s="26" t="s">
        <v>196</v>
      </c>
      <c r="E3060" s="28">
        <v>9.8000000000000007</v>
      </c>
      <c r="G3060" s="14" t="str">
        <f t="shared" si="110"/>
        <v>O</v>
      </c>
      <c r="H3060" s="15">
        <f t="shared" si="109"/>
        <v>4.9000000000000004</v>
      </c>
    </row>
    <row r="3061" spans="1:8" x14ac:dyDescent="0.3">
      <c r="A3061" s="31">
        <f>COUNTIFS($B$2:B3061,B3061)</f>
        <v>11</v>
      </c>
      <c r="B3061" s="42" t="s">
        <v>751</v>
      </c>
      <c r="C3061" s="36">
        <v>20060368076867</v>
      </c>
      <c r="D3061" s="26" t="s">
        <v>32</v>
      </c>
      <c r="E3061" s="28">
        <v>0.8</v>
      </c>
      <c r="G3061" s="14" t="str">
        <f t="shared" si="110"/>
        <v>O</v>
      </c>
      <c r="H3061" s="15">
        <f t="shared" ref="H3061:H3124" si="111">E3061/2</f>
        <v>0.4</v>
      </c>
    </row>
    <row r="3062" spans="1:8" x14ac:dyDescent="0.3">
      <c r="A3062" s="31">
        <f>COUNTIFS($B$2:B3062,B3062)</f>
        <v>12</v>
      </c>
      <c r="B3062" s="42" t="s">
        <v>751</v>
      </c>
      <c r="C3062" s="36">
        <v>20060368076867</v>
      </c>
      <c r="D3062" s="26" t="s">
        <v>80</v>
      </c>
      <c r="E3062" s="28">
        <v>7.2</v>
      </c>
      <c r="G3062" s="14" t="str">
        <f t="shared" si="110"/>
        <v>O</v>
      </c>
      <c r="H3062" s="15">
        <f t="shared" si="111"/>
        <v>3.6</v>
      </c>
    </row>
    <row r="3063" spans="1:8" x14ac:dyDescent="0.3">
      <c r="A3063" s="31">
        <f>COUNTIFS($B$2:B3063,B3063)</f>
        <v>13</v>
      </c>
      <c r="B3063" s="42" t="s">
        <v>751</v>
      </c>
      <c r="C3063" s="36">
        <v>20060368076867</v>
      </c>
      <c r="D3063" s="26" t="s">
        <v>582</v>
      </c>
      <c r="E3063" s="28">
        <v>96</v>
      </c>
      <c r="G3063" s="14" t="str">
        <f t="shared" si="110"/>
        <v>O</v>
      </c>
      <c r="H3063" s="15">
        <f t="shared" si="111"/>
        <v>48</v>
      </c>
    </row>
    <row r="3064" spans="1:8" x14ac:dyDescent="0.3">
      <c r="A3064" s="31">
        <f>COUNTIFS($B$2:B3064,B3064)</f>
        <v>14</v>
      </c>
      <c r="B3064" s="42" t="s">
        <v>751</v>
      </c>
      <c r="C3064" s="36">
        <v>20060368076867</v>
      </c>
      <c r="D3064" s="26" t="s">
        <v>33</v>
      </c>
      <c r="E3064" s="28">
        <v>4</v>
      </c>
      <c r="G3064" s="14" t="str">
        <f t="shared" si="110"/>
        <v>O</v>
      </c>
      <c r="H3064" s="15">
        <f t="shared" si="111"/>
        <v>2</v>
      </c>
    </row>
    <row r="3065" spans="1:8" x14ac:dyDescent="0.3">
      <c r="A3065" s="23">
        <f>COUNTIFS($B$2:B3065,B3065)</f>
        <v>1</v>
      </c>
      <c r="B3065" s="20" t="s">
        <v>752</v>
      </c>
      <c r="C3065" s="21">
        <v>20060368076561</v>
      </c>
      <c r="D3065" s="20" t="s">
        <v>210</v>
      </c>
      <c r="E3065" s="22">
        <v>26.97</v>
      </c>
      <c r="G3065" s="14" t="str">
        <f t="shared" si="110"/>
        <v>O</v>
      </c>
      <c r="H3065" s="15">
        <f t="shared" si="111"/>
        <v>13.484999999999999</v>
      </c>
    </row>
    <row r="3066" spans="1:8" x14ac:dyDescent="0.3">
      <c r="A3066" s="19">
        <f>COUNTIFS($B$2:B3066,B3066)</f>
        <v>2</v>
      </c>
      <c r="B3066" s="20" t="s">
        <v>752</v>
      </c>
      <c r="C3066" s="21">
        <v>20060368076561</v>
      </c>
      <c r="D3066" s="20" t="s">
        <v>157</v>
      </c>
      <c r="E3066" s="22">
        <v>49.22</v>
      </c>
      <c r="G3066" s="14" t="str">
        <f t="shared" si="110"/>
        <v>O</v>
      </c>
      <c r="H3066" s="15">
        <f t="shared" si="111"/>
        <v>24.61</v>
      </c>
    </row>
    <row r="3067" spans="1:8" x14ac:dyDescent="0.3">
      <c r="A3067" s="19">
        <f>COUNTIFS($B$2:B3067,B3067)</f>
        <v>3</v>
      </c>
      <c r="B3067" s="20" t="s">
        <v>752</v>
      </c>
      <c r="C3067" s="21">
        <v>20060368076561</v>
      </c>
      <c r="D3067" s="20" t="s">
        <v>116</v>
      </c>
      <c r="E3067" s="22">
        <v>16.86</v>
      </c>
      <c r="G3067" s="14" t="str">
        <f t="shared" si="110"/>
        <v>O</v>
      </c>
      <c r="H3067" s="15">
        <f t="shared" si="111"/>
        <v>8.43</v>
      </c>
    </row>
    <row r="3068" spans="1:8" x14ac:dyDescent="0.3">
      <c r="A3068" s="19">
        <f>COUNTIFS($B$2:B3068,B3068)</f>
        <v>4</v>
      </c>
      <c r="B3068" s="20" t="s">
        <v>752</v>
      </c>
      <c r="C3068" s="21">
        <v>20060368076561</v>
      </c>
      <c r="D3068" s="20" t="s">
        <v>44</v>
      </c>
      <c r="E3068" s="22">
        <v>61.36</v>
      </c>
      <c r="G3068" s="14" t="str">
        <f t="shared" si="110"/>
        <v>O</v>
      </c>
      <c r="H3068" s="15">
        <f t="shared" si="111"/>
        <v>30.68</v>
      </c>
    </row>
    <row r="3069" spans="1:8" x14ac:dyDescent="0.3">
      <c r="A3069" s="19">
        <f>COUNTIFS($B$2:B3069,B3069)</f>
        <v>5</v>
      </c>
      <c r="B3069" s="20" t="s">
        <v>752</v>
      </c>
      <c r="C3069" s="21">
        <v>20060368076561</v>
      </c>
      <c r="D3069" s="20" t="s">
        <v>206</v>
      </c>
      <c r="E3069" s="22">
        <v>49.9</v>
      </c>
      <c r="G3069" s="14" t="str">
        <f t="shared" ref="G3069:G3132" si="112">IF(D3069="","",IF(COUNTIF(I:I,D3069)&gt;0,"O","X"))</f>
        <v>O</v>
      </c>
      <c r="H3069" s="15">
        <f t="shared" si="111"/>
        <v>24.95</v>
      </c>
    </row>
    <row r="3070" spans="1:8" x14ac:dyDescent="0.3">
      <c r="A3070" s="19">
        <f>COUNTIFS($B$2:B3070,B3070)</f>
        <v>6</v>
      </c>
      <c r="B3070" s="20" t="s">
        <v>752</v>
      </c>
      <c r="C3070" s="21">
        <v>20060368076561</v>
      </c>
      <c r="D3070" s="20" t="s">
        <v>516</v>
      </c>
      <c r="E3070" s="22">
        <v>6.07</v>
      </c>
      <c r="G3070" s="14" t="str">
        <f t="shared" si="112"/>
        <v>O</v>
      </c>
      <c r="H3070" s="15">
        <f t="shared" si="111"/>
        <v>3.0350000000000001</v>
      </c>
    </row>
    <row r="3071" spans="1:8" x14ac:dyDescent="0.3">
      <c r="A3071" s="19">
        <f>COUNTIFS($B$2:B3071,B3071)</f>
        <v>7</v>
      </c>
      <c r="B3071" s="20" t="s">
        <v>752</v>
      </c>
      <c r="C3071" s="21">
        <v>20060368076561</v>
      </c>
      <c r="D3071" s="20" t="s">
        <v>222</v>
      </c>
      <c r="E3071" s="22">
        <v>0.4</v>
      </c>
      <c r="G3071" s="14" t="str">
        <f t="shared" si="112"/>
        <v>O</v>
      </c>
      <c r="H3071" s="15">
        <f t="shared" si="111"/>
        <v>0.2</v>
      </c>
    </row>
    <row r="3072" spans="1:8" x14ac:dyDescent="0.3">
      <c r="A3072" s="19">
        <f>COUNTIFS($B$2:B3072,B3072)</f>
        <v>8</v>
      </c>
      <c r="B3072" s="20" t="s">
        <v>752</v>
      </c>
      <c r="C3072" s="21">
        <v>20060368076561</v>
      </c>
      <c r="D3072" s="20" t="s">
        <v>170</v>
      </c>
      <c r="E3072" s="22">
        <v>1.35</v>
      </c>
      <c r="G3072" s="14" t="str">
        <f t="shared" si="112"/>
        <v>O</v>
      </c>
      <c r="H3072" s="15">
        <f t="shared" si="111"/>
        <v>0.67500000000000004</v>
      </c>
    </row>
    <row r="3073" spans="1:8" x14ac:dyDescent="0.3">
      <c r="A3073" s="19">
        <f>COUNTIFS($B$2:B3073,B3073)</f>
        <v>9</v>
      </c>
      <c r="B3073" s="20" t="s">
        <v>752</v>
      </c>
      <c r="C3073" s="21">
        <v>20060368076561</v>
      </c>
      <c r="D3073" s="20" t="s">
        <v>192</v>
      </c>
      <c r="E3073" s="22">
        <v>0.27</v>
      </c>
      <c r="G3073" s="14" t="str">
        <f t="shared" si="112"/>
        <v>O</v>
      </c>
      <c r="H3073" s="15">
        <f t="shared" si="111"/>
        <v>0.13500000000000001</v>
      </c>
    </row>
    <row r="3074" spans="1:8" x14ac:dyDescent="0.3">
      <c r="A3074" s="19">
        <f>COUNTIFS($B$2:B3074,B3074)</f>
        <v>10</v>
      </c>
      <c r="B3074" s="20" t="s">
        <v>752</v>
      </c>
      <c r="C3074" s="21">
        <v>20060368076561</v>
      </c>
      <c r="D3074" s="20" t="s">
        <v>114</v>
      </c>
      <c r="E3074" s="22">
        <v>3.37</v>
      </c>
      <c r="G3074" s="14" t="str">
        <f t="shared" si="112"/>
        <v>O</v>
      </c>
      <c r="H3074" s="15">
        <f t="shared" si="111"/>
        <v>1.6850000000000001</v>
      </c>
    </row>
    <row r="3075" spans="1:8" x14ac:dyDescent="0.3">
      <c r="A3075" s="31">
        <f>COUNTIFS($B$2:B3075,B3075)</f>
        <v>1</v>
      </c>
      <c r="B3075" s="26" t="s">
        <v>753</v>
      </c>
      <c r="C3075" s="27">
        <v>20060368076879</v>
      </c>
      <c r="D3075" s="26" t="s">
        <v>284</v>
      </c>
      <c r="E3075" s="28">
        <v>150</v>
      </c>
      <c r="G3075" s="14" t="str">
        <f t="shared" si="112"/>
        <v>O</v>
      </c>
      <c r="H3075" s="15">
        <f t="shared" si="111"/>
        <v>75</v>
      </c>
    </row>
    <row r="3076" spans="1:8" x14ac:dyDescent="0.3">
      <c r="A3076" s="31">
        <f>COUNTIFS($B$2:B3076,B3076)</f>
        <v>2</v>
      </c>
      <c r="B3076" s="26" t="s">
        <v>753</v>
      </c>
      <c r="C3076" s="27">
        <v>20060368076879</v>
      </c>
      <c r="D3076" s="26" t="s">
        <v>157</v>
      </c>
      <c r="E3076" s="28">
        <v>3</v>
      </c>
      <c r="G3076" s="14" t="str">
        <f t="shared" si="112"/>
        <v>O</v>
      </c>
      <c r="H3076" s="15">
        <f t="shared" si="111"/>
        <v>1.5</v>
      </c>
    </row>
    <row r="3077" spans="1:8" x14ac:dyDescent="0.3">
      <c r="A3077" s="31">
        <f>COUNTIFS($B$2:B3077,B3077)</f>
        <v>3</v>
      </c>
      <c r="B3077" s="26" t="s">
        <v>753</v>
      </c>
      <c r="C3077" s="27">
        <v>20060368076879</v>
      </c>
      <c r="D3077" s="26" t="s">
        <v>114</v>
      </c>
      <c r="E3077" s="28">
        <v>125</v>
      </c>
      <c r="G3077" s="14" t="str">
        <f t="shared" si="112"/>
        <v>O</v>
      </c>
      <c r="H3077" s="15">
        <f t="shared" si="111"/>
        <v>62.5</v>
      </c>
    </row>
    <row r="3078" spans="1:8" x14ac:dyDescent="0.3">
      <c r="A3078" s="31">
        <f>COUNTIFS($B$2:B3078,B3078)</f>
        <v>4</v>
      </c>
      <c r="B3078" s="26" t="s">
        <v>753</v>
      </c>
      <c r="C3078" s="27">
        <v>20060368076879</v>
      </c>
      <c r="D3078" s="26" t="s">
        <v>492</v>
      </c>
      <c r="E3078" s="28">
        <v>7.5</v>
      </c>
      <c r="G3078" s="14" t="str">
        <f t="shared" si="112"/>
        <v>O</v>
      </c>
      <c r="H3078" s="15">
        <f t="shared" si="111"/>
        <v>3.75</v>
      </c>
    </row>
    <row r="3079" spans="1:8" x14ac:dyDescent="0.3">
      <c r="A3079" s="31">
        <f>COUNTIFS($B$2:B3079,B3079)</f>
        <v>5</v>
      </c>
      <c r="B3079" s="26" t="s">
        <v>753</v>
      </c>
      <c r="C3079" s="27">
        <v>20060368076879</v>
      </c>
      <c r="D3079" s="26" t="s">
        <v>228</v>
      </c>
      <c r="E3079" s="28">
        <v>30</v>
      </c>
      <c r="G3079" s="14" t="str">
        <f t="shared" si="112"/>
        <v>O</v>
      </c>
      <c r="H3079" s="15">
        <f t="shared" si="111"/>
        <v>15</v>
      </c>
    </row>
    <row r="3080" spans="1:8" x14ac:dyDescent="0.3">
      <c r="A3080" s="31">
        <f>COUNTIFS($B$2:B3080,B3080)</f>
        <v>6</v>
      </c>
      <c r="B3080" s="26" t="s">
        <v>753</v>
      </c>
      <c r="C3080" s="27">
        <v>20060368076879</v>
      </c>
      <c r="D3080" s="26" t="s">
        <v>164</v>
      </c>
      <c r="E3080" s="28">
        <v>4.5</v>
      </c>
      <c r="G3080" s="14" t="str">
        <f t="shared" si="112"/>
        <v>O</v>
      </c>
      <c r="H3080" s="15">
        <f t="shared" si="111"/>
        <v>2.25</v>
      </c>
    </row>
    <row r="3081" spans="1:8" x14ac:dyDescent="0.3">
      <c r="A3081" s="31">
        <f>COUNTIFS($B$2:B3081,B3081)</f>
        <v>7</v>
      </c>
      <c r="B3081" s="26" t="s">
        <v>753</v>
      </c>
      <c r="C3081" s="27">
        <v>20060368076879</v>
      </c>
      <c r="D3081" s="26" t="s">
        <v>155</v>
      </c>
      <c r="E3081" s="28">
        <v>3.3</v>
      </c>
      <c r="G3081" s="14" t="str">
        <f t="shared" si="112"/>
        <v>O</v>
      </c>
      <c r="H3081" s="15">
        <f t="shared" si="111"/>
        <v>1.65</v>
      </c>
    </row>
    <row r="3082" spans="1:8" x14ac:dyDescent="0.3">
      <c r="A3082" s="31">
        <f>COUNTIFS($B$2:B3082,B3082)</f>
        <v>8</v>
      </c>
      <c r="B3082" s="26" t="s">
        <v>753</v>
      </c>
      <c r="C3082" s="27">
        <v>20060368076879</v>
      </c>
      <c r="D3082" s="26" t="s">
        <v>166</v>
      </c>
      <c r="E3082" s="28">
        <v>44</v>
      </c>
      <c r="G3082" s="14" t="str">
        <f t="shared" si="112"/>
        <v>O</v>
      </c>
      <c r="H3082" s="15">
        <f t="shared" si="111"/>
        <v>22</v>
      </c>
    </row>
    <row r="3083" spans="1:8" x14ac:dyDescent="0.3">
      <c r="A3083" s="31">
        <f>COUNTIFS($B$2:B3083,B3083)</f>
        <v>9</v>
      </c>
      <c r="B3083" s="26" t="s">
        <v>753</v>
      </c>
      <c r="C3083" s="27">
        <v>20060368076879</v>
      </c>
      <c r="D3083" s="26" t="s">
        <v>295</v>
      </c>
      <c r="E3083" s="28">
        <v>4.7E-2</v>
      </c>
      <c r="G3083" s="14" t="str">
        <f t="shared" si="112"/>
        <v>O</v>
      </c>
      <c r="H3083" s="15">
        <f t="shared" si="111"/>
        <v>2.35E-2</v>
      </c>
    </row>
    <row r="3084" spans="1:8" x14ac:dyDescent="0.3">
      <c r="A3084" s="31">
        <f>COUNTIFS($B$2:B3084,B3084)</f>
        <v>10</v>
      </c>
      <c r="B3084" s="26" t="s">
        <v>753</v>
      </c>
      <c r="C3084" s="27">
        <v>20060368076879</v>
      </c>
      <c r="D3084" s="26" t="s">
        <v>572</v>
      </c>
      <c r="E3084" s="28">
        <v>125.8</v>
      </c>
      <c r="G3084" s="14" t="str">
        <f t="shared" si="112"/>
        <v>O</v>
      </c>
      <c r="H3084" s="15">
        <f t="shared" si="111"/>
        <v>62.9</v>
      </c>
    </row>
    <row r="3085" spans="1:8" x14ac:dyDescent="0.3">
      <c r="A3085" s="31">
        <f>COUNTIFS($B$2:B3085,B3085)</f>
        <v>11</v>
      </c>
      <c r="B3085" s="26" t="s">
        <v>753</v>
      </c>
      <c r="C3085" s="27">
        <v>20060368076879</v>
      </c>
      <c r="D3085" s="26" t="s">
        <v>211</v>
      </c>
      <c r="E3085" s="28">
        <v>13.54</v>
      </c>
      <c r="G3085" s="14" t="str">
        <f t="shared" si="112"/>
        <v>O</v>
      </c>
      <c r="H3085" s="15">
        <f t="shared" si="111"/>
        <v>6.77</v>
      </c>
    </row>
    <row r="3086" spans="1:8" x14ac:dyDescent="0.3">
      <c r="A3086" s="31">
        <f>COUNTIFS($B$2:B3086,B3086)</f>
        <v>12</v>
      </c>
      <c r="B3086" s="26" t="s">
        <v>753</v>
      </c>
      <c r="C3086" s="27">
        <v>20060368076879</v>
      </c>
      <c r="D3086" s="26" t="s">
        <v>754</v>
      </c>
      <c r="E3086" s="28">
        <v>38.700000000000003</v>
      </c>
      <c r="G3086" s="14" t="str">
        <f t="shared" si="112"/>
        <v>O</v>
      </c>
      <c r="H3086" s="15">
        <f t="shared" si="111"/>
        <v>19.350000000000001</v>
      </c>
    </row>
    <row r="3087" spans="1:8" x14ac:dyDescent="0.3">
      <c r="A3087" s="31">
        <f>COUNTIFS($B$2:B3087,B3087)</f>
        <v>13</v>
      </c>
      <c r="B3087" s="26" t="s">
        <v>753</v>
      </c>
      <c r="C3087" s="27">
        <v>20060368076879</v>
      </c>
      <c r="D3087" s="26" t="s">
        <v>539</v>
      </c>
      <c r="E3087" s="28">
        <v>20</v>
      </c>
      <c r="G3087" s="14" t="str">
        <f t="shared" si="112"/>
        <v>O</v>
      </c>
      <c r="H3087" s="15">
        <f t="shared" si="111"/>
        <v>10</v>
      </c>
    </row>
    <row r="3088" spans="1:8" x14ac:dyDescent="0.3">
      <c r="A3088" s="19">
        <f>COUNTIFS($B$2:B3088,B3088)</f>
        <v>1</v>
      </c>
      <c r="B3088" s="26" t="s">
        <v>755</v>
      </c>
      <c r="C3088" s="27">
        <v>20060368076971</v>
      </c>
      <c r="D3088" s="26" t="s">
        <v>210</v>
      </c>
      <c r="E3088" s="28">
        <v>42.88</v>
      </c>
      <c r="G3088" s="14" t="str">
        <f t="shared" si="112"/>
        <v>O</v>
      </c>
      <c r="H3088" s="15">
        <f t="shared" si="111"/>
        <v>21.44</v>
      </c>
    </row>
    <row r="3089" spans="1:8" x14ac:dyDescent="0.3">
      <c r="A3089" s="19">
        <f>COUNTIFS($B$2:B3089,B3089)</f>
        <v>2</v>
      </c>
      <c r="B3089" s="26" t="s">
        <v>755</v>
      </c>
      <c r="C3089" s="27">
        <v>20060368076971</v>
      </c>
      <c r="D3089" s="26" t="s">
        <v>213</v>
      </c>
      <c r="E3089" s="28">
        <v>35.17</v>
      </c>
      <c r="G3089" s="14" t="str">
        <f t="shared" si="112"/>
        <v>O</v>
      </c>
      <c r="H3089" s="15">
        <f t="shared" si="111"/>
        <v>17.585000000000001</v>
      </c>
    </row>
    <row r="3090" spans="1:8" x14ac:dyDescent="0.3">
      <c r="A3090" s="19">
        <f>COUNTIFS($B$2:B3090,B3090)</f>
        <v>3</v>
      </c>
      <c r="B3090" s="26" t="s">
        <v>755</v>
      </c>
      <c r="C3090" s="27">
        <v>20060368076971</v>
      </c>
      <c r="D3090" s="26" t="s">
        <v>17</v>
      </c>
      <c r="E3090" s="28">
        <v>11.5</v>
      </c>
      <c r="G3090" s="14" t="str">
        <f t="shared" si="112"/>
        <v>O</v>
      </c>
      <c r="H3090" s="15">
        <f t="shared" si="111"/>
        <v>5.75</v>
      </c>
    </row>
    <row r="3091" spans="1:8" x14ac:dyDescent="0.3">
      <c r="A3091" s="19">
        <f>COUNTIFS($B$2:B3091,B3091)</f>
        <v>4</v>
      </c>
      <c r="B3091" s="26" t="s">
        <v>755</v>
      </c>
      <c r="C3091" s="27">
        <v>20060368076971</v>
      </c>
      <c r="D3091" s="26" t="s">
        <v>206</v>
      </c>
      <c r="E3091" s="28">
        <v>60.61</v>
      </c>
      <c r="G3091" s="14" t="str">
        <f t="shared" si="112"/>
        <v>O</v>
      </c>
      <c r="H3091" s="15">
        <f t="shared" si="111"/>
        <v>30.305</v>
      </c>
    </row>
    <row r="3092" spans="1:8" x14ac:dyDescent="0.3">
      <c r="A3092" s="19">
        <f>COUNTIFS($B$2:B3092,B3092)</f>
        <v>5</v>
      </c>
      <c r="B3092" s="26" t="s">
        <v>755</v>
      </c>
      <c r="C3092" s="27">
        <v>20060368076971</v>
      </c>
      <c r="D3092" s="26" t="s">
        <v>141</v>
      </c>
      <c r="E3092" s="28">
        <v>25.3</v>
      </c>
      <c r="G3092" s="14" t="str">
        <f t="shared" si="112"/>
        <v>O</v>
      </c>
      <c r="H3092" s="15">
        <f t="shared" si="111"/>
        <v>12.65</v>
      </c>
    </row>
    <row r="3093" spans="1:8" x14ac:dyDescent="0.3">
      <c r="A3093" s="19">
        <f>COUNTIFS($B$2:B3093,B3093)</f>
        <v>6</v>
      </c>
      <c r="B3093" s="26" t="s">
        <v>755</v>
      </c>
      <c r="C3093" s="27">
        <v>20060368076971</v>
      </c>
      <c r="D3093" s="26" t="s">
        <v>222</v>
      </c>
      <c r="E3093" s="28">
        <v>1.54</v>
      </c>
      <c r="G3093" s="14" t="str">
        <f t="shared" si="112"/>
        <v>O</v>
      </c>
      <c r="H3093" s="15">
        <f t="shared" si="111"/>
        <v>0.77</v>
      </c>
    </row>
    <row r="3094" spans="1:8" x14ac:dyDescent="0.3">
      <c r="A3094" s="19">
        <f>COUNTIFS($B$2:B3094,B3094)</f>
        <v>7</v>
      </c>
      <c r="B3094" s="26" t="s">
        <v>755</v>
      </c>
      <c r="C3094" s="27">
        <v>20060368076971</v>
      </c>
      <c r="D3094" s="26" t="s">
        <v>614</v>
      </c>
      <c r="E3094" s="28">
        <v>20</v>
      </c>
      <c r="G3094" s="14" t="str">
        <f t="shared" si="112"/>
        <v>O</v>
      </c>
      <c r="H3094" s="15">
        <f t="shared" si="111"/>
        <v>10</v>
      </c>
    </row>
    <row r="3095" spans="1:8" x14ac:dyDescent="0.3">
      <c r="A3095" s="19">
        <f>COUNTIFS($B$2:B3095,B3095)</f>
        <v>8</v>
      </c>
      <c r="B3095" s="26" t="s">
        <v>755</v>
      </c>
      <c r="C3095" s="27">
        <v>20060368076971</v>
      </c>
      <c r="D3095" s="26" t="s">
        <v>756</v>
      </c>
      <c r="E3095" s="28">
        <v>20</v>
      </c>
      <c r="G3095" s="14" t="str">
        <f t="shared" si="112"/>
        <v>O</v>
      </c>
      <c r="H3095" s="15">
        <f t="shared" si="111"/>
        <v>10</v>
      </c>
    </row>
    <row r="3096" spans="1:8" x14ac:dyDescent="0.3">
      <c r="A3096" s="19">
        <f>COUNTIFS($B$2:B3096,B3096)</f>
        <v>9</v>
      </c>
      <c r="B3096" s="26" t="s">
        <v>755</v>
      </c>
      <c r="C3096" s="27">
        <v>20060368076971</v>
      </c>
      <c r="D3096" s="26" t="s">
        <v>577</v>
      </c>
      <c r="E3096" s="28">
        <v>20</v>
      </c>
      <c r="G3096" s="14" t="str">
        <f t="shared" si="112"/>
        <v>O</v>
      </c>
      <c r="H3096" s="15">
        <f t="shared" si="111"/>
        <v>10</v>
      </c>
    </row>
    <row r="3097" spans="1:8" x14ac:dyDescent="0.3">
      <c r="A3097" s="19">
        <f>COUNTIFS($B$2:B3097,B3097)</f>
        <v>1</v>
      </c>
      <c r="B3097" s="26" t="s">
        <v>757</v>
      </c>
      <c r="C3097" s="27">
        <v>20060368076970</v>
      </c>
      <c r="D3097" s="26" t="s">
        <v>157</v>
      </c>
      <c r="E3097" s="28">
        <v>38.54</v>
      </c>
      <c r="G3097" s="14" t="str">
        <f t="shared" si="112"/>
        <v>O</v>
      </c>
      <c r="H3097" s="15">
        <f t="shared" si="111"/>
        <v>19.27</v>
      </c>
    </row>
    <row r="3098" spans="1:8" x14ac:dyDescent="0.3">
      <c r="A3098" s="19">
        <f>COUNTIFS($B$2:B3098,B3098)</f>
        <v>2</v>
      </c>
      <c r="B3098" s="26" t="s">
        <v>757</v>
      </c>
      <c r="C3098" s="27">
        <v>20060368076970</v>
      </c>
      <c r="D3098" s="26" t="s">
        <v>210</v>
      </c>
      <c r="E3098" s="28">
        <v>43.71</v>
      </c>
      <c r="G3098" s="14" t="str">
        <f t="shared" si="112"/>
        <v>O</v>
      </c>
      <c r="H3098" s="15">
        <f t="shared" si="111"/>
        <v>21.855</v>
      </c>
    </row>
    <row r="3099" spans="1:8" x14ac:dyDescent="0.3">
      <c r="A3099" s="19">
        <f>COUNTIFS($B$2:B3099,B3099)</f>
        <v>3</v>
      </c>
      <c r="B3099" s="26" t="s">
        <v>757</v>
      </c>
      <c r="C3099" s="27">
        <v>20060368076970</v>
      </c>
      <c r="D3099" s="26" t="s">
        <v>17</v>
      </c>
      <c r="E3099" s="28">
        <v>11.44</v>
      </c>
      <c r="G3099" s="14" t="str">
        <f t="shared" si="112"/>
        <v>O</v>
      </c>
      <c r="H3099" s="15">
        <f t="shared" si="111"/>
        <v>5.72</v>
      </c>
    </row>
    <row r="3100" spans="1:8" x14ac:dyDescent="0.3">
      <c r="A3100" s="19">
        <f>COUNTIFS($B$2:B3100,B3100)</f>
        <v>4</v>
      </c>
      <c r="B3100" s="26" t="s">
        <v>757</v>
      </c>
      <c r="C3100" s="27">
        <v>20060368076970</v>
      </c>
      <c r="D3100" s="26" t="s">
        <v>206</v>
      </c>
      <c r="E3100" s="28">
        <v>51.34</v>
      </c>
      <c r="G3100" s="14" t="str">
        <f t="shared" si="112"/>
        <v>O</v>
      </c>
      <c r="H3100" s="15">
        <f t="shared" si="111"/>
        <v>25.67</v>
      </c>
    </row>
    <row r="3101" spans="1:8" x14ac:dyDescent="0.3">
      <c r="A3101" s="19">
        <f>COUNTIFS($B$2:B3101,B3101)</f>
        <v>5</v>
      </c>
      <c r="B3101" s="26" t="s">
        <v>757</v>
      </c>
      <c r="C3101" s="27">
        <v>20060368076970</v>
      </c>
      <c r="D3101" s="26" t="s">
        <v>172</v>
      </c>
      <c r="E3101" s="28">
        <v>5.17</v>
      </c>
      <c r="G3101" s="14" t="str">
        <f t="shared" si="112"/>
        <v>O</v>
      </c>
      <c r="H3101" s="15">
        <f t="shared" si="111"/>
        <v>2.585</v>
      </c>
    </row>
    <row r="3102" spans="1:8" x14ac:dyDescent="0.3">
      <c r="A3102" s="19">
        <f>COUNTIFS($B$2:B3102,B3102)</f>
        <v>6</v>
      </c>
      <c r="B3102" s="26" t="s">
        <v>757</v>
      </c>
      <c r="C3102" s="27">
        <v>20060368076970</v>
      </c>
      <c r="D3102" s="26" t="s">
        <v>141</v>
      </c>
      <c r="E3102" s="28">
        <v>23.15</v>
      </c>
      <c r="G3102" s="14" t="str">
        <f t="shared" si="112"/>
        <v>O</v>
      </c>
      <c r="H3102" s="15">
        <f t="shared" si="111"/>
        <v>11.574999999999999</v>
      </c>
    </row>
    <row r="3103" spans="1:8" x14ac:dyDescent="0.3">
      <c r="A3103" s="19">
        <f>COUNTIFS($B$2:B3103,B3103)</f>
        <v>7</v>
      </c>
      <c r="B3103" s="26" t="s">
        <v>757</v>
      </c>
      <c r="C3103" s="27">
        <v>20060368076970</v>
      </c>
      <c r="D3103" s="26" t="s">
        <v>222</v>
      </c>
      <c r="E3103" s="28">
        <v>0.39</v>
      </c>
      <c r="G3103" s="14" t="str">
        <f t="shared" si="112"/>
        <v>O</v>
      </c>
      <c r="H3103" s="15">
        <f t="shared" si="111"/>
        <v>0.19500000000000001</v>
      </c>
    </row>
    <row r="3104" spans="1:8" x14ac:dyDescent="0.3">
      <c r="A3104" s="19">
        <f>COUNTIFS($B$2:B3104,B3104)</f>
        <v>8</v>
      </c>
      <c r="B3104" s="26" t="s">
        <v>757</v>
      </c>
      <c r="C3104" s="27">
        <v>20060368076970</v>
      </c>
      <c r="D3104" s="26" t="s">
        <v>255</v>
      </c>
      <c r="E3104" s="28">
        <v>3.27</v>
      </c>
      <c r="G3104" s="14" t="str">
        <f t="shared" si="112"/>
        <v>O</v>
      </c>
      <c r="H3104" s="15">
        <f t="shared" si="111"/>
        <v>1.635</v>
      </c>
    </row>
    <row r="3105" spans="1:8" x14ac:dyDescent="0.3">
      <c r="A3105" s="19">
        <f>COUNTIFS($B$2:B3105,B3105)</f>
        <v>9</v>
      </c>
      <c r="B3105" s="26" t="s">
        <v>757</v>
      </c>
      <c r="C3105" s="27">
        <v>20060368076970</v>
      </c>
      <c r="D3105" s="26" t="s">
        <v>614</v>
      </c>
      <c r="E3105" s="28">
        <v>20</v>
      </c>
      <c r="G3105" s="14" t="str">
        <f t="shared" si="112"/>
        <v>O</v>
      </c>
      <c r="H3105" s="15">
        <f t="shared" si="111"/>
        <v>10</v>
      </c>
    </row>
    <row r="3106" spans="1:8" x14ac:dyDescent="0.3">
      <c r="A3106" s="19">
        <f>COUNTIFS($B$2:B3106,B3106)</f>
        <v>10</v>
      </c>
      <c r="B3106" s="26" t="s">
        <v>757</v>
      </c>
      <c r="C3106" s="27">
        <v>20060368076970</v>
      </c>
      <c r="D3106" s="26" t="s">
        <v>756</v>
      </c>
      <c r="E3106" s="28">
        <v>20</v>
      </c>
      <c r="G3106" s="14" t="str">
        <f t="shared" si="112"/>
        <v>O</v>
      </c>
      <c r="H3106" s="15">
        <f t="shared" si="111"/>
        <v>10</v>
      </c>
    </row>
    <row r="3107" spans="1:8" x14ac:dyDescent="0.3">
      <c r="A3107" s="19">
        <f>COUNTIFS($B$2:B3107,B3107)</f>
        <v>11</v>
      </c>
      <c r="B3107" s="26" t="s">
        <v>757</v>
      </c>
      <c r="C3107" s="27">
        <v>20060368076970</v>
      </c>
      <c r="D3107" s="26" t="s">
        <v>577</v>
      </c>
      <c r="E3107" s="28">
        <v>20</v>
      </c>
      <c r="G3107" s="14" t="str">
        <f t="shared" si="112"/>
        <v>O</v>
      </c>
      <c r="H3107" s="15">
        <f t="shared" si="111"/>
        <v>10</v>
      </c>
    </row>
    <row r="3108" spans="1:8" x14ac:dyDescent="0.3">
      <c r="A3108" s="87">
        <f>COUNTIFS($B$2:B3108,B3108)</f>
        <v>1</v>
      </c>
      <c r="B3108" s="20" t="s">
        <v>758</v>
      </c>
      <c r="C3108" s="21">
        <v>20060368076396</v>
      </c>
      <c r="D3108" s="20" t="s">
        <v>581</v>
      </c>
      <c r="E3108" s="22">
        <v>23</v>
      </c>
      <c r="G3108" s="14" t="str">
        <f t="shared" si="112"/>
        <v>O</v>
      </c>
      <c r="H3108" s="15">
        <f t="shared" si="111"/>
        <v>11.5</v>
      </c>
    </row>
    <row r="3109" spans="1:8" x14ac:dyDescent="0.3">
      <c r="A3109" s="88">
        <f>COUNTIFS($B$2:B3109,B3109)</f>
        <v>2</v>
      </c>
      <c r="B3109" s="20" t="s">
        <v>758</v>
      </c>
      <c r="C3109" s="21">
        <v>20060368076396</v>
      </c>
      <c r="D3109" s="20" t="s">
        <v>759</v>
      </c>
      <c r="E3109" s="22">
        <v>5.4</v>
      </c>
      <c r="G3109" s="14" t="str">
        <f t="shared" si="112"/>
        <v>O</v>
      </c>
      <c r="H3109" s="15">
        <f t="shared" si="111"/>
        <v>2.7</v>
      </c>
    </row>
    <row r="3110" spans="1:8" x14ac:dyDescent="0.3">
      <c r="A3110" s="88">
        <f>COUNTIFS($B$2:B3110,B3110)</f>
        <v>3</v>
      </c>
      <c r="B3110" s="20" t="s">
        <v>758</v>
      </c>
      <c r="C3110" s="21">
        <v>20060368076396</v>
      </c>
      <c r="D3110" s="20" t="s">
        <v>178</v>
      </c>
      <c r="E3110" s="22">
        <v>6.4</v>
      </c>
      <c r="G3110" s="14" t="str">
        <f t="shared" si="112"/>
        <v>O</v>
      </c>
      <c r="H3110" s="15">
        <f t="shared" si="111"/>
        <v>3.2</v>
      </c>
    </row>
    <row r="3111" spans="1:8" x14ac:dyDescent="0.3">
      <c r="A3111" s="88">
        <f>COUNTIFS($B$2:B3111,B3111)</f>
        <v>4</v>
      </c>
      <c r="B3111" s="20" t="s">
        <v>758</v>
      </c>
      <c r="C3111" s="21">
        <v>20060368076396</v>
      </c>
      <c r="D3111" s="20" t="s">
        <v>292</v>
      </c>
      <c r="E3111" s="22">
        <v>6.4</v>
      </c>
      <c r="G3111" s="14" t="str">
        <f t="shared" si="112"/>
        <v>O</v>
      </c>
      <c r="H3111" s="15">
        <f t="shared" si="111"/>
        <v>3.2</v>
      </c>
    </row>
    <row r="3112" spans="1:8" x14ac:dyDescent="0.3">
      <c r="A3112" s="88">
        <f>COUNTIFS($B$2:B3112,B3112)</f>
        <v>5</v>
      </c>
      <c r="B3112" s="20" t="s">
        <v>758</v>
      </c>
      <c r="C3112" s="21">
        <v>20060368076396</v>
      </c>
      <c r="D3112" s="20" t="s">
        <v>32</v>
      </c>
      <c r="E3112" s="22">
        <v>5</v>
      </c>
      <c r="G3112" s="14" t="str">
        <f t="shared" si="112"/>
        <v>O</v>
      </c>
      <c r="H3112" s="15">
        <f t="shared" si="111"/>
        <v>2.5</v>
      </c>
    </row>
    <row r="3113" spans="1:8" x14ac:dyDescent="0.3">
      <c r="A3113" s="88">
        <f>COUNTIFS($B$2:B3113,B3113)</f>
        <v>6</v>
      </c>
      <c r="B3113" s="20" t="s">
        <v>758</v>
      </c>
      <c r="C3113" s="21">
        <v>20060368076396</v>
      </c>
      <c r="D3113" s="20" t="s">
        <v>190</v>
      </c>
      <c r="E3113" s="22">
        <v>1.2</v>
      </c>
      <c r="G3113" s="14" t="str">
        <f t="shared" si="112"/>
        <v>O</v>
      </c>
      <c r="H3113" s="15">
        <f t="shared" si="111"/>
        <v>0.6</v>
      </c>
    </row>
    <row r="3114" spans="1:8" x14ac:dyDescent="0.3">
      <c r="A3114" s="88">
        <f>COUNTIFS($B$2:B3114,B3114)</f>
        <v>7</v>
      </c>
      <c r="B3114" s="20" t="s">
        <v>758</v>
      </c>
      <c r="C3114" s="21">
        <v>20060368076396</v>
      </c>
      <c r="D3114" s="20" t="s">
        <v>155</v>
      </c>
      <c r="E3114" s="22">
        <v>0.3</v>
      </c>
      <c r="G3114" s="14" t="str">
        <f t="shared" si="112"/>
        <v>O</v>
      </c>
      <c r="H3114" s="15">
        <f t="shared" si="111"/>
        <v>0.15</v>
      </c>
    </row>
    <row r="3115" spans="1:8" x14ac:dyDescent="0.3">
      <c r="A3115" s="88">
        <f>COUNTIFS($B$2:B3115,B3115)</f>
        <v>8</v>
      </c>
      <c r="B3115" s="20" t="s">
        <v>758</v>
      </c>
      <c r="C3115" s="21">
        <v>20060368076396</v>
      </c>
      <c r="D3115" s="20" t="s">
        <v>138</v>
      </c>
      <c r="E3115" s="22">
        <v>4.8</v>
      </c>
      <c r="G3115" s="14" t="str">
        <f t="shared" si="112"/>
        <v>O</v>
      </c>
      <c r="H3115" s="15">
        <f t="shared" si="111"/>
        <v>2.4</v>
      </c>
    </row>
    <row r="3116" spans="1:8" x14ac:dyDescent="0.3">
      <c r="A3116" s="88">
        <f>COUNTIFS($B$2:B3116,B3116)</f>
        <v>9</v>
      </c>
      <c r="B3116" s="20" t="s">
        <v>758</v>
      </c>
      <c r="C3116" s="21">
        <v>20060368076396</v>
      </c>
      <c r="D3116" s="20" t="s">
        <v>196</v>
      </c>
      <c r="E3116" s="22">
        <v>11.5</v>
      </c>
      <c r="G3116" s="14" t="str">
        <f t="shared" si="112"/>
        <v>O</v>
      </c>
      <c r="H3116" s="15">
        <f t="shared" si="111"/>
        <v>5.75</v>
      </c>
    </row>
    <row r="3117" spans="1:8" x14ac:dyDescent="0.3">
      <c r="A3117" s="88">
        <f>COUNTIFS($B$2:B3117,B3117)</f>
        <v>10</v>
      </c>
      <c r="B3117" s="20" t="s">
        <v>758</v>
      </c>
      <c r="C3117" s="21">
        <v>20060368076396</v>
      </c>
      <c r="D3117" s="20" t="s">
        <v>116</v>
      </c>
      <c r="E3117" s="22">
        <v>9.6999999999999993</v>
      </c>
      <c r="G3117" s="14" t="str">
        <f t="shared" si="112"/>
        <v>O</v>
      </c>
      <c r="H3117" s="15">
        <f t="shared" si="111"/>
        <v>4.8499999999999996</v>
      </c>
    </row>
    <row r="3118" spans="1:8" x14ac:dyDescent="0.3">
      <c r="A3118" s="88">
        <f>COUNTIFS($B$2:B3118,B3118)</f>
        <v>11</v>
      </c>
      <c r="B3118" s="20" t="s">
        <v>758</v>
      </c>
      <c r="C3118" s="21">
        <v>20060368076396</v>
      </c>
      <c r="D3118" s="20" t="s">
        <v>518</v>
      </c>
      <c r="E3118" s="22">
        <v>5.7</v>
      </c>
      <c r="G3118" s="14" t="str">
        <f t="shared" si="112"/>
        <v>O</v>
      </c>
      <c r="H3118" s="15">
        <f t="shared" si="111"/>
        <v>2.85</v>
      </c>
    </row>
    <row r="3119" spans="1:8" x14ac:dyDescent="0.3">
      <c r="A3119" s="88">
        <f>COUNTIFS($B$2:B3119,B3119)</f>
        <v>12</v>
      </c>
      <c r="B3119" s="20" t="s">
        <v>758</v>
      </c>
      <c r="C3119" s="21">
        <v>20060368076396</v>
      </c>
      <c r="D3119" s="20" t="s">
        <v>54</v>
      </c>
      <c r="E3119" s="22">
        <v>20.6</v>
      </c>
      <c r="G3119" s="14" t="str">
        <f t="shared" si="112"/>
        <v>O</v>
      </c>
      <c r="H3119" s="15">
        <f t="shared" si="111"/>
        <v>10.3</v>
      </c>
    </row>
    <row r="3120" spans="1:8" x14ac:dyDescent="0.3">
      <c r="A3120" s="87">
        <f>COUNTIFS($B$2:B3120,B3120)</f>
        <v>1</v>
      </c>
      <c r="B3120" s="20" t="s">
        <v>760</v>
      </c>
      <c r="C3120" s="21">
        <v>20060368076398</v>
      </c>
      <c r="D3120" s="20" t="s">
        <v>581</v>
      </c>
      <c r="E3120" s="22">
        <v>19.2</v>
      </c>
      <c r="G3120" s="14" t="str">
        <f t="shared" si="112"/>
        <v>O</v>
      </c>
      <c r="H3120" s="15">
        <f t="shared" si="111"/>
        <v>9.6</v>
      </c>
    </row>
    <row r="3121" spans="1:8" x14ac:dyDescent="0.3">
      <c r="A3121" s="88">
        <f>COUNTIFS($B$2:B3121,B3121)</f>
        <v>2</v>
      </c>
      <c r="B3121" s="20" t="s">
        <v>760</v>
      </c>
      <c r="C3121" s="21">
        <v>20060368076398</v>
      </c>
      <c r="D3121" s="20" t="s">
        <v>759</v>
      </c>
      <c r="E3121" s="22">
        <v>4.5</v>
      </c>
      <c r="G3121" s="14" t="str">
        <f t="shared" si="112"/>
        <v>O</v>
      </c>
      <c r="H3121" s="15">
        <f t="shared" si="111"/>
        <v>2.25</v>
      </c>
    </row>
    <row r="3122" spans="1:8" x14ac:dyDescent="0.3">
      <c r="A3122" s="88">
        <f>COUNTIFS($B$2:B3122,B3122)</f>
        <v>3</v>
      </c>
      <c r="B3122" s="20" t="s">
        <v>760</v>
      </c>
      <c r="C3122" s="21">
        <v>20060368076398</v>
      </c>
      <c r="D3122" s="20" t="s">
        <v>70</v>
      </c>
      <c r="E3122" s="22">
        <v>9.8000000000000007</v>
      </c>
      <c r="G3122" s="14" t="str">
        <f t="shared" si="112"/>
        <v>O</v>
      </c>
      <c r="H3122" s="15">
        <f t="shared" si="111"/>
        <v>4.9000000000000004</v>
      </c>
    </row>
    <row r="3123" spans="1:8" x14ac:dyDescent="0.3">
      <c r="A3123" s="88">
        <f>COUNTIFS($B$2:B3123,B3123)</f>
        <v>4</v>
      </c>
      <c r="B3123" s="20" t="s">
        <v>760</v>
      </c>
      <c r="C3123" s="21">
        <v>20060368076398</v>
      </c>
      <c r="D3123" s="20" t="s">
        <v>292</v>
      </c>
      <c r="E3123" s="22">
        <v>4.3</v>
      </c>
      <c r="G3123" s="14" t="str">
        <f t="shared" si="112"/>
        <v>O</v>
      </c>
      <c r="H3123" s="15">
        <f t="shared" si="111"/>
        <v>2.15</v>
      </c>
    </row>
    <row r="3124" spans="1:8" x14ac:dyDescent="0.3">
      <c r="A3124" s="88">
        <f>COUNTIFS($B$2:B3124,B3124)</f>
        <v>5</v>
      </c>
      <c r="B3124" s="20" t="s">
        <v>760</v>
      </c>
      <c r="C3124" s="21">
        <v>20060368076398</v>
      </c>
      <c r="D3124" s="20" t="s">
        <v>32</v>
      </c>
      <c r="E3124" s="22">
        <v>4.3</v>
      </c>
      <c r="G3124" s="14" t="str">
        <f t="shared" si="112"/>
        <v>O</v>
      </c>
      <c r="H3124" s="15">
        <f t="shared" si="111"/>
        <v>2.15</v>
      </c>
    </row>
    <row r="3125" spans="1:8" x14ac:dyDescent="0.3">
      <c r="A3125" s="88">
        <f>COUNTIFS($B$2:B3125,B3125)</f>
        <v>6</v>
      </c>
      <c r="B3125" s="20" t="s">
        <v>760</v>
      </c>
      <c r="C3125" s="21">
        <v>20060368076398</v>
      </c>
      <c r="D3125" s="20" t="s">
        <v>190</v>
      </c>
      <c r="E3125" s="22">
        <v>1</v>
      </c>
      <c r="G3125" s="14" t="str">
        <f t="shared" si="112"/>
        <v>O</v>
      </c>
      <c r="H3125" s="15">
        <f t="shared" ref="H3125:H3188" si="113">E3125/2</f>
        <v>0.5</v>
      </c>
    </row>
    <row r="3126" spans="1:8" x14ac:dyDescent="0.3">
      <c r="A3126" s="88">
        <f>COUNTIFS($B$2:B3126,B3126)</f>
        <v>7</v>
      </c>
      <c r="B3126" s="20" t="s">
        <v>760</v>
      </c>
      <c r="C3126" s="21">
        <v>20060368076398</v>
      </c>
      <c r="D3126" s="20" t="s">
        <v>138</v>
      </c>
      <c r="E3126" s="22">
        <v>4.8</v>
      </c>
      <c r="G3126" s="14" t="str">
        <f t="shared" si="112"/>
        <v>O</v>
      </c>
      <c r="H3126" s="15">
        <f t="shared" si="113"/>
        <v>2.4</v>
      </c>
    </row>
    <row r="3127" spans="1:8" x14ac:dyDescent="0.3">
      <c r="A3127" s="88">
        <f>COUNTIFS($B$2:B3127,B3127)</f>
        <v>8</v>
      </c>
      <c r="B3127" s="20" t="s">
        <v>760</v>
      </c>
      <c r="C3127" s="21">
        <v>20060368076398</v>
      </c>
      <c r="D3127" s="20" t="s">
        <v>196</v>
      </c>
      <c r="E3127" s="22">
        <v>9.6</v>
      </c>
      <c r="G3127" s="14" t="str">
        <f t="shared" si="112"/>
        <v>O</v>
      </c>
      <c r="H3127" s="15">
        <f t="shared" si="113"/>
        <v>4.8</v>
      </c>
    </row>
    <row r="3128" spans="1:8" x14ac:dyDescent="0.3">
      <c r="A3128" s="88">
        <f>COUNTIFS($B$2:B3128,B3128)</f>
        <v>9</v>
      </c>
      <c r="B3128" s="20" t="s">
        <v>760</v>
      </c>
      <c r="C3128" s="21">
        <v>20060368076398</v>
      </c>
      <c r="D3128" s="20" t="s">
        <v>116</v>
      </c>
      <c r="E3128" s="22">
        <v>9.8000000000000007</v>
      </c>
      <c r="G3128" s="14" t="str">
        <f t="shared" si="112"/>
        <v>O</v>
      </c>
      <c r="H3128" s="15">
        <f t="shared" si="113"/>
        <v>4.9000000000000004</v>
      </c>
    </row>
    <row r="3129" spans="1:8" x14ac:dyDescent="0.3">
      <c r="A3129" s="88">
        <f>COUNTIFS($B$2:B3129,B3129)</f>
        <v>10</v>
      </c>
      <c r="B3129" s="20" t="s">
        <v>760</v>
      </c>
      <c r="C3129" s="21">
        <v>20060368076398</v>
      </c>
      <c r="D3129" s="20" t="s">
        <v>518</v>
      </c>
      <c r="E3129" s="22">
        <v>4</v>
      </c>
      <c r="G3129" s="14" t="str">
        <f t="shared" si="112"/>
        <v>O</v>
      </c>
      <c r="H3129" s="15">
        <f t="shared" si="113"/>
        <v>2</v>
      </c>
    </row>
    <row r="3130" spans="1:8" x14ac:dyDescent="0.3">
      <c r="A3130" s="88">
        <f>COUNTIFS($B$2:B3130,B3130)</f>
        <v>11</v>
      </c>
      <c r="B3130" s="20" t="s">
        <v>760</v>
      </c>
      <c r="C3130" s="21">
        <v>20060368076398</v>
      </c>
      <c r="D3130" s="20" t="s">
        <v>54</v>
      </c>
      <c r="E3130" s="22">
        <v>17.100000000000001</v>
      </c>
      <c r="G3130" s="14" t="str">
        <f t="shared" si="112"/>
        <v>O</v>
      </c>
      <c r="H3130" s="15">
        <f t="shared" si="113"/>
        <v>8.5500000000000007</v>
      </c>
    </row>
    <row r="3131" spans="1:8" x14ac:dyDescent="0.3">
      <c r="A3131" s="88">
        <f>COUNTIFS($B$2:B3131,B3131)</f>
        <v>12</v>
      </c>
      <c r="B3131" s="20" t="s">
        <v>760</v>
      </c>
      <c r="C3131" s="21">
        <v>20060368076398</v>
      </c>
      <c r="D3131" s="20" t="s">
        <v>230</v>
      </c>
      <c r="E3131" s="22">
        <v>11.6</v>
      </c>
      <c r="G3131" s="14" t="str">
        <f t="shared" si="112"/>
        <v>O</v>
      </c>
      <c r="H3131" s="15">
        <f t="shared" si="113"/>
        <v>5.8</v>
      </c>
    </row>
    <row r="3132" spans="1:8" x14ac:dyDescent="0.3">
      <c r="A3132" s="87">
        <f>COUNTIFS($B$2:B3132,B3132)</f>
        <v>1</v>
      </c>
      <c r="B3132" s="20" t="s">
        <v>761</v>
      </c>
      <c r="C3132" s="21">
        <v>20060368076394</v>
      </c>
      <c r="D3132" s="20" t="s">
        <v>581</v>
      </c>
      <c r="E3132" s="22">
        <v>27</v>
      </c>
      <c r="G3132" s="14" t="str">
        <f t="shared" si="112"/>
        <v>O</v>
      </c>
      <c r="H3132" s="15">
        <f t="shared" si="113"/>
        <v>13.5</v>
      </c>
    </row>
    <row r="3133" spans="1:8" x14ac:dyDescent="0.3">
      <c r="A3133" s="88">
        <f>COUNTIFS($B$2:B3133,B3133)</f>
        <v>2</v>
      </c>
      <c r="B3133" s="20" t="s">
        <v>761</v>
      </c>
      <c r="C3133" s="21">
        <v>20060368076394</v>
      </c>
      <c r="D3133" s="20" t="s">
        <v>759</v>
      </c>
      <c r="E3133" s="22">
        <v>9</v>
      </c>
      <c r="G3133" s="14" t="str">
        <f t="shared" ref="G3133:G3183" si="114">IF(D3133="","",IF(COUNTIF(I:I,D3133)&gt;0,"O","X"))</f>
        <v>O</v>
      </c>
      <c r="H3133" s="15">
        <f t="shared" si="113"/>
        <v>4.5</v>
      </c>
    </row>
    <row r="3134" spans="1:8" x14ac:dyDescent="0.3">
      <c r="A3134" s="88">
        <f>COUNTIFS($B$2:B3134,B3134)</f>
        <v>3</v>
      </c>
      <c r="B3134" s="20" t="s">
        <v>761</v>
      </c>
      <c r="C3134" s="21">
        <v>20060368076394</v>
      </c>
      <c r="D3134" s="20" t="s">
        <v>292</v>
      </c>
      <c r="E3134" s="22">
        <v>6.5</v>
      </c>
      <c r="G3134" s="14" t="str">
        <f t="shared" si="114"/>
        <v>O</v>
      </c>
      <c r="H3134" s="15">
        <f t="shared" si="113"/>
        <v>3.25</v>
      </c>
    </row>
    <row r="3135" spans="1:8" x14ac:dyDescent="0.3">
      <c r="A3135" s="88">
        <f>COUNTIFS($B$2:B3135,B3135)</f>
        <v>4</v>
      </c>
      <c r="B3135" s="20" t="s">
        <v>761</v>
      </c>
      <c r="C3135" s="21">
        <v>20060368076394</v>
      </c>
      <c r="D3135" s="20" t="s">
        <v>32</v>
      </c>
      <c r="E3135" s="22">
        <v>5.0999999999999996</v>
      </c>
      <c r="G3135" s="14" t="str">
        <f t="shared" si="114"/>
        <v>O</v>
      </c>
      <c r="H3135" s="15">
        <f t="shared" si="113"/>
        <v>2.5499999999999998</v>
      </c>
    </row>
    <row r="3136" spans="1:8" x14ac:dyDescent="0.3">
      <c r="A3136" s="88">
        <f>COUNTIFS($B$2:B3136,B3136)</f>
        <v>5</v>
      </c>
      <c r="B3136" s="20" t="s">
        <v>761</v>
      </c>
      <c r="C3136" s="21">
        <v>20060368076394</v>
      </c>
      <c r="D3136" s="20" t="s">
        <v>190</v>
      </c>
      <c r="E3136" s="22">
        <v>1.2</v>
      </c>
      <c r="G3136" s="14" t="str">
        <f t="shared" si="114"/>
        <v>O</v>
      </c>
      <c r="H3136" s="15">
        <f t="shared" si="113"/>
        <v>0.6</v>
      </c>
    </row>
    <row r="3137" spans="1:8" x14ac:dyDescent="0.3">
      <c r="A3137" s="88">
        <f>COUNTIFS($B$2:B3137,B3137)</f>
        <v>6</v>
      </c>
      <c r="B3137" s="20" t="s">
        <v>761</v>
      </c>
      <c r="C3137" s="21">
        <v>20060368076394</v>
      </c>
      <c r="D3137" s="20" t="s">
        <v>155</v>
      </c>
      <c r="E3137" s="22">
        <v>0.3</v>
      </c>
      <c r="G3137" s="14" t="str">
        <f t="shared" si="114"/>
        <v>O</v>
      </c>
      <c r="H3137" s="15">
        <f t="shared" si="113"/>
        <v>0.15</v>
      </c>
    </row>
    <row r="3138" spans="1:8" x14ac:dyDescent="0.3">
      <c r="A3138" s="88">
        <f>COUNTIFS($B$2:B3138,B3138)</f>
        <v>7</v>
      </c>
      <c r="B3138" s="20" t="s">
        <v>761</v>
      </c>
      <c r="C3138" s="21">
        <v>20060368076394</v>
      </c>
      <c r="D3138" s="20" t="s">
        <v>138</v>
      </c>
      <c r="E3138" s="22">
        <v>5.4</v>
      </c>
      <c r="G3138" s="14" t="str">
        <f t="shared" si="114"/>
        <v>O</v>
      </c>
      <c r="H3138" s="15">
        <f t="shared" si="113"/>
        <v>2.7</v>
      </c>
    </row>
    <row r="3139" spans="1:8" x14ac:dyDescent="0.3">
      <c r="A3139" s="88">
        <f>COUNTIFS($B$2:B3139,B3139)</f>
        <v>8</v>
      </c>
      <c r="B3139" s="20" t="s">
        <v>761</v>
      </c>
      <c r="C3139" s="21">
        <v>20060368076394</v>
      </c>
      <c r="D3139" s="20" t="s">
        <v>196</v>
      </c>
      <c r="E3139" s="22">
        <v>9.8000000000000007</v>
      </c>
      <c r="G3139" s="14" t="str">
        <f t="shared" si="114"/>
        <v>O</v>
      </c>
      <c r="H3139" s="15">
        <f t="shared" si="113"/>
        <v>4.9000000000000004</v>
      </c>
    </row>
    <row r="3140" spans="1:8" x14ac:dyDescent="0.3">
      <c r="A3140" s="88">
        <f>COUNTIFS($B$2:B3140,B3140)</f>
        <v>9</v>
      </c>
      <c r="B3140" s="20" t="s">
        <v>761</v>
      </c>
      <c r="C3140" s="21">
        <v>20060368076394</v>
      </c>
      <c r="D3140" s="20" t="s">
        <v>116</v>
      </c>
      <c r="E3140" s="22">
        <v>9.8000000000000007</v>
      </c>
      <c r="G3140" s="14" t="str">
        <f t="shared" si="114"/>
        <v>O</v>
      </c>
      <c r="H3140" s="15">
        <f t="shared" si="113"/>
        <v>4.9000000000000004</v>
      </c>
    </row>
    <row r="3141" spans="1:8" x14ac:dyDescent="0.3">
      <c r="A3141" s="88">
        <f>COUNTIFS($B$2:B3141,B3141)</f>
        <v>10</v>
      </c>
      <c r="B3141" s="20" t="s">
        <v>761</v>
      </c>
      <c r="C3141" s="21">
        <v>20060368076394</v>
      </c>
      <c r="D3141" s="20" t="s">
        <v>518</v>
      </c>
      <c r="E3141" s="22">
        <v>5.7</v>
      </c>
      <c r="G3141" s="14" t="str">
        <f t="shared" si="114"/>
        <v>O</v>
      </c>
      <c r="H3141" s="15">
        <f t="shared" si="113"/>
        <v>2.85</v>
      </c>
    </row>
    <row r="3142" spans="1:8" x14ac:dyDescent="0.3">
      <c r="A3142" s="88">
        <f>COUNTIFS($B$2:B3142,B3142)</f>
        <v>11</v>
      </c>
      <c r="B3142" s="20" t="s">
        <v>761</v>
      </c>
      <c r="C3142" s="21">
        <v>20060368076394</v>
      </c>
      <c r="D3142" s="20" t="s">
        <v>54</v>
      </c>
      <c r="E3142" s="22">
        <v>20.2</v>
      </c>
      <c r="G3142" s="14" t="str">
        <f t="shared" si="114"/>
        <v>O</v>
      </c>
      <c r="H3142" s="15">
        <f t="shared" si="113"/>
        <v>10.1</v>
      </c>
    </row>
    <row r="3143" spans="1:8" x14ac:dyDescent="0.3">
      <c r="A3143" s="48">
        <f>COUNTIFS($B$2:B3143,B3143)</f>
        <v>1</v>
      </c>
      <c r="B3143" s="26" t="s">
        <v>762</v>
      </c>
      <c r="C3143" s="27">
        <v>20060368076452</v>
      </c>
      <c r="D3143" s="26" t="s">
        <v>116</v>
      </c>
      <c r="E3143" s="92">
        <v>93</v>
      </c>
      <c r="G3143" s="14" t="str">
        <f t="shared" si="114"/>
        <v>O</v>
      </c>
      <c r="H3143" s="15">
        <f t="shared" si="113"/>
        <v>46.5</v>
      </c>
    </row>
    <row r="3144" spans="1:8" x14ac:dyDescent="0.3">
      <c r="A3144" s="48">
        <f>COUNTIFS($B$2:B3144,B3144)</f>
        <v>2</v>
      </c>
      <c r="B3144" s="26" t="s">
        <v>762</v>
      </c>
      <c r="C3144" s="27">
        <v>20060368076452</v>
      </c>
      <c r="D3144" s="26" t="s">
        <v>17</v>
      </c>
      <c r="E3144" s="92">
        <v>44.64</v>
      </c>
      <c r="G3144" s="14" t="str">
        <f t="shared" si="114"/>
        <v>O</v>
      </c>
      <c r="H3144" s="15">
        <f t="shared" si="113"/>
        <v>22.32</v>
      </c>
    </row>
    <row r="3145" spans="1:8" x14ac:dyDescent="0.3">
      <c r="A3145" s="48">
        <f>COUNTIFS($B$2:B3145,B3145)</f>
        <v>3</v>
      </c>
      <c r="B3145" s="26" t="s">
        <v>762</v>
      </c>
      <c r="C3145" s="27">
        <v>20060368076452</v>
      </c>
      <c r="D3145" s="26" t="s">
        <v>157</v>
      </c>
      <c r="E3145" s="93">
        <v>85.024154589371975</v>
      </c>
      <c r="G3145" s="14" t="str">
        <f t="shared" si="114"/>
        <v>O</v>
      </c>
      <c r="H3145" s="15">
        <f t="shared" si="113"/>
        <v>42.512077294685987</v>
      </c>
    </row>
    <row r="3146" spans="1:8" x14ac:dyDescent="0.3">
      <c r="A3146" s="48">
        <f>COUNTIFS($B$2:B3146,B3146)</f>
        <v>4</v>
      </c>
      <c r="B3146" s="26" t="s">
        <v>762</v>
      </c>
      <c r="C3146" s="27">
        <v>20060368076452</v>
      </c>
      <c r="D3146" s="26" t="s">
        <v>494</v>
      </c>
      <c r="E3146" s="93">
        <v>5.3140096618357484</v>
      </c>
      <c r="G3146" s="14" t="str">
        <f t="shared" si="114"/>
        <v>O</v>
      </c>
      <c r="H3146" s="15">
        <f t="shared" si="113"/>
        <v>2.6570048309178742</v>
      </c>
    </row>
    <row r="3147" spans="1:8" x14ac:dyDescent="0.3">
      <c r="A3147" s="48">
        <f>COUNTIFS($B$2:B3147,B3147)</f>
        <v>5</v>
      </c>
      <c r="B3147" s="26" t="s">
        <v>762</v>
      </c>
      <c r="C3147" s="27">
        <v>20060368076452</v>
      </c>
      <c r="D3147" s="26" t="s">
        <v>734</v>
      </c>
      <c r="E3147" s="93">
        <v>5.3140096618357484</v>
      </c>
      <c r="G3147" s="14" t="str">
        <f t="shared" si="114"/>
        <v>O</v>
      </c>
      <c r="H3147" s="15">
        <f t="shared" si="113"/>
        <v>2.6570048309178742</v>
      </c>
    </row>
    <row r="3148" spans="1:8" x14ac:dyDescent="0.3">
      <c r="A3148" s="48">
        <f>COUNTIFS($B$2:B3148,B3148)</f>
        <v>6</v>
      </c>
      <c r="B3148" s="26" t="s">
        <v>762</v>
      </c>
      <c r="C3148" s="27">
        <v>20060368076452</v>
      </c>
      <c r="D3148" s="26" t="s">
        <v>763</v>
      </c>
      <c r="E3148" s="93">
        <v>4.2512077294685993</v>
      </c>
      <c r="G3148" s="14" t="str">
        <f t="shared" si="114"/>
        <v>O</v>
      </c>
      <c r="H3148" s="15">
        <f t="shared" si="113"/>
        <v>2.1256038647342996</v>
      </c>
    </row>
    <row r="3149" spans="1:8" x14ac:dyDescent="0.3">
      <c r="A3149" s="48">
        <f>COUNTIFS($B$2:B3149,B3149)</f>
        <v>7</v>
      </c>
      <c r="B3149" s="26" t="s">
        <v>762</v>
      </c>
      <c r="C3149" s="27">
        <v>20060368076452</v>
      </c>
      <c r="D3149" s="26" t="s">
        <v>196</v>
      </c>
      <c r="E3149" s="93">
        <v>15.942028985507246</v>
      </c>
      <c r="G3149" s="14" t="str">
        <f t="shared" si="114"/>
        <v>O</v>
      </c>
      <c r="H3149" s="15">
        <f t="shared" si="113"/>
        <v>7.9710144927536231</v>
      </c>
    </row>
    <row r="3150" spans="1:8" x14ac:dyDescent="0.3">
      <c r="A3150" s="48">
        <f>COUNTIFS($B$2:B3150,B3150)</f>
        <v>8</v>
      </c>
      <c r="B3150" s="26" t="s">
        <v>762</v>
      </c>
      <c r="C3150" s="27">
        <v>20060368076452</v>
      </c>
      <c r="D3150" s="26" t="s">
        <v>149</v>
      </c>
      <c r="E3150" s="93">
        <v>15.942028985507246</v>
      </c>
      <c r="G3150" s="14" t="str">
        <f t="shared" si="114"/>
        <v>O</v>
      </c>
      <c r="H3150" s="15">
        <f t="shared" si="113"/>
        <v>7.9710144927536231</v>
      </c>
    </row>
    <row r="3151" spans="1:8" x14ac:dyDescent="0.3">
      <c r="A3151" s="48">
        <f>COUNTIFS($B$2:B3151,B3151)</f>
        <v>9</v>
      </c>
      <c r="B3151" s="26" t="s">
        <v>762</v>
      </c>
      <c r="C3151" s="27">
        <v>20060368076452</v>
      </c>
      <c r="D3151" s="26" t="s">
        <v>206</v>
      </c>
      <c r="E3151" s="93">
        <v>47.826086956521735</v>
      </c>
      <c r="G3151" s="14" t="str">
        <f t="shared" si="114"/>
        <v>O</v>
      </c>
      <c r="H3151" s="15">
        <f t="shared" si="113"/>
        <v>23.913043478260867</v>
      </c>
    </row>
    <row r="3152" spans="1:8" x14ac:dyDescent="0.3">
      <c r="A3152" s="48">
        <f>COUNTIFS($B$2:B3152,B3152)</f>
        <v>10</v>
      </c>
      <c r="B3152" s="26" t="s">
        <v>762</v>
      </c>
      <c r="C3152" s="27">
        <v>20060368076452</v>
      </c>
      <c r="D3152" s="91" t="s">
        <v>495</v>
      </c>
      <c r="E3152" s="93">
        <v>12.753623188405797</v>
      </c>
      <c r="G3152" s="14" t="str">
        <f t="shared" si="114"/>
        <v>O</v>
      </c>
      <c r="H3152" s="15">
        <f t="shared" si="113"/>
        <v>6.3768115942028984</v>
      </c>
    </row>
    <row r="3153" spans="1:8" x14ac:dyDescent="0.3">
      <c r="A3153" s="48">
        <f>COUNTIFS($B$2:B3153,B3153)</f>
        <v>1</v>
      </c>
      <c r="B3153" s="26" t="s">
        <v>764</v>
      </c>
      <c r="C3153" s="27">
        <v>20060368076209</v>
      </c>
      <c r="D3153" s="26" t="s">
        <v>116</v>
      </c>
      <c r="E3153" s="92">
        <v>78.904991948470197</v>
      </c>
      <c r="G3153" s="14" t="str">
        <f t="shared" si="114"/>
        <v>O</v>
      </c>
      <c r="H3153" s="15">
        <f t="shared" si="113"/>
        <v>39.452495974235099</v>
      </c>
    </row>
    <row r="3154" spans="1:8" x14ac:dyDescent="0.3">
      <c r="A3154" s="48">
        <f>COUNTIFS($B$2:B3154,B3154)</f>
        <v>2</v>
      </c>
      <c r="B3154" s="26" t="s">
        <v>764</v>
      </c>
      <c r="C3154" s="27">
        <v>20060368076209</v>
      </c>
      <c r="D3154" s="26" t="s">
        <v>17</v>
      </c>
      <c r="E3154" s="92">
        <v>37.874396135265698</v>
      </c>
      <c r="G3154" s="14" t="str">
        <f t="shared" si="114"/>
        <v>O</v>
      </c>
      <c r="H3154" s="15">
        <f t="shared" si="113"/>
        <v>18.937198067632849</v>
      </c>
    </row>
    <row r="3155" spans="1:8" x14ac:dyDescent="0.3">
      <c r="A3155" s="48">
        <f>COUNTIFS($B$2:B3155,B3155)</f>
        <v>3</v>
      </c>
      <c r="B3155" s="26" t="s">
        <v>764</v>
      </c>
      <c r="C3155" s="27">
        <v>20060368076209</v>
      </c>
      <c r="D3155" s="26" t="s">
        <v>157</v>
      </c>
      <c r="E3155" s="92">
        <v>72.141706924315613</v>
      </c>
      <c r="G3155" s="14" t="str">
        <f t="shared" si="114"/>
        <v>O</v>
      </c>
      <c r="H3155" s="15">
        <f t="shared" si="113"/>
        <v>36.070853462157807</v>
      </c>
    </row>
    <row r="3156" spans="1:8" x14ac:dyDescent="0.3">
      <c r="A3156" s="48">
        <f>COUNTIFS($B$2:B3156,B3156)</f>
        <v>4</v>
      </c>
      <c r="B3156" s="26" t="s">
        <v>764</v>
      </c>
      <c r="C3156" s="27">
        <v>20060368076209</v>
      </c>
      <c r="D3156" s="26" t="s">
        <v>494</v>
      </c>
      <c r="E3156" s="92">
        <v>4.5088566827697258</v>
      </c>
      <c r="G3156" s="14" t="str">
        <f t="shared" si="114"/>
        <v>O</v>
      </c>
      <c r="H3156" s="15">
        <f t="shared" si="113"/>
        <v>2.2544283413848629</v>
      </c>
    </row>
    <row r="3157" spans="1:8" x14ac:dyDescent="0.3">
      <c r="A3157" s="48">
        <f>COUNTIFS($B$2:B3157,B3157)</f>
        <v>5</v>
      </c>
      <c r="B3157" s="26" t="s">
        <v>764</v>
      </c>
      <c r="C3157" s="27">
        <v>20060368076209</v>
      </c>
      <c r="D3157" s="26" t="s">
        <v>734</v>
      </c>
      <c r="E3157" s="92">
        <v>4.5088566827697258</v>
      </c>
      <c r="G3157" s="14" t="str">
        <f t="shared" si="114"/>
        <v>O</v>
      </c>
      <c r="H3157" s="15">
        <f t="shared" si="113"/>
        <v>2.2544283413848629</v>
      </c>
    </row>
    <row r="3158" spans="1:8" x14ac:dyDescent="0.3">
      <c r="A3158" s="48">
        <f>COUNTIFS($B$2:B3158,B3158)</f>
        <v>6</v>
      </c>
      <c r="B3158" s="26" t="s">
        <v>764</v>
      </c>
      <c r="C3158" s="27">
        <v>20060368076209</v>
      </c>
      <c r="D3158" s="26" t="s">
        <v>763</v>
      </c>
      <c r="E3158" s="92">
        <v>3.607085346215781</v>
      </c>
      <c r="G3158" s="14" t="str">
        <f t="shared" si="114"/>
        <v>O</v>
      </c>
      <c r="H3158" s="15">
        <f t="shared" si="113"/>
        <v>1.8035426731078905</v>
      </c>
    </row>
    <row r="3159" spans="1:8" x14ac:dyDescent="0.3">
      <c r="A3159" s="48">
        <f>COUNTIFS($B$2:B3159,B3159)</f>
        <v>7</v>
      </c>
      <c r="B3159" s="26" t="s">
        <v>764</v>
      </c>
      <c r="C3159" s="27">
        <v>20060368076209</v>
      </c>
      <c r="D3159" s="26" t="s">
        <v>196</v>
      </c>
      <c r="E3159" s="92">
        <v>13.526570048309178</v>
      </c>
      <c r="G3159" s="14" t="str">
        <f t="shared" si="114"/>
        <v>O</v>
      </c>
      <c r="H3159" s="15">
        <f t="shared" si="113"/>
        <v>6.7632850241545892</v>
      </c>
    </row>
    <row r="3160" spans="1:8" x14ac:dyDescent="0.3">
      <c r="A3160" s="48">
        <f>COUNTIFS($B$2:B3160,B3160)</f>
        <v>8</v>
      </c>
      <c r="B3160" s="26" t="s">
        <v>764</v>
      </c>
      <c r="C3160" s="27">
        <v>20060368076209</v>
      </c>
      <c r="D3160" s="26" t="s">
        <v>149</v>
      </c>
      <c r="E3160" s="92">
        <v>13.526570048309178</v>
      </c>
      <c r="G3160" s="14" t="str">
        <f t="shared" si="114"/>
        <v>O</v>
      </c>
      <c r="H3160" s="15">
        <f t="shared" si="113"/>
        <v>6.7632850241545892</v>
      </c>
    </row>
    <row r="3161" spans="1:8" x14ac:dyDescent="0.3">
      <c r="A3161" s="48">
        <f>COUNTIFS($B$2:B3161,B3161)</f>
        <v>9</v>
      </c>
      <c r="B3161" s="26" t="s">
        <v>764</v>
      </c>
      <c r="C3161" s="27">
        <v>20060368076209</v>
      </c>
      <c r="D3161" s="26" t="s">
        <v>206</v>
      </c>
      <c r="E3161" s="92">
        <v>40.579710144927539</v>
      </c>
      <c r="G3161" s="14" t="str">
        <f t="shared" si="114"/>
        <v>O</v>
      </c>
      <c r="H3161" s="15">
        <f t="shared" si="113"/>
        <v>20.289855072463769</v>
      </c>
    </row>
    <row r="3162" spans="1:8" x14ac:dyDescent="0.3">
      <c r="A3162" s="48">
        <f>COUNTIFS($B$2:B3162,B3162)</f>
        <v>10</v>
      </c>
      <c r="B3162" s="26" t="s">
        <v>764</v>
      </c>
      <c r="C3162" s="27">
        <v>20060368076209</v>
      </c>
      <c r="D3162" s="91" t="s">
        <v>495</v>
      </c>
      <c r="E3162" s="92">
        <v>10.821256038647343</v>
      </c>
      <c r="G3162" s="14" t="str">
        <f t="shared" si="114"/>
        <v>O</v>
      </c>
      <c r="H3162" s="15">
        <f t="shared" si="113"/>
        <v>5.4106280193236715</v>
      </c>
    </row>
    <row r="3163" spans="1:8" x14ac:dyDescent="0.3">
      <c r="A3163" s="38">
        <f>COUNTIFS($B$2:B3163,B3163)</f>
        <v>1</v>
      </c>
      <c r="B3163" s="39" t="s">
        <v>765</v>
      </c>
      <c r="C3163" s="40">
        <v>20060368076960</v>
      </c>
      <c r="D3163" s="39" t="s">
        <v>463</v>
      </c>
      <c r="E3163" s="41">
        <v>231.85335342677672</v>
      </c>
      <c r="F3163" s="9"/>
      <c r="G3163" s="14" t="str">
        <f t="shared" si="114"/>
        <v>O</v>
      </c>
      <c r="H3163" s="15">
        <f t="shared" si="113"/>
        <v>115.92667671338836</v>
      </c>
    </row>
    <row r="3164" spans="1:8" x14ac:dyDescent="0.3">
      <c r="A3164" s="38">
        <f>COUNTIFS($B$2:B3164,B3164)</f>
        <v>2</v>
      </c>
      <c r="B3164" s="39" t="s">
        <v>765</v>
      </c>
      <c r="C3164" s="40">
        <v>20060368076960</v>
      </c>
      <c r="D3164" s="39" t="s">
        <v>553</v>
      </c>
      <c r="E3164" s="41">
        <v>99.365722897190025</v>
      </c>
      <c r="F3164" s="9"/>
      <c r="G3164" s="14" t="str">
        <f t="shared" si="114"/>
        <v>O</v>
      </c>
      <c r="H3164" s="15">
        <f t="shared" si="113"/>
        <v>49.682861448595013</v>
      </c>
    </row>
    <row r="3165" spans="1:8" x14ac:dyDescent="0.3">
      <c r="A3165" s="38">
        <f>COUNTIFS($B$2:B3165,B3165)</f>
        <v>3</v>
      </c>
      <c r="B3165" s="39" t="s">
        <v>765</v>
      </c>
      <c r="C3165" s="40">
        <v>20060368076960</v>
      </c>
      <c r="D3165" s="39" t="s">
        <v>418</v>
      </c>
      <c r="E3165" s="41">
        <v>5.34325113692437</v>
      </c>
      <c r="F3165" s="9"/>
      <c r="G3165" s="14" t="str">
        <f t="shared" si="114"/>
        <v>O</v>
      </c>
      <c r="H3165" s="15">
        <f t="shared" si="113"/>
        <v>2.671625568462185</v>
      </c>
    </row>
    <row r="3166" spans="1:8" x14ac:dyDescent="0.3">
      <c r="A3166" s="38">
        <f>COUNTIFS($B$2:B3166,B3166)</f>
        <v>4</v>
      </c>
      <c r="B3166" s="39" t="s">
        <v>765</v>
      </c>
      <c r="C3166" s="40">
        <v>20060368076960</v>
      </c>
      <c r="D3166" s="39" t="s">
        <v>164</v>
      </c>
      <c r="E3166" s="41">
        <v>3.6454929784084391</v>
      </c>
      <c r="F3166" s="9"/>
      <c r="G3166" s="14" t="str">
        <f t="shared" si="114"/>
        <v>O</v>
      </c>
      <c r="H3166" s="15">
        <f t="shared" si="113"/>
        <v>1.8227464892042196</v>
      </c>
    </row>
    <row r="3167" spans="1:8" x14ac:dyDescent="0.3">
      <c r="A3167" s="38">
        <f>COUNTIFS($B$2:B3167,B3167)</f>
        <v>5</v>
      </c>
      <c r="B3167" s="39" t="s">
        <v>765</v>
      </c>
      <c r="C3167" s="40">
        <v>20060368076960</v>
      </c>
      <c r="D3167" s="39" t="s">
        <v>535</v>
      </c>
      <c r="E3167" s="41">
        <v>33.121907632396677</v>
      </c>
      <c r="F3167" s="9"/>
      <c r="G3167" s="14" t="str">
        <f t="shared" si="114"/>
        <v>O</v>
      </c>
      <c r="H3167" s="15">
        <f t="shared" si="113"/>
        <v>16.560953816198339</v>
      </c>
    </row>
    <row r="3168" spans="1:8" x14ac:dyDescent="0.3">
      <c r="A3168" s="38">
        <f>COUNTIFS($B$2:B3168,B3168)</f>
        <v>6</v>
      </c>
      <c r="B3168" s="39" t="s">
        <v>765</v>
      </c>
      <c r="C3168" s="40">
        <v>20060368076960</v>
      </c>
      <c r="D3168" s="39" t="s">
        <v>588</v>
      </c>
      <c r="E3168" s="41">
        <v>82.80476908099169</v>
      </c>
      <c r="F3168" s="9"/>
      <c r="G3168" s="14" t="str">
        <f t="shared" si="114"/>
        <v>O</v>
      </c>
      <c r="H3168" s="15">
        <f t="shared" si="113"/>
        <v>41.402384540495845</v>
      </c>
    </row>
    <row r="3169" spans="1:8" x14ac:dyDescent="0.3">
      <c r="A3169" s="38">
        <f>COUNTIFS($B$2:B3169,B3169)</f>
        <v>7</v>
      </c>
      <c r="B3169" s="39" t="s">
        <v>765</v>
      </c>
      <c r="C3169" s="40">
        <v>20060368076960</v>
      </c>
      <c r="D3169" s="39" t="s">
        <v>114</v>
      </c>
      <c r="E3169" s="41">
        <v>206.95984423135911</v>
      </c>
      <c r="F3169" s="9"/>
      <c r="G3169" s="14" t="str">
        <f t="shared" si="114"/>
        <v>O</v>
      </c>
      <c r="H3169" s="15">
        <f t="shared" si="113"/>
        <v>103.47992211567956</v>
      </c>
    </row>
    <row r="3170" spans="1:8" x14ac:dyDescent="0.3">
      <c r="A3170" s="38">
        <f>COUNTIFS($B$2:B3170,B3170)</f>
        <v>8</v>
      </c>
      <c r="B3170" s="39" t="s">
        <v>765</v>
      </c>
      <c r="C3170" s="40">
        <v>20060368076960</v>
      </c>
      <c r="D3170" s="39" t="s">
        <v>218</v>
      </c>
      <c r="E3170" s="41">
        <v>3.3330221516877154</v>
      </c>
      <c r="F3170" s="9"/>
      <c r="G3170" s="14" t="str">
        <f t="shared" si="114"/>
        <v>O</v>
      </c>
      <c r="H3170" s="15">
        <f t="shared" si="113"/>
        <v>1.6665110758438577</v>
      </c>
    </row>
    <row r="3171" spans="1:8" x14ac:dyDescent="0.3">
      <c r="A3171" s="38">
        <f>COUNTIFS($B$2:B3171,B3171)</f>
        <v>9</v>
      </c>
      <c r="B3171" s="39" t="s">
        <v>765</v>
      </c>
      <c r="C3171" s="40">
        <v>20060368076960</v>
      </c>
      <c r="D3171" s="39" t="s">
        <v>564</v>
      </c>
      <c r="E3171" s="41">
        <v>41.075977221503543</v>
      </c>
      <c r="F3171" s="9"/>
      <c r="G3171" s="14" t="str">
        <f t="shared" si="114"/>
        <v>O</v>
      </c>
      <c r="H3171" s="15">
        <f t="shared" si="113"/>
        <v>20.537988610751771</v>
      </c>
    </row>
    <row r="3172" spans="1:8" x14ac:dyDescent="0.3">
      <c r="A3172" s="38">
        <f>COUNTIFS($B$2:B3172,B3172)</f>
        <v>10</v>
      </c>
      <c r="B3172" s="39" t="s">
        <v>765</v>
      </c>
      <c r="C3172" s="40">
        <v>20060368076960</v>
      </c>
      <c r="D3172" s="39" t="s">
        <v>565</v>
      </c>
      <c r="E3172" s="41">
        <v>41.075977221503543</v>
      </c>
      <c r="F3172" s="9"/>
      <c r="G3172" s="14" t="str">
        <f t="shared" si="114"/>
        <v>O</v>
      </c>
      <c r="H3172" s="15">
        <f t="shared" si="113"/>
        <v>20.537988610751771</v>
      </c>
    </row>
    <row r="3173" spans="1:8" x14ac:dyDescent="0.3">
      <c r="A3173" s="38">
        <f>COUNTIFS($B$2:B3173,B3173)</f>
        <v>11</v>
      </c>
      <c r="B3173" s="39" t="s">
        <v>765</v>
      </c>
      <c r="C3173" s="40">
        <v>20060368076960</v>
      </c>
      <c r="D3173" s="39" t="s">
        <v>33</v>
      </c>
      <c r="E3173" s="41">
        <v>30.806982916127652</v>
      </c>
      <c r="F3173" s="9"/>
      <c r="G3173" s="14" t="str">
        <f t="shared" si="114"/>
        <v>O</v>
      </c>
      <c r="H3173" s="15">
        <f t="shared" si="113"/>
        <v>15.403491458063826</v>
      </c>
    </row>
    <row r="3174" spans="1:8" x14ac:dyDescent="0.3">
      <c r="A3174" s="38">
        <f>COUNTIFS($B$2:B3174,B3174)</f>
        <v>1</v>
      </c>
      <c r="B3174" s="29" t="s">
        <v>766</v>
      </c>
      <c r="C3174" s="40">
        <v>20060368076914</v>
      </c>
      <c r="D3174" s="29" t="s">
        <v>284</v>
      </c>
      <c r="E3174" s="30">
        <v>150.49504950495049</v>
      </c>
      <c r="G3174" s="14" t="str">
        <f t="shared" si="114"/>
        <v>O</v>
      </c>
      <c r="H3174" s="15">
        <f t="shared" si="113"/>
        <v>75.247524752475243</v>
      </c>
    </row>
    <row r="3175" spans="1:8" x14ac:dyDescent="0.3">
      <c r="A3175" s="38">
        <f>COUNTIFS($B$2:B3175,B3175)</f>
        <v>2</v>
      </c>
      <c r="B3175" s="29" t="s">
        <v>766</v>
      </c>
      <c r="C3175" s="40">
        <v>20060368076914</v>
      </c>
      <c r="D3175" s="29" t="s">
        <v>463</v>
      </c>
      <c r="E3175" s="30">
        <v>14.108910891089108</v>
      </c>
      <c r="G3175" s="14" t="str">
        <f t="shared" si="114"/>
        <v>O</v>
      </c>
      <c r="H3175" s="15">
        <f t="shared" si="113"/>
        <v>7.0544554455445541</v>
      </c>
    </row>
    <row r="3176" spans="1:8" x14ac:dyDescent="0.3">
      <c r="A3176" s="38">
        <f>COUNTIFS($B$2:B3176,B3176)</f>
        <v>3</v>
      </c>
      <c r="B3176" s="29" t="s">
        <v>766</v>
      </c>
      <c r="C3176" s="40">
        <v>20060368076914</v>
      </c>
      <c r="D3176" s="29" t="s">
        <v>553</v>
      </c>
      <c r="E3176" s="30">
        <v>23.514851485148515</v>
      </c>
      <c r="G3176" s="14" t="str">
        <f t="shared" si="114"/>
        <v>O</v>
      </c>
      <c r="H3176" s="15">
        <f t="shared" si="113"/>
        <v>11.757425742574258</v>
      </c>
    </row>
    <row r="3177" spans="1:8" x14ac:dyDescent="0.3">
      <c r="A3177" s="38">
        <f>COUNTIFS($B$2:B3177,B3177)</f>
        <v>4</v>
      </c>
      <c r="B3177" s="29" t="s">
        <v>766</v>
      </c>
      <c r="C3177" s="40">
        <v>20060368076914</v>
      </c>
      <c r="D3177" s="29" t="s">
        <v>418</v>
      </c>
      <c r="E3177" s="30">
        <v>4.2326732673267324</v>
      </c>
      <c r="G3177" s="14" t="str">
        <f t="shared" si="114"/>
        <v>O</v>
      </c>
      <c r="H3177" s="15">
        <f t="shared" si="113"/>
        <v>2.1163366336633662</v>
      </c>
    </row>
    <row r="3178" spans="1:8" x14ac:dyDescent="0.3">
      <c r="A3178" s="38">
        <f>COUNTIFS($B$2:B3178,B3178)</f>
        <v>5</v>
      </c>
      <c r="B3178" s="29" t="s">
        <v>766</v>
      </c>
      <c r="C3178" s="40">
        <v>20060368076914</v>
      </c>
      <c r="D3178" s="29" t="s">
        <v>164</v>
      </c>
      <c r="E3178" s="30">
        <v>1.8811881188118813</v>
      </c>
      <c r="G3178" s="14" t="str">
        <f t="shared" si="114"/>
        <v>O</v>
      </c>
      <c r="H3178" s="15">
        <f t="shared" si="113"/>
        <v>0.94059405940594065</v>
      </c>
    </row>
    <row r="3179" spans="1:8" x14ac:dyDescent="0.3">
      <c r="A3179" s="38">
        <f>COUNTIFS($B$2:B3179,B3179)</f>
        <v>6</v>
      </c>
      <c r="B3179" s="29" t="s">
        <v>766</v>
      </c>
      <c r="C3179" s="40">
        <v>20060368076914</v>
      </c>
      <c r="D3179" s="29" t="s">
        <v>421</v>
      </c>
      <c r="E3179" s="30">
        <v>18.811881188118811</v>
      </c>
      <c r="G3179" s="14" t="str">
        <f t="shared" si="114"/>
        <v>O</v>
      </c>
      <c r="H3179" s="15">
        <f t="shared" si="113"/>
        <v>9.4059405940594054</v>
      </c>
    </row>
    <row r="3180" spans="1:8" x14ac:dyDescent="0.3">
      <c r="A3180" s="38">
        <f>COUNTIFS($B$2:B3180,B3180)</f>
        <v>7</v>
      </c>
      <c r="B3180" s="29" t="s">
        <v>766</v>
      </c>
      <c r="C3180" s="40">
        <v>20060368076914</v>
      </c>
      <c r="D3180" s="29" t="s">
        <v>561</v>
      </c>
      <c r="E3180" s="30">
        <v>47.029702970297031</v>
      </c>
      <c r="G3180" s="14" t="str">
        <f t="shared" si="114"/>
        <v>O</v>
      </c>
      <c r="H3180" s="15">
        <f t="shared" si="113"/>
        <v>23.514851485148515</v>
      </c>
    </row>
    <row r="3181" spans="1:8" x14ac:dyDescent="0.3">
      <c r="A3181" s="38">
        <f>COUNTIFS($B$2:B3181,B3181)</f>
        <v>8</v>
      </c>
      <c r="B3181" s="29" t="s">
        <v>766</v>
      </c>
      <c r="C3181" s="40">
        <v>20060368076914</v>
      </c>
      <c r="D3181" s="29" t="s">
        <v>114</v>
      </c>
      <c r="E3181" s="30">
        <v>117.57425742574256</v>
      </c>
      <c r="G3181" s="14" t="str">
        <f t="shared" si="114"/>
        <v>O</v>
      </c>
      <c r="H3181" s="15">
        <f t="shared" si="113"/>
        <v>58.787128712871279</v>
      </c>
    </row>
    <row r="3182" spans="1:8" x14ac:dyDescent="0.3">
      <c r="A3182" s="38">
        <f>COUNTIFS($B$2:B3182,B3182)</f>
        <v>9</v>
      </c>
      <c r="B3182" s="29" t="s">
        <v>766</v>
      </c>
      <c r="C3182" s="40">
        <v>20060368076914</v>
      </c>
      <c r="D3182" s="29" t="s">
        <v>218</v>
      </c>
      <c r="E3182" s="30">
        <v>2.3514851485148514</v>
      </c>
      <c r="G3182" s="14" t="str">
        <f t="shared" si="114"/>
        <v>O</v>
      </c>
      <c r="H3182" s="15">
        <f t="shared" si="113"/>
        <v>1.1757425742574257</v>
      </c>
    </row>
    <row r="3183" spans="1:8" x14ac:dyDescent="0.3">
      <c r="A3183" s="38">
        <f>COUNTIFS($B$2:B3183,B3183)</f>
        <v>1</v>
      </c>
      <c r="B3183" s="29" t="s">
        <v>767</v>
      </c>
      <c r="C3183" s="40">
        <v>20060368076915</v>
      </c>
      <c r="D3183" s="29" t="s">
        <v>284</v>
      </c>
      <c r="E3183" s="30">
        <v>150.49504950495049</v>
      </c>
      <c r="G3183" s="14" t="str">
        <f t="shared" si="114"/>
        <v>O</v>
      </c>
      <c r="H3183" s="15">
        <f t="shared" si="113"/>
        <v>75.247524752475243</v>
      </c>
    </row>
    <row r="3184" spans="1:8" x14ac:dyDescent="0.3">
      <c r="A3184" s="38">
        <f>COUNTIFS($B$2:B3184,B3184)</f>
        <v>2</v>
      </c>
      <c r="B3184" s="29" t="s">
        <v>767</v>
      </c>
      <c r="C3184" s="40">
        <v>20060368076915</v>
      </c>
      <c r="D3184" s="29" t="s">
        <v>463</v>
      </c>
      <c r="E3184" s="30">
        <v>14.108910891089108</v>
      </c>
      <c r="H3184" s="15">
        <f t="shared" si="113"/>
        <v>7.0544554455445541</v>
      </c>
    </row>
    <row r="3185" spans="1:8" x14ac:dyDescent="0.3">
      <c r="A3185" s="38">
        <f>COUNTIFS($B$2:B3185,B3185)</f>
        <v>3</v>
      </c>
      <c r="B3185" s="29" t="s">
        <v>767</v>
      </c>
      <c r="C3185" s="40">
        <v>20060368076915</v>
      </c>
      <c r="D3185" s="29" t="s">
        <v>553</v>
      </c>
      <c r="E3185" s="30">
        <v>23.514851485148515</v>
      </c>
      <c r="H3185" s="15">
        <f t="shared" si="113"/>
        <v>11.757425742574258</v>
      </c>
    </row>
    <row r="3186" spans="1:8" x14ac:dyDescent="0.3">
      <c r="A3186" s="38">
        <f>COUNTIFS($B$2:B3186,B3186)</f>
        <v>4</v>
      </c>
      <c r="B3186" s="29" t="s">
        <v>767</v>
      </c>
      <c r="C3186" s="40">
        <v>20060368076915</v>
      </c>
      <c r="D3186" s="29" t="s">
        <v>418</v>
      </c>
      <c r="E3186" s="30">
        <v>4.2326732673267324</v>
      </c>
      <c r="H3186" s="15">
        <f t="shared" si="113"/>
        <v>2.1163366336633662</v>
      </c>
    </row>
    <row r="3187" spans="1:8" x14ac:dyDescent="0.3">
      <c r="A3187" s="38">
        <f>COUNTIFS($B$2:B3187,B3187)</f>
        <v>5</v>
      </c>
      <c r="B3187" s="29" t="s">
        <v>767</v>
      </c>
      <c r="C3187" s="40">
        <v>20060368076915</v>
      </c>
      <c r="D3187" s="29" t="s">
        <v>164</v>
      </c>
      <c r="E3187" s="30">
        <v>1.8811881188118813</v>
      </c>
      <c r="H3187" s="15">
        <f t="shared" si="113"/>
        <v>0.94059405940594065</v>
      </c>
    </row>
    <row r="3188" spans="1:8" x14ac:dyDescent="0.3">
      <c r="A3188" s="38">
        <f>COUNTIFS($B$2:B3188,B3188)</f>
        <v>6</v>
      </c>
      <c r="B3188" s="29" t="s">
        <v>767</v>
      </c>
      <c r="C3188" s="40">
        <v>20060368076915</v>
      </c>
      <c r="D3188" s="29" t="s">
        <v>421</v>
      </c>
      <c r="E3188" s="30">
        <v>18.811881188118811</v>
      </c>
      <c r="H3188" s="15">
        <f t="shared" si="113"/>
        <v>9.4059405940594054</v>
      </c>
    </row>
    <row r="3189" spans="1:8" x14ac:dyDescent="0.3">
      <c r="A3189" s="38">
        <f>COUNTIFS($B$2:B3189,B3189)</f>
        <v>7</v>
      </c>
      <c r="B3189" s="29" t="s">
        <v>767</v>
      </c>
      <c r="C3189" s="40">
        <v>20060368076915</v>
      </c>
      <c r="D3189" s="29" t="s">
        <v>561</v>
      </c>
      <c r="E3189" s="30">
        <v>47.029702970297031</v>
      </c>
      <c r="H3189" s="15">
        <f>E3189/2</f>
        <v>23.514851485148515</v>
      </c>
    </row>
    <row r="3190" spans="1:8" x14ac:dyDescent="0.3">
      <c r="A3190" s="38">
        <f>COUNTIFS($B$2:B3190,B3190)</f>
        <v>8</v>
      </c>
      <c r="B3190" s="29" t="s">
        <v>767</v>
      </c>
      <c r="C3190" s="40">
        <v>20060368076915</v>
      </c>
      <c r="D3190" s="29" t="s">
        <v>114</v>
      </c>
      <c r="E3190" s="30">
        <v>117.57425742574256</v>
      </c>
      <c r="H3190" s="15">
        <f>E3190/2</f>
        <v>58.787128712871279</v>
      </c>
    </row>
    <row r="3191" spans="1:8" x14ac:dyDescent="0.3">
      <c r="A3191" s="38">
        <f>COUNTIFS($B$2:B3191,B3191)</f>
        <v>9</v>
      </c>
      <c r="B3191" s="29" t="s">
        <v>767</v>
      </c>
      <c r="C3191" s="40">
        <v>20060368076915</v>
      </c>
      <c r="D3191" s="29" t="s">
        <v>218</v>
      </c>
      <c r="E3191" s="30">
        <v>2.3514851485148514</v>
      </c>
      <c r="H3191" s="15">
        <f>E3191/2</f>
        <v>1.1757425742574257</v>
      </c>
    </row>
    <row r="3192" spans="1:8" x14ac:dyDescent="0.3">
      <c r="H3192" s="15">
        <f>E3192/2</f>
        <v>0</v>
      </c>
    </row>
  </sheetData>
  <phoneticPr fontId="2" type="noConversion"/>
  <dataValidations count="22">
    <dataValidation type="list" allowBlank="1" showInputMessage="1" showErrorMessage="1" sqref="D3152 D3162" xr:uid="{89B18855-3DF8-481A-8F15-0BEC416FB7C9}">
      <formula1>$I$2:$I$626</formula1>
    </dataValidation>
    <dataValidation type="list" allowBlank="1" showInputMessage="1" showErrorMessage="1" sqref="D3147:D3148 D3157:D3158" xr:uid="{89A0749D-2F2C-4414-BBE5-0CBFAD44ECD8}">
      <formula1>$I$2:$I$653</formula1>
    </dataValidation>
    <dataValidation type="list" allowBlank="1" showInputMessage="1" showErrorMessage="1" sqref="D3154 D3144" xr:uid="{AC41E789-DFCB-42EE-A10C-768057AA2BCC}">
      <formula1>$I$2:$I$644</formula1>
    </dataValidation>
    <dataValidation type="list" allowBlank="1" showInputMessage="1" showErrorMessage="1" sqref="D2349 D2360 D2363 D2371:D2372 D2366 D2369 D2379 D2504 D2514" xr:uid="{85186D89-E97F-4251-99DE-B9B62F4F029B}">
      <formula1>$I$2:$I$652</formula1>
    </dataValidation>
    <dataValidation type="list" allowBlank="1" showInputMessage="1" showErrorMessage="1" sqref="D2324 D3018 D2974 D2716 D2728 D2697 D2505 D2494 D2380" xr:uid="{6131AA63-BE90-4659-A8A9-7DD42288301C}">
      <formula1>$I$2:$I$625</formula1>
    </dataValidation>
    <dataValidation type="list" allowBlank="1" showInputMessage="1" showErrorMessage="1" sqref="D2322 D3017 D3011:D3015 D2975 D2973 D2967:D2971 D3019 D2717:D2727 D2729:D2743 D2698:D2715 D2678:D2696 D2506:D2513 D2495:D2503" xr:uid="{0720D00A-974D-4951-A5EC-438691CCBE0C}">
      <formula1>$I$2:$I$628</formula1>
    </dataValidation>
    <dataValidation type="list" allowBlank="1" showInputMessage="1" showErrorMessage="1" sqref="D2323 D3007 D2963 D2381:D2387 D2373:D2378 D2367:D2368 D2364:D2365 D2370 D2361:D2362 D2350:D2359 D2325:D2348 D2312:D2321" xr:uid="{32967171-FF3B-46FE-86B1-2C3AAB608238}">
      <formula1>$I$2:$I$656</formula1>
    </dataValidation>
    <dataValidation type="list" allowBlank="1" showInputMessage="1" showErrorMessage="1" sqref="D2060:D2070" xr:uid="{B35283F7-B1D5-45E7-A48F-F947B8ED8DA3}">
      <formula1>$I$2:$I$544</formula1>
    </dataValidation>
    <dataValidation type="list" allowBlank="1" showInputMessage="1" showErrorMessage="1" sqref="D1868:D1877 D2036:D2059 D1907:D1913 D1879:D1892 D1894:D1905" xr:uid="{E2471952-5627-4B20-AB09-16213ED86EE1}">
      <formula1>$I$2:$I$632</formula1>
    </dataValidation>
    <dataValidation type="list" allowBlank="1" showInputMessage="1" showErrorMessage="1" sqref="D515:D532 D3153 D3159 D3149 D3105:D3143 D1830:D1867 D3075:D3096 D1746:D1747 D1737:D1739 D1717:D1728 D1756:D1757 D3020:D3064 D3016 D3008:D3010 D2976:D3006 D2972 D2964:D2966 D2071:D2145 D1964:D2015 D1916:D1950 D1906 D1878 D1893 C1874:C1878 D1771:D1783 D1676:D1708 D1635:D1674 D1481:D1510 D1352:D1479 D1158:D1333 D1085:D1119 D836:D1058 D636:D679 D710:D818" xr:uid="{072129FA-A60B-48E8-9975-BCEAB0C9E50B}">
      <formula1>$I$2:$I$617</formula1>
    </dataValidation>
    <dataValidation type="list" allowBlank="1" showInputMessage="1" showErrorMessage="1" sqref="D3156 D502:D514 D3146 D3160:D3161 D3150:D3151 D3163:D3191" xr:uid="{E5030AC9-26A0-49D3-9437-31D558EC3299}">
      <formula1>$I$2:$I$615</formula1>
    </dataValidation>
    <dataValidation type="list" allowBlank="1" showInputMessage="1" showErrorMessage="1" sqref="D364:D376" xr:uid="{07528FD6-71C3-41D7-A68F-29AF885AF31C}">
      <formula1>$I$2:$I$613</formula1>
    </dataValidation>
    <dataValidation type="list" allowBlank="1" showInputMessage="1" showErrorMessage="1" sqref="D338:D350" xr:uid="{155DE926-7F86-45C4-815F-2DA3C7C9D8B7}">
      <formula1>$I$2:$I$583</formula1>
    </dataValidation>
    <dataValidation type="list" allowBlank="1" showInputMessage="1" showErrorMessage="1" sqref="D295:D304" xr:uid="{49979757-FF50-4546-BD53-36CDBCB73C02}">
      <formula1>$I$2:$I$560</formula1>
    </dataValidation>
    <dataValidation type="list" allowBlank="1" showInputMessage="1" showErrorMessage="1" sqref="D285:D294" xr:uid="{181AF958-1DDB-4C2A-A3F7-B1117D135625}">
      <formula1>$I$2:$I$533</formula1>
    </dataValidation>
    <dataValidation type="list" allowBlank="1" showInputMessage="1" showErrorMessage="1" sqref="D224:D261 D274:D284" xr:uid="{81C9E106-5187-4ED8-B8C1-EDF063A1533C}">
      <formula1>$I$2:$I$522</formula1>
    </dataValidation>
    <dataValidation type="list" allowBlank="1" showInputMessage="1" showErrorMessage="1" sqref="D2493 D2410:D2455 D2905:D2907 D2388:D2404 D2861:D2862 D2457:D2463 D2465:D2478 D2480:D2491 D2406:D2408 D2859 D2872:D2873 D2887:D2888 D2922:D2924" xr:uid="{519DB1BF-5DC8-4BAB-802F-731DB82768FE}">
      <formula1>$I$2:$I$564</formula1>
    </dataValidation>
    <dataValidation type="list" allowBlank="1" showInputMessage="1" showErrorMessage="1" sqref="D2860 D2897 D2911:D2912 D2893:D2895 D2866 D2854:D2855 D2796:D2802 D2663:D2669 D2654:D2661 D2641:D2649 D2613:D2636 D2557:D2565 D2547:D2555 D2537:D2545 D2526:D2535 D2671:D2674 D2882 D2877:D2880 D2750:D2759 D2761:D2770 D2772:D2781 D2783:D2794 D2806:D2811 D2813:D2815 D2804 D2828 D2818:D2825 D2835:D2839 D2849:D2852 D2842:D2846 D2830:D2832 D2858 D2676:D2677 D2651:D2652 D2638:D2639 D2567:D2598 D2600:D2611 D2744:D2748 D2914 D2516:D2523 D2928:D2929 D2864" xr:uid="{84BFD2ED-F6DD-4DAC-98F1-6B4296231734}">
      <formula1>$I$2:$I$540</formula1>
    </dataValidation>
    <dataValidation type="list" allowBlank="1" showInputMessage="1" showErrorMessage="1" sqref="D2640 D2524 D2599 D2492 D2479 D2464 D2456 D2612 D2675 D2653" xr:uid="{D87F0176-1726-42B6-B66E-6252E3F132D8}">
      <formula1>$I$2:$I$563</formula1>
    </dataValidation>
    <dataValidation type="list" allowBlank="1" showInputMessage="1" showErrorMessage="1" sqref="D2863 D2896 D2637 D2566 D2556 D2546 D2536 D2525 D2803 D2515 D2865 D2853 D2881 D2670 D2662 D2650 D2749 D2760 D2771 D2782 D2795 D2805 D2812 D2816:D2817 D2826:D2827 D2833:D2834 D2840:D2841 D2847:D2848 D2856:D2857 D2829 D2913" xr:uid="{F30DEDC4-25A0-43C1-B7B9-73BF074C0E67}">
      <formula1>$I$2:$I$535</formula1>
    </dataValidation>
    <dataValidation type="list" allowBlank="1" showInputMessage="1" showErrorMessage="1" sqref="D2295:D2311 D1144:D1151 D2162:D2284 D2147:D2160" xr:uid="{C44D3F5B-3D2C-47E9-9533-76667A77CEB0}">
      <formula1>$I$2:$I$557</formula1>
    </dataValidation>
    <dataValidation type="list" allowBlank="1" showInputMessage="1" showErrorMessage="1" sqref="D1748:D1755 D2915:D2921 D377:D501 D262:D273 D3155 D1758:D1770 D2930:D2935 D3065:D3074 D1511:D1634 D2161 D2889:D2892 D1784:D1829 D2:D223 D2285:D2294 D2867:D2871 D2874:D2876 D2883:D2886 D2925:D2927 D305:D337 D351:D363 D680:D709 D819:D835 D1059:D1084 D1951:D1963 D1120:D1143 D2146 D2898:D2904 D2908:D2910 D1709:D1716 D1729:D1736 D1740:D1745 D1152:D1157 D2016:D2035 D3097:D3104 D533:D635 D1334:D1351 D3145" xr:uid="{F39BD768-1706-4DB6-AFAA-0B147EBE66DE}">
      <formula1>$I$2:$I$528</formula1>
    </dataValidation>
  </dataValidations>
  <pageMargins left="0.25" right="0.25" top="0.75" bottom="0.75" header="0.3" footer="0.3"/>
  <pageSetup paperSize="9" scale="3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원재료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Koobong Kim</dc:creator>
  <cp:lastModifiedBy>Koobong Kim</cp:lastModifiedBy>
  <dcterms:created xsi:type="dcterms:W3CDTF">2026-02-02T01:08:03Z</dcterms:created>
  <dcterms:modified xsi:type="dcterms:W3CDTF">2026-02-02T01:08:10Z</dcterms:modified>
</cp:coreProperties>
</file>